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ris\Financial_Statement_Analyzer\"/>
    </mc:Choice>
  </mc:AlternateContent>
  <xr:revisionPtr revIDLastSave="0" documentId="8_{117DD415-F69F-45FF-9C3A-EF15F888050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anks &amp; Screens" sheetId="1" r:id="rId1"/>
    <sheet name="Executive Summary" sheetId="2" r:id="rId2"/>
    <sheet name="Instrument Viewer" sheetId="3" r:id="rId3"/>
    <sheet name="WACC" sheetId="4" r:id="rId4"/>
    <sheet name="DCF" sheetId="5" r:id="rId5"/>
  </sheets>
  <definedNames>
    <definedName name="Cash">'Ranks &amp; Screens'!$K$3:$K$4988</definedName>
    <definedName name="debt">'Ranks &amp; Screens'!$J$3:$J$4988</definedName>
    <definedName name="EBITDA">'Ranks &amp; Screens'!$M$3:$M$4988</definedName>
    <definedName name="Enterprise_Value">'Ranks &amp; Screens'!$I$3:$I$4988</definedName>
    <definedName name="EV_EBITDA">'Ranks &amp; Screens'!$B$3:$B$4988</definedName>
    <definedName name="Instrument_Cash">'Instrument Viewer'!$B$13</definedName>
    <definedName name="Instrument_Debt">'Instrument Viewer'!$B$12</definedName>
    <definedName name="instrument_ebitda">'Instrument Viewer'!$B$9</definedName>
    <definedName name="instrument_market_cap">'Instrument Viewer'!$B$11</definedName>
    <definedName name="instrument_revenue">'Instrument Viewer'!$B$8</definedName>
    <definedName name="Instruments">'Ranks &amp; Screens'!$A$3:$A$4988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rket_Cap">'Ranks &amp; Screens'!$H$3:$H$4988</definedName>
    <definedName name="net_debt">WACC!$B$15</definedName>
    <definedName name="NetIncome">'Ranks &amp; Screens'!$N$3:$N$4988</definedName>
    <definedName name="revenue">'Ranks &amp; Screens'!$L$3:$L$4988</definedName>
    <definedName name="roe">'Ranks &amp; Screens'!$C$3:$C$4988</definedName>
    <definedName name="roic">'Ranks &amp; Screens'!$D$3:$D$4988</definedName>
    <definedName name="SelectedInstrument">'Instrument Viewer'!$B$4</definedName>
    <definedName name="tax_rate">WACC!$B$9</definedName>
    <definedName name="wacc">WACC!$B$23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5" l="1"/>
  <c r="B25" i="5"/>
  <c r="E11" i="5"/>
  <c r="E10" i="5"/>
  <c r="B6" i="5"/>
  <c r="B5" i="5"/>
  <c r="B8" i="3"/>
  <c r="B17" i="3"/>
  <c r="B16" i="3"/>
  <c r="B15" i="3"/>
  <c r="B14" i="3"/>
  <c r="B13" i="3"/>
  <c r="B13" i="4" s="1"/>
  <c r="B12" i="3"/>
  <c r="B12" i="4" s="1"/>
  <c r="B11" i="3"/>
  <c r="B11" i="4" s="1"/>
  <c r="B10" i="3"/>
  <c r="B9" i="3"/>
  <c r="B7" i="3"/>
  <c r="B21" i="4"/>
  <c r="B20" i="4"/>
  <c r="B15" i="4" l="1"/>
  <c r="B15" i="5"/>
  <c r="B16" i="5" s="1"/>
  <c r="B16" i="4" l="1"/>
  <c r="B18" i="4" s="1"/>
  <c r="C15" i="5"/>
  <c r="D15" i="5" s="1"/>
  <c r="B17" i="5"/>
  <c r="C16" i="5"/>
  <c r="D16" i="5" s="1"/>
  <c r="B17" i="4" l="1"/>
  <c r="B18" i="5"/>
  <c r="C17" i="5"/>
  <c r="D17" i="5" s="1"/>
  <c r="B23" i="4" l="1"/>
  <c r="E16" i="5" s="1"/>
  <c r="F16" i="5" s="1"/>
  <c r="B19" i="5"/>
  <c r="C19" i="5" s="1"/>
  <c r="D19" i="5" s="1"/>
  <c r="C18" i="5"/>
  <c r="D18" i="5" s="1"/>
  <c r="E17" i="5" l="1"/>
  <c r="F17" i="5" s="1"/>
  <c r="E19" i="5"/>
  <c r="F19" i="5" s="1"/>
  <c r="E18" i="5"/>
  <c r="F18" i="5" s="1"/>
  <c r="E15" i="5"/>
  <c r="F15" i="5" s="1"/>
  <c r="B21" i="5"/>
  <c r="B22" i="5" s="1"/>
  <c r="B24" i="5" l="1"/>
</calcChain>
</file>

<file path=xl/sharedStrings.xml><?xml version="1.0" encoding="utf-8"?>
<sst xmlns="http://schemas.openxmlformats.org/spreadsheetml/2006/main" count="5114" uniqueCount="5047">
  <si>
    <t>Instrument</t>
  </si>
  <si>
    <t>EV/EBITDA</t>
  </si>
  <si>
    <t>ROE</t>
  </si>
  <si>
    <t>ROIC</t>
  </si>
  <si>
    <t>Score</t>
  </si>
  <si>
    <t>Rank</t>
  </si>
  <si>
    <t>Decile</t>
  </si>
  <si>
    <t>Market Cap</t>
  </si>
  <si>
    <t>Enterprise Value</t>
  </si>
  <si>
    <t>Debt</t>
  </si>
  <si>
    <t>Cash</t>
  </si>
  <si>
    <t>Revenue</t>
  </si>
  <si>
    <t>EBITDA</t>
  </si>
  <si>
    <t>Net Income</t>
  </si>
  <si>
    <t>NSRX.A</t>
  </si>
  <si>
    <t>ZS.OQ</t>
  </si>
  <si>
    <t>MAYA.OQ</t>
  </si>
  <si>
    <t>KOYN.OQ</t>
  </si>
  <si>
    <t>HNIT.PK</t>
  </si>
  <si>
    <t>QSEA.OQ</t>
  </si>
  <si>
    <t>CMDB.N</t>
  </si>
  <si>
    <t>BMNR.A</t>
  </si>
  <si>
    <t>INAC.OQ</t>
  </si>
  <si>
    <t>TVA.OQ</t>
  </si>
  <si>
    <t>NET.N</t>
  </si>
  <si>
    <t>PACH.OQ</t>
  </si>
  <si>
    <t>COMP.N</t>
  </si>
  <si>
    <t>QMMM.OQ</t>
  </si>
  <si>
    <t>IQST.OQ</t>
  </si>
  <si>
    <t>VNJA.PK</t>
  </si>
  <si>
    <t>SOUL.N</t>
  </si>
  <si>
    <t>ZHJD.PK</t>
  </si>
  <si>
    <t>FVRR.N</t>
  </si>
  <si>
    <t>NXTT.OQ</t>
  </si>
  <si>
    <t>ABVN.PK</t>
  </si>
  <si>
    <t>GLCP.PK</t>
  </si>
  <si>
    <t>ZETA.N</t>
  </si>
  <si>
    <t>MSTR.OQ</t>
  </si>
  <si>
    <t>GROY.A</t>
  </si>
  <si>
    <t>LITB.N</t>
  </si>
  <si>
    <t>ENGS.OQ</t>
  </si>
  <si>
    <t>ACPS.PK</t>
  </si>
  <si>
    <t>DFPH.PK</t>
  </si>
  <si>
    <t>GRWC.PK</t>
  </si>
  <si>
    <t>AFBL.PK</t>
  </si>
  <si>
    <t>HHEGF.PK</t>
  </si>
  <si>
    <t>RINO.PK</t>
  </si>
  <si>
    <t>CVTV.PK</t>
  </si>
  <si>
    <t>JGHG.PK</t>
  </si>
  <si>
    <t>FSTJ.PK</t>
  </si>
  <si>
    <t>TEAM.OQ</t>
  </si>
  <si>
    <t>PXHI.PK</t>
  </si>
  <si>
    <t>VCON.PK</t>
  </si>
  <si>
    <t>ELRE.PK</t>
  </si>
  <si>
    <t>RHNO.PK</t>
  </si>
  <si>
    <t>KMFG.PK</t>
  </si>
  <si>
    <t>ULNV.PK</t>
  </si>
  <si>
    <t>CYBR.OQ</t>
  </si>
  <si>
    <t>LLYVA.OQ</t>
  </si>
  <si>
    <t>MSCH.PK</t>
  </si>
  <si>
    <t>VNTH.PK</t>
  </si>
  <si>
    <t>ACATD.PK</t>
  </si>
  <si>
    <t>FTW.N</t>
  </si>
  <si>
    <t>PBT.N</t>
  </si>
  <si>
    <t>UAMY.A</t>
  </si>
  <si>
    <t>SYM.OQ</t>
  </si>
  <si>
    <t>IHT.A</t>
  </si>
  <si>
    <t>GDLG.PK</t>
  </si>
  <si>
    <t>PLFX.PK</t>
  </si>
  <si>
    <t>ETHM.OQ</t>
  </si>
  <si>
    <t>ECDD.PK</t>
  </si>
  <si>
    <t>RHLD.N</t>
  </si>
  <si>
    <t>SIMA.OQ</t>
  </si>
  <si>
    <t>SSRT.PK</t>
  </si>
  <si>
    <t>ABTC.OQ</t>
  </si>
  <si>
    <t>SBET.OQ</t>
  </si>
  <si>
    <t>ETON.OQ</t>
  </si>
  <si>
    <t>ADSE.OQ</t>
  </si>
  <si>
    <t>XNDA.PK</t>
  </si>
  <si>
    <t>BBAI.N</t>
  </si>
  <si>
    <t>EVOH.PK</t>
  </si>
  <si>
    <t>PSPX.PK</t>
  </si>
  <si>
    <t>HSPT.OQ</t>
  </si>
  <si>
    <t>ALNY.OQ</t>
  </si>
  <si>
    <t>DGNX.OQ</t>
  </si>
  <si>
    <t>DLAPQ.PK</t>
  </si>
  <si>
    <t>BULL.OQ</t>
  </si>
  <si>
    <t>AHG.OQ</t>
  </si>
  <si>
    <t>AIUG.PK</t>
  </si>
  <si>
    <t>LEGT.A</t>
  </si>
  <si>
    <t>UHGI.PK</t>
  </si>
  <si>
    <t>MBLY.OQ</t>
  </si>
  <si>
    <t>MFH.OQ</t>
  </si>
  <si>
    <t>ADAM.OQ</t>
  </si>
  <si>
    <t>OKLO.N</t>
  </si>
  <si>
    <t>SVMB.PK</t>
  </si>
  <si>
    <t>VCIC.OQ</t>
  </si>
  <si>
    <t>RFIL.OQ</t>
  </si>
  <si>
    <t>STAB.PK</t>
  </si>
  <si>
    <t>INTA.OQ</t>
  </si>
  <si>
    <t>EFC.N</t>
  </si>
  <si>
    <t>AEHR.OQ</t>
  </si>
  <si>
    <t>SPRY.OQ</t>
  </si>
  <si>
    <t>SIF.A</t>
  </si>
  <si>
    <t>STAA.OQ</t>
  </si>
  <si>
    <t>DX.N</t>
  </si>
  <si>
    <t>ALB.N</t>
  </si>
  <si>
    <t>ALAB.OQ</t>
  </si>
  <si>
    <t>HOFT.OQ</t>
  </si>
  <si>
    <t>ETAOF.PK</t>
  </si>
  <si>
    <t>NBY.A</t>
  </si>
  <si>
    <t>UYSC.OQ</t>
  </si>
  <si>
    <t>ATON.OQ</t>
  </si>
  <si>
    <t>PCOR.N</t>
  </si>
  <si>
    <t>GDC.OQ</t>
  </si>
  <si>
    <t>U.N</t>
  </si>
  <si>
    <t>PMVC.PK</t>
  </si>
  <si>
    <t>WCT.OQ</t>
  </si>
  <si>
    <t>OGEN.A</t>
  </si>
  <si>
    <t>AQLS.PK</t>
  </si>
  <si>
    <t>TALK.OQ</t>
  </si>
  <si>
    <t>LGIQ.PK</t>
  </si>
  <si>
    <t>TXRP.PK</t>
  </si>
  <si>
    <t>LEJUY.PK</t>
  </si>
  <si>
    <t>ESTC.N</t>
  </si>
  <si>
    <t>SEEK.PK</t>
  </si>
  <si>
    <t>BTTX.PK</t>
  </si>
  <si>
    <t>MARA.OQ</t>
  </si>
  <si>
    <t>RELY.OQ</t>
  </si>
  <si>
    <t>YHC.OQ</t>
  </si>
  <si>
    <t>CTGL.PK</t>
  </si>
  <si>
    <t>NNE.OQ</t>
  </si>
  <si>
    <t>JWSMF.PK</t>
  </si>
  <si>
    <t>IVHI.PK</t>
  </si>
  <si>
    <t>SSYS.OQ</t>
  </si>
  <si>
    <t>RMCO.OQ</t>
  </si>
  <si>
    <t>OPRX.OQ</t>
  </si>
  <si>
    <t>UFABQ.PK</t>
  </si>
  <si>
    <t>CHAR.OQ</t>
  </si>
  <si>
    <t>DMKPQ.PK</t>
  </si>
  <si>
    <t>CALX.N</t>
  </si>
  <si>
    <t>RGTI.OQ</t>
  </si>
  <si>
    <t>ORBS.OQ</t>
  </si>
  <si>
    <t>CEVA.OQ</t>
  </si>
  <si>
    <t>RTSO.PK</t>
  </si>
  <si>
    <t>CHYM.OQ</t>
  </si>
  <si>
    <t>PSTO.PK</t>
  </si>
  <si>
    <t>COSGD.PK</t>
  </si>
  <si>
    <t>QURE.OQ</t>
  </si>
  <si>
    <t>TDRK.PK</t>
  </si>
  <si>
    <t>HRZN.OQ</t>
  </si>
  <si>
    <t>HNGE.N</t>
  </si>
  <si>
    <t>IOR.A</t>
  </si>
  <si>
    <t>RKLB.OQ</t>
  </si>
  <si>
    <t>HTLM.OQ</t>
  </si>
  <si>
    <t>EAF.N</t>
  </si>
  <si>
    <t>HPCO.PK</t>
  </si>
  <si>
    <t>UCFI.OQ</t>
  </si>
  <si>
    <t>LTRX.OQ</t>
  </si>
  <si>
    <t>VSTTF.PK</t>
  </si>
  <si>
    <t>ALMU.OQ</t>
  </si>
  <si>
    <t>HLP.OQ</t>
  </si>
  <si>
    <t>OTLC.PK</t>
  </si>
  <si>
    <t>FIEE.OQ</t>
  </si>
  <si>
    <t>ASPC.OQ</t>
  </si>
  <si>
    <t>FLY.OQ</t>
  </si>
  <si>
    <t>WELX.PK</t>
  </si>
  <si>
    <t>BIEL.PK</t>
  </si>
  <si>
    <t>CJAX.PK</t>
  </si>
  <si>
    <t>CUEN.PK</t>
  </si>
  <si>
    <t>BRWC.PK</t>
  </si>
  <si>
    <t>KRFG.PK</t>
  </si>
  <si>
    <t>ZKIN.OQ</t>
  </si>
  <si>
    <t>SRNE.PK</t>
  </si>
  <si>
    <t>SVIIF.PK</t>
  </si>
  <si>
    <t>MP.N</t>
  </si>
  <si>
    <t>MDB.OQ</t>
  </si>
  <si>
    <t>NTRA.OQ</t>
  </si>
  <si>
    <t>NG.A</t>
  </si>
  <si>
    <t>RLEA.PK</t>
  </si>
  <si>
    <t>QUBT.OQ</t>
  </si>
  <si>
    <t>RDW.N</t>
  </si>
  <si>
    <t>HIND.OQ</t>
  </si>
  <si>
    <t>USEG.OQ</t>
  </si>
  <si>
    <t>BLNC.PK</t>
  </si>
  <si>
    <t>IOT.N</t>
  </si>
  <si>
    <t>BZFD.OQ</t>
  </si>
  <si>
    <t>ASTS.OQ</t>
  </si>
  <si>
    <t>PAYD.PK</t>
  </si>
  <si>
    <t>SYXXF.PK</t>
  </si>
  <si>
    <t>HCMC.PK</t>
  </si>
  <si>
    <t>GLBE.OQ</t>
  </si>
  <si>
    <t>USAR.OQ</t>
  </si>
  <si>
    <t>CCI.N</t>
  </si>
  <si>
    <t>ARGC.PK</t>
  </si>
  <si>
    <t>GGROU.PK</t>
  </si>
  <si>
    <t>IEP.OQ</t>
  </si>
  <si>
    <t>PRZM.PK</t>
  </si>
  <si>
    <t>PRO.N</t>
  </si>
  <si>
    <t>JFTH.PK</t>
  </si>
  <si>
    <t>IRTC.OQ</t>
  </si>
  <si>
    <t>UUUU.A</t>
  </si>
  <si>
    <t>RR.OQ</t>
  </si>
  <si>
    <t>PTCT.OQ</t>
  </si>
  <si>
    <t>SXTC.OQ</t>
  </si>
  <si>
    <t>KVYO.N</t>
  </si>
  <si>
    <t>ROKU.OQ</t>
  </si>
  <si>
    <t>FINR.PK</t>
  </si>
  <si>
    <t>SSKN.OQ</t>
  </si>
  <si>
    <t>EVLO.PK</t>
  </si>
  <si>
    <t>CAPS.OQ</t>
  </si>
  <si>
    <t>TRC.N</t>
  </si>
  <si>
    <t>COHN.A</t>
  </si>
  <si>
    <t>ZCMD.OQ</t>
  </si>
  <si>
    <t>CHMX.PK</t>
  </si>
  <si>
    <t>NAKA.OQ</t>
  </si>
  <si>
    <t>PERF.N</t>
  </si>
  <si>
    <t>XWEL.OQ</t>
  </si>
  <si>
    <t>KEWL.PK</t>
  </si>
  <si>
    <t>SITM.OQ</t>
  </si>
  <si>
    <t>PBAJ.PK</t>
  </si>
  <si>
    <t>GGBY.PK</t>
  </si>
  <si>
    <t>BXMT.N</t>
  </si>
  <si>
    <t>AZIL.PK</t>
  </si>
  <si>
    <t>KLIC.OQ</t>
  </si>
  <si>
    <t>LFCR.OQ</t>
  </si>
  <si>
    <t>XERS.OQ</t>
  </si>
  <si>
    <t>ECXJ.PK</t>
  </si>
  <si>
    <t>OPRT.OQ</t>
  </si>
  <si>
    <t>FBYD.OQ</t>
  </si>
  <si>
    <t>NBIS.OQ</t>
  </si>
  <si>
    <t>QREE.PK</t>
  </si>
  <si>
    <t>RVYL.OQ</t>
  </si>
  <si>
    <t>UEC.A</t>
  </si>
  <si>
    <t>RLX.N</t>
  </si>
  <si>
    <t>KOSK.PK</t>
  </si>
  <si>
    <t>IONQ.N</t>
  </si>
  <si>
    <t>XHG.OQ</t>
  </si>
  <si>
    <t>AKBA.OQ</t>
  </si>
  <si>
    <t>CYCA.PK</t>
  </si>
  <si>
    <t>WK.N</t>
  </si>
  <si>
    <t>FROG.OQ</t>
  </si>
  <si>
    <t>AIKO.PK</t>
  </si>
  <si>
    <t>AVNI.PK</t>
  </si>
  <si>
    <t>TMRC.PK</t>
  </si>
  <si>
    <t>REAL.OQ</t>
  </si>
  <si>
    <t>CAHO.PK</t>
  </si>
  <si>
    <t>XOMA.OQ</t>
  </si>
  <si>
    <t>ADTR.PK</t>
  </si>
  <si>
    <t>XMTR.OQ</t>
  </si>
  <si>
    <t>APPN.OQ</t>
  </si>
  <si>
    <t>DKNG.OQ</t>
  </si>
  <si>
    <t>WATT.OQ</t>
  </si>
  <si>
    <t>MERR.PK</t>
  </si>
  <si>
    <t>FTRE.OQ</t>
  </si>
  <si>
    <t>YHGJ.OQ</t>
  </si>
  <si>
    <t>AXTI.OQ</t>
  </si>
  <si>
    <t>TTAN.OQ</t>
  </si>
  <si>
    <t>VFF.OQ</t>
  </si>
  <si>
    <t>CYRB.PK</t>
  </si>
  <si>
    <t>URGN.OQ</t>
  </si>
  <si>
    <t>DROR.PK</t>
  </si>
  <si>
    <t>SMR.N</t>
  </si>
  <si>
    <t>FLYYQ.PK</t>
  </si>
  <si>
    <t>CBRA.PK</t>
  </si>
  <si>
    <t>ADMT.PK</t>
  </si>
  <si>
    <t>IDEXQ.PK</t>
  </si>
  <si>
    <t>ENSV.PK</t>
  </si>
  <si>
    <t>TPC.N</t>
  </si>
  <si>
    <t>ATRC.OQ</t>
  </si>
  <si>
    <t>AXG.OQ</t>
  </si>
  <si>
    <t>TVRD.OQ</t>
  </si>
  <si>
    <t>SSII.OQ</t>
  </si>
  <si>
    <t>SFIX.OQ</t>
  </si>
  <si>
    <t>MIGI.OQ</t>
  </si>
  <si>
    <t>WIMI.OQ</t>
  </si>
  <si>
    <t>TRWD.PK</t>
  </si>
  <si>
    <t>PW.A</t>
  </si>
  <si>
    <t>SNOW.N</t>
  </si>
  <si>
    <t>FCCN.PK</t>
  </si>
  <si>
    <t>TGEN.A</t>
  </si>
  <si>
    <t>GKOS.N</t>
  </si>
  <si>
    <t>ATLN.OQ</t>
  </si>
  <si>
    <t>RBLX.N</t>
  </si>
  <si>
    <t>RDDT.N</t>
  </si>
  <si>
    <t>GADS.PK</t>
  </si>
  <si>
    <t>SIGL.PK</t>
  </si>
  <si>
    <t>THMG.PK</t>
  </si>
  <si>
    <t>MMI.N</t>
  </si>
  <si>
    <t>INBX.OQ</t>
  </si>
  <si>
    <t>PL.N</t>
  </si>
  <si>
    <t>RIOT.OQ</t>
  </si>
  <si>
    <t>WOLF.N</t>
  </si>
  <si>
    <t>BYNO.PK</t>
  </si>
  <si>
    <t>LAES.OQ</t>
  </si>
  <si>
    <t>ASND.OQ</t>
  </si>
  <si>
    <t>LINK.OQ</t>
  </si>
  <si>
    <t>COHU.OQ</t>
  </si>
  <si>
    <t>AASP.PK</t>
  </si>
  <si>
    <t>CSAI.OQ</t>
  </si>
  <si>
    <t>KNSA.OQ</t>
  </si>
  <si>
    <t>MTVX.PK</t>
  </si>
  <si>
    <t>NXMR.PK</t>
  </si>
  <si>
    <t>CAVG.PK</t>
  </si>
  <si>
    <t>FSHP.OQ</t>
  </si>
  <si>
    <t>PREM.PK</t>
  </si>
  <si>
    <t>CHEK.OQ</t>
  </si>
  <si>
    <t>ARLO.N</t>
  </si>
  <si>
    <t>AIM.A</t>
  </si>
  <si>
    <t>SMMT.OQ</t>
  </si>
  <si>
    <t>GTLB.OQ</t>
  </si>
  <si>
    <t>TRSG.OQ</t>
  </si>
  <si>
    <t>ATXG.OQ</t>
  </si>
  <si>
    <t>ARDX.OQ</t>
  </si>
  <si>
    <t>BDST.PK</t>
  </si>
  <si>
    <t>CSPI.OQ</t>
  </si>
  <si>
    <t>ALKT.OQ</t>
  </si>
  <si>
    <t>HTFL.OQ</t>
  </si>
  <si>
    <t>BA.N</t>
  </si>
  <si>
    <t>USBC.A</t>
  </si>
  <si>
    <t>CMTG.N</t>
  </si>
  <si>
    <t>PATH.N</t>
  </si>
  <si>
    <t>INXTF.PK</t>
  </si>
  <si>
    <t>MAQC.PK</t>
  </si>
  <si>
    <t>BLMS.PK</t>
  </si>
  <si>
    <t>MONDQ.PK</t>
  </si>
  <si>
    <t>KWM.OQ</t>
  </si>
  <si>
    <t>GGR.OQ</t>
  </si>
  <si>
    <t>NMAX.N</t>
  </si>
  <si>
    <t>ALTS.OQ</t>
  </si>
  <si>
    <t>MKDTY.PK</t>
  </si>
  <si>
    <t>FUST.PK</t>
  </si>
  <si>
    <t>RGDXQ.PK</t>
  </si>
  <si>
    <t>MIRM.OQ</t>
  </si>
  <si>
    <t>ADGL.PK</t>
  </si>
  <si>
    <t>CNTY.OQ</t>
  </si>
  <si>
    <t>VIA.N</t>
  </si>
  <si>
    <t>EVGN.OQ</t>
  </si>
  <si>
    <t>PVLA.OQ</t>
  </si>
  <si>
    <t>RNAC.OQ</t>
  </si>
  <si>
    <t>DBGI.OQ</t>
  </si>
  <si>
    <t>PAR.N</t>
  </si>
  <si>
    <t>HYDI.PK</t>
  </si>
  <si>
    <t>NB.OQ</t>
  </si>
  <si>
    <t>STMH.PK</t>
  </si>
  <si>
    <t>HKIT.OQ</t>
  </si>
  <si>
    <t>SPIR.N</t>
  </si>
  <si>
    <t>THMO.PK</t>
  </si>
  <si>
    <t>POM.OQ</t>
  </si>
  <si>
    <t>HLCO.PK</t>
  </si>
  <si>
    <t>STHO.OQ</t>
  </si>
  <si>
    <t>CL.N</t>
  </si>
  <si>
    <t>ACRE.N</t>
  </si>
  <si>
    <t>VICA.PK</t>
  </si>
  <si>
    <t>JPPYY.PK</t>
  </si>
  <si>
    <t>CIBY.PK</t>
  </si>
  <si>
    <t>VOYG.N</t>
  </si>
  <si>
    <t>ALTI.OQ</t>
  </si>
  <si>
    <t>MEHCQ.PK</t>
  </si>
  <si>
    <t>LTBR.OQ</t>
  </si>
  <si>
    <t>VIVK.OQ</t>
  </si>
  <si>
    <t>NTSK.OQ</t>
  </si>
  <si>
    <t>BKFG.PK</t>
  </si>
  <si>
    <t>SNHO.PK</t>
  </si>
  <si>
    <t>CMRA.PK</t>
  </si>
  <si>
    <t>NASC.PK</t>
  </si>
  <si>
    <t>AFFY.PK</t>
  </si>
  <si>
    <t>UMAC.A</t>
  </si>
  <si>
    <t>GH.OQ</t>
  </si>
  <si>
    <t>TORO.OQ</t>
  </si>
  <si>
    <t>BCII.PK</t>
  </si>
  <si>
    <t>LPTH.OQ</t>
  </si>
  <si>
    <t>PPHI.PK</t>
  </si>
  <si>
    <t>CAI.OQ</t>
  </si>
  <si>
    <t>OXBR.OQ</t>
  </si>
  <si>
    <t>MLP.N</t>
  </si>
  <si>
    <t>NUAI.OQ</t>
  </si>
  <si>
    <t>NLST.PK</t>
  </si>
  <si>
    <t>TCEC.PK</t>
  </si>
  <si>
    <t>QBAK.PK</t>
  </si>
  <si>
    <t>OZ.A</t>
  </si>
  <si>
    <t>KIDS.OQ</t>
  </si>
  <si>
    <t>PGFF.PK</t>
  </si>
  <si>
    <t>DTGI.PK</t>
  </si>
  <si>
    <t>AVDL.OQ</t>
  </si>
  <si>
    <t>VRNS.OQ</t>
  </si>
  <si>
    <t>NELR.PK</t>
  </si>
  <si>
    <t>AAME.OQ</t>
  </si>
  <si>
    <t>BDCO.PK</t>
  </si>
  <si>
    <t>TDUP.OQ</t>
  </si>
  <si>
    <t>APHD.PK</t>
  </si>
  <si>
    <t>PHR.N</t>
  </si>
  <si>
    <t>RUM.OQ</t>
  </si>
  <si>
    <t>AISP.OQ</t>
  </si>
  <si>
    <t>GTII.PK</t>
  </si>
  <si>
    <t>DTCK.OQ</t>
  </si>
  <si>
    <t>AAOI.OQ</t>
  </si>
  <si>
    <t>NEGG.OQ</t>
  </si>
  <si>
    <t>FRGT.OQ</t>
  </si>
  <si>
    <t>PD.N</t>
  </si>
  <si>
    <t>GMEV.PK</t>
  </si>
  <si>
    <t>LAC.N</t>
  </si>
  <si>
    <t>GRDN.N</t>
  </si>
  <si>
    <t>GNOLF.PK</t>
  </si>
  <si>
    <t>BAYA.OQ</t>
  </si>
  <si>
    <t>TLOG.PK</t>
  </si>
  <si>
    <t>IGSC.PK</t>
  </si>
  <si>
    <t>PAL.OQ</t>
  </si>
  <si>
    <t>RNAZ.OQ</t>
  </si>
  <si>
    <t>AVAI.PK</t>
  </si>
  <si>
    <t>HRTX.OQ</t>
  </si>
  <si>
    <t>VRM.OQ</t>
  </si>
  <si>
    <t>MRAM.OQ</t>
  </si>
  <si>
    <t>HKHC.PK</t>
  </si>
  <si>
    <t>MLGO.OQ</t>
  </si>
  <si>
    <t>INSM.OQ</t>
  </si>
  <si>
    <t>ATHR.OQ</t>
  </si>
  <si>
    <t>REFR.OQ</t>
  </si>
  <si>
    <t>CRMD.OQ</t>
  </si>
  <si>
    <t>RBTK.PK</t>
  </si>
  <si>
    <t>LEAT.PK</t>
  </si>
  <si>
    <t>GWSO.PK</t>
  </si>
  <si>
    <t>LNSR.OQ</t>
  </si>
  <si>
    <t>VRCA.OQ</t>
  </si>
  <si>
    <t>SLAB.OQ</t>
  </si>
  <si>
    <t>BLZE.OQ</t>
  </si>
  <si>
    <t>GTBP.OQ</t>
  </si>
  <si>
    <t>SLTN.PK</t>
  </si>
  <si>
    <t>NVFY.OQ</t>
  </si>
  <si>
    <t>CMRC.OQ</t>
  </si>
  <si>
    <t>BFCH.PK</t>
  </si>
  <si>
    <t>GERS.PK</t>
  </si>
  <si>
    <t>GBCS.PK</t>
  </si>
  <si>
    <t>ACLX.OQ</t>
  </si>
  <si>
    <t>CYTK.OQ</t>
  </si>
  <si>
    <t>MSPR.OQ</t>
  </si>
  <si>
    <t>MCHX.OQ</t>
  </si>
  <si>
    <t>NOWG.PK</t>
  </si>
  <si>
    <t>AMBA.OQ</t>
  </si>
  <si>
    <t>BSLK.OQ</t>
  </si>
  <si>
    <t>FREHY.PK</t>
  </si>
  <si>
    <t>LUNR.OQ</t>
  </si>
  <si>
    <t>LKST.PK</t>
  </si>
  <si>
    <t>MNGG.PK</t>
  </si>
  <si>
    <t>GEMI.OQ</t>
  </si>
  <si>
    <t>CTKB.OQ</t>
  </si>
  <si>
    <t>CRIS.OQ</t>
  </si>
  <si>
    <t>MRSN.OQ</t>
  </si>
  <si>
    <t>HWGG.PK</t>
  </si>
  <si>
    <t>SKIN.OQ</t>
  </si>
  <si>
    <t>LASR.OQ</t>
  </si>
  <si>
    <t>IMDX.OQ</t>
  </si>
  <si>
    <t>IMTX.OQ</t>
  </si>
  <si>
    <t>APSI.PK</t>
  </si>
  <si>
    <t>TBHC.OQ</t>
  </si>
  <si>
    <t>ICTSF.PK</t>
  </si>
  <si>
    <t>VCNX.PK</t>
  </si>
  <si>
    <t>MVNC.PK</t>
  </si>
  <si>
    <t>EOSE.OQ</t>
  </si>
  <si>
    <t>CHNO.PK</t>
  </si>
  <si>
    <t>SBR.N</t>
  </si>
  <si>
    <t>COE.A</t>
  </si>
  <si>
    <t>POSC.PK</t>
  </si>
  <si>
    <t>GXXM.PK</t>
  </si>
  <si>
    <t>CFOO.PK</t>
  </si>
  <si>
    <t>BIMT.PK</t>
  </si>
  <si>
    <t>NEXT.OQ</t>
  </si>
  <si>
    <t>ITRM.OQ</t>
  </si>
  <si>
    <t>YRIV.PK</t>
  </si>
  <si>
    <t>HGYN.PK</t>
  </si>
  <si>
    <t>KARX.PK</t>
  </si>
  <si>
    <t>KITT.OQ</t>
  </si>
  <si>
    <t>ZNOG.PK</t>
  </si>
  <si>
    <t>OFAL.OQ</t>
  </si>
  <si>
    <t>ACVA.N</t>
  </si>
  <si>
    <t>AHRO.PK</t>
  </si>
  <si>
    <t>KRMD.OQ</t>
  </si>
  <si>
    <t>STEP.OQ</t>
  </si>
  <si>
    <t>IRME.PK</t>
  </si>
  <si>
    <t>GWMGF.PK</t>
  </si>
  <si>
    <t>KEGX.PK</t>
  </si>
  <si>
    <t>MRX.OQ</t>
  </si>
  <si>
    <t>ANNA.OQ</t>
  </si>
  <si>
    <t>DVA.N</t>
  </si>
  <si>
    <t>MNPR.OQ</t>
  </si>
  <si>
    <t>CLOV.OQ</t>
  </si>
  <si>
    <t>NORNQ.PK</t>
  </si>
  <si>
    <t>ECIA.PK</t>
  </si>
  <si>
    <t>MSGP.PK</t>
  </si>
  <si>
    <t>LMND.N</t>
  </si>
  <si>
    <t>HMELF.PK</t>
  </si>
  <si>
    <t>GAFC.PK</t>
  </si>
  <si>
    <t>EFTR.PK</t>
  </si>
  <si>
    <t>NHTC.OQ</t>
  </si>
  <si>
    <t>LWLG.OQ</t>
  </si>
  <si>
    <t>MTSR.OQ</t>
  </si>
  <si>
    <t>GMPW.PK</t>
  </si>
  <si>
    <t>LPSN.OQ</t>
  </si>
  <si>
    <t>ICG.OQ</t>
  </si>
  <si>
    <t>WBTN.OQ</t>
  </si>
  <si>
    <t>CLFD.OQ</t>
  </si>
  <si>
    <t>CHSN.OQ</t>
  </si>
  <si>
    <t>OMDA.OQ</t>
  </si>
  <si>
    <t>CDJM.PK</t>
  </si>
  <si>
    <t>KOSS.OQ</t>
  </si>
  <si>
    <t>JUPGF.PK</t>
  </si>
  <si>
    <t>RIBT.PK</t>
  </si>
  <si>
    <t>SONM.OQ</t>
  </si>
  <si>
    <t>PC.OQ</t>
  </si>
  <si>
    <t>CMCAF.PK</t>
  </si>
  <si>
    <t>LNMG.PK</t>
  </si>
  <si>
    <t>BETR.OQ</t>
  </si>
  <si>
    <t>GTLL.PK</t>
  </si>
  <si>
    <t>BRSHF.PK</t>
  </si>
  <si>
    <t>IMVIF.PK</t>
  </si>
  <si>
    <t>VKTX.OQ</t>
  </si>
  <si>
    <t>SST.N</t>
  </si>
  <si>
    <t>ACGP.PK</t>
  </si>
  <si>
    <t>LIBP.PK</t>
  </si>
  <si>
    <t>CERS.OQ</t>
  </si>
  <si>
    <t>BRZE.OQ</t>
  </si>
  <si>
    <t>AVD.N</t>
  </si>
  <si>
    <t>AQST.OQ</t>
  </si>
  <si>
    <t>SFHG.OQ</t>
  </si>
  <si>
    <t>YTENQ.PK</t>
  </si>
  <si>
    <t>APTOF.PK</t>
  </si>
  <si>
    <t>AAPI.PK</t>
  </si>
  <si>
    <t>RNA.OQ</t>
  </si>
  <si>
    <t>LVVV.PK</t>
  </si>
  <si>
    <t>BBIO.OQ</t>
  </si>
  <si>
    <t>EP.A</t>
  </si>
  <si>
    <t>KRNT.OQ</t>
  </si>
  <si>
    <t>CAOHF.PK</t>
  </si>
  <si>
    <t>SSCC.PK</t>
  </si>
  <si>
    <t>VSTM.OQ</t>
  </si>
  <si>
    <t>IONS.OQ</t>
  </si>
  <si>
    <t>OPEN.OQ</t>
  </si>
  <si>
    <t>NDLS.OQ</t>
  </si>
  <si>
    <t>AAP.N</t>
  </si>
  <si>
    <t>CFRXQ.PK</t>
  </si>
  <si>
    <t>PBLA.PK</t>
  </si>
  <si>
    <t>HRB.N</t>
  </si>
  <si>
    <t>COMS.PK</t>
  </si>
  <si>
    <t>AWHL.PK</t>
  </si>
  <si>
    <t>ELTX.OQ</t>
  </si>
  <si>
    <t>TMPOQ.PK</t>
  </si>
  <si>
    <t>TRVN.PK</t>
  </si>
  <si>
    <t>PNYG.PK</t>
  </si>
  <si>
    <t>MRUS.OQ</t>
  </si>
  <si>
    <t>ENGT.PK</t>
  </si>
  <si>
    <t>HCAT.OQ</t>
  </si>
  <si>
    <t>CELC.OQ</t>
  </si>
  <si>
    <t>HYMC.OQ</t>
  </si>
  <si>
    <t>MEDE.PK</t>
  </si>
  <si>
    <t>VRSK.OQ</t>
  </si>
  <si>
    <t>SG.N</t>
  </si>
  <si>
    <t>LAR.N</t>
  </si>
  <si>
    <t>NEPTF.PK</t>
  </si>
  <si>
    <t>FTRK.OQ</t>
  </si>
  <si>
    <t>PMI.A</t>
  </si>
  <si>
    <t>MWG.A</t>
  </si>
  <si>
    <t>BGMS.OQ</t>
  </si>
  <si>
    <t>IONI.PK</t>
  </si>
  <si>
    <t>WMTN.PK</t>
  </si>
  <si>
    <t>MRNO.OQ</t>
  </si>
  <si>
    <t>FRSH.OQ</t>
  </si>
  <si>
    <t>QMDT.PK</t>
  </si>
  <si>
    <t>CCTSF.PK</t>
  </si>
  <si>
    <t>NAUH.PK</t>
  </si>
  <si>
    <t>NEOV.OQ</t>
  </si>
  <si>
    <t>GAHC.PK</t>
  </si>
  <si>
    <t>OLMM.PK</t>
  </si>
  <si>
    <t>RBRK.N</t>
  </si>
  <si>
    <t>WEAV.N</t>
  </si>
  <si>
    <t>HDYNQ.PK</t>
  </si>
  <si>
    <t>WTO.OQ</t>
  </si>
  <si>
    <t>NC.N</t>
  </si>
  <si>
    <t>CGON.OQ</t>
  </si>
  <si>
    <t>HYSR.PK</t>
  </si>
  <si>
    <t>FKWL.OQ</t>
  </si>
  <si>
    <t>AQUC.PK</t>
  </si>
  <si>
    <t>BBNX.OQ</t>
  </si>
  <si>
    <t>TRAW.OQ</t>
  </si>
  <si>
    <t>TRVI.OQ</t>
  </si>
  <si>
    <t>NUVL.OQ</t>
  </si>
  <si>
    <t>IMCR.OQ</t>
  </si>
  <si>
    <t>FIG.N</t>
  </si>
  <si>
    <t>PTZH.PK</t>
  </si>
  <si>
    <t>ZPAS.PK</t>
  </si>
  <si>
    <t>SPRN.PK</t>
  </si>
  <si>
    <t>KOPN.OQ</t>
  </si>
  <si>
    <t>LVWD.PK</t>
  </si>
  <si>
    <t>QS.N</t>
  </si>
  <si>
    <t>NN.OQ</t>
  </si>
  <si>
    <t>GIGA.PK</t>
  </si>
  <si>
    <t>GIGAQ.PK</t>
  </si>
  <si>
    <t>JOUT.OQ</t>
  </si>
  <si>
    <t>TARS.OQ</t>
  </si>
  <si>
    <t>LCHD.PK</t>
  </si>
  <si>
    <t>PAVS.OQ</t>
  </si>
  <si>
    <t>IRON.OQ</t>
  </si>
  <si>
    <t>CLPT.OQ</t>
  </si>
  <si>
    <t>CSSEQ.PK</t>
  </si>
  <si>
    <t>WINR.PK</t>
  </si>
  <si>
    <t>HCWB.OQ</t>
  </si>
  <si>
    <t>CRCE.PK</t>
  </si>
  <si>
    <t>ATLDF.PK</t>
  </si>
  <si>
    <t>MNTS.OQ</t>
  </si>
  <si>
    <t>ALGS.OQ</t>
  </si>
  <si>
    <t>FXLV.PK</t>
  </si>
  <si>
    <t>SIBN.OQ</t>
  </si>
  <si>
    <t>ANTH.PK</t>
  </si>
  <si>
    <t>BRGX.PK</t>
  </si>
  <si>
    <t>LEGN.OQ</t>
  </si>
  <si>
    <t>DCTH.OQ</t>
  </si>
  <si>
    <t>LSF.A</t>
  </si>
  <si>
    <t>KLXE.OQ</t>
  </si>
  <si>
    <t>AMTX.OQ</t>
  </si>
  <si>
    <t>JOBY.N</t>
  </si>
  <si>
    <t>CRML.OQ</t>
  </si>
  <si>
    <t>CDTX.OQ</t>
  </si>
  <si>
    <t>CDNA.OQ</t>
  </si>
  <si>
    <t>FULC.OQ</t>
  </si>
  <si>
    <t>MYGN.OQ</t>
  </si>
  <si>
    <t>VRDR.PK</t>
  </si>
  <si>
    <t>CFLT.OQ</t>
  </si>
  <si>
    <t>CERO.PK</t>
  </si>
  <si>
    <t>SION.OQ</t>
  </si>
  <si>
    <t>MVO.N</t>
  </si>
  <si>
    <t>LOCL.N</t>
  </si>
  <si>
    <t>ARQT.OQ</t>
  </si>
  <si>
    <t>CPIX.OQ</t>
  </si>
  <si>
    <t>SRTA.OQ</t>
  </si>
  <si>
    <t>RC.N</t>
  </si>
  <si>
    <t>DVLT.OQ</t>
  </si>
  <si>
    <t>XYLB.PK</t>
  </si>
  <si>
    <t>EXCC.PK</t>
  </si>
  <si>
    <t>NOTE.N</t>
  </si>
  <si>
    <t>ABWN.PK</t>
  </si>
  <si>
    <t>WTF.OQ</t>
  </si>
  <si>
    <t>BLIN.OQ</t>
  </si>
  <si>
    <t>GBR.A</t>
  </si>
  <si>
    <t>MBIO.OQ</t>
  </si>
  <si>
    <t>STEC.OQ</t>
  </si>
  <si>
    <t>IFMK.PK</t>
  </si>
  <si>
    <t>DJT.OQ</t>
  </si>
  <si>
    <t>KNRX.A</t>
  </si>
  <si>
    <t>SLXN.OQ</t>
  </si>
  <si>
    <t>S.N</t>
  </si>
  <si>
    <t>NVTS.OQ</t>
  </si>
  <si>
    <t>MDGL.OQ</t>
  </si>
  <si>
    <t>MDAI.OQ</t>
  </si>
  <si>
    <t>FGNX.OQ</t>
  </si>
  <si>
    <t>ARET.PK</t>
  </si>
  <si>
    <t>OKYO.OQ</t>
  </si>
  <si>
    <t>REEMF.PK</t>
  </si>
  <si>
    <t>ATPC.OQ</t>
  </si>
  <si>
    <t>MAX.N</t>
  </si>
  <si>
    <t>DFCO.PK</t>
  </si>
  <si>
    <t>AERT.OQ</t>
  </si>
  <si>
    <t>PRKR.PK</t>
  </si>
  <si>
    <t>PLUR.OQ</t>
  </si>
  <si>
    <t>RYTM.OQ</t>
  </si>
  <si>
    <t>URYL.PK</t>
  </si>
  <si>
    <t>SHIM.OQ</t>
  </si>
  <si>
    <t>CYRX.OQ</t>
  </si>
  <si>
    <t>KAYS.PK</t>
  </si>
  <si>
    <t>MBI.N</t>
  </si>
  <si>
    <t>YYYH.PK</t>
  </si>
  <si>
    <t>PRAX.OQ</t>
  </si>
  <si>
    <t>GEG.OQ</t>
  </si>
  <si>
    <t>JMIA.N</t>
  </si>
  <si>
    <t>EVLV.OQ</t>
  </si>
  <si>
    <t>BLSP.PK</t>
  </si>
  <si>
    <t>FMNJ.PK</t>
  </si>
  <si>
    <t>MKDW.OQ</t>
  </si>
  <si>
    <t>SATL.OQ</t>
  </si>
  <si>
    <t>ADPT.OQ</t>
  </si>
  <si>
    <t>CDZI.OQ</t>
  </si>
  <si>
    <t>SGN.A</t>
  </si>
  <si>
    <t>TBPH.OQ</t>
  </si>
  <si>
    <t>HMNY.PK</t>
  </si>
  <si>
    <t>AUMN.PK</t>
  </si>
  <si>
    <t>BYND.OQ</t>
  </si>
  <si>
    <t>LCTX.A</t>
  </si>
  <si>
    <t>FPPP.PK</t>
  </si>
  <si>
    <t>HLEO.PK</t>
  </si>
  <si>
    <t>NIPG.OQ</t>
  </si>
  <si>
    <t>BIOF.PK</t>
  </si>
  <si>
    <t>SRZN.OQ</t>
  </si>
  <si>
    <t>ACAN.PK</t>
  </si>
  <si>
    <t>OCG.OQ</t>
  </si>
  <si>
    <t>OKMN.PK</t>
  </si>
  <si>
    <t>PLSE.OQ</t>
  </si>
  <si>
    <t>SUND.PK</t>
  </si>
  <si>
    <t>RBCN.PK</t>
  </si>
  <si>
    <t>SRGZ.PK</t>
  </si>
  <si>
    <t>PXFG.PK</t>
  </si>
  <si>
    <t>XTNT.A</t>
  </si>
  <si>
    <t>SLDP.OQ</t>
  </si>
  <si>
    <t>SI.N</t>
  </si>
  <si>
    <t>KNOS.PK</t>
  </si>
  <si>
    <t>GRNQ.OQ</t>
  </si>
  <si>
    <t>TGHL.OQ</t>
  </si>
  <si>
    <t>FBDS.PK</t>
  </si>
  <si>
    <t>LTRE.PK</t>
  </si>
  <si>
    <t>EXOZ.OQ</t>
  </si>
  <si>
    <t>IPIC.PK</t>
  </si>
  <si>
    <t>XHLD.OQ</t>
  </si>
  <si>
    <t>FSLY.N</t>
  </si>
  <si>
    <t>PTNT.PK</t>
  </si>
  <si>
    <t>HUDI.OQ</t>
  </si>
  <si>
    <t>KYMR.OQ</t>
  </si>
  <si>
    <t>TBN.N</t>
  </si>
  <si>
    <t>AZ.OQ</t>
  </si>
  <si>
    <t>ACRL.PK</t>
  </si>
  <si>
    <t>MSB.N</t>
  </si>
  <si>
    <t>CBCA.PK</t>
  </si>
  <si>
    <t>HURC.OQ</t>
  </si>
  <si>
    <t>PRCT.OQ</t>
  </si>
  <si>
    <t>RDZN.OQ</t>
  </si>
  <si>
    <t>ENMI.PK</t>
  </si>
  <si>
    <t>SEDN.PK</t>
  </si>
  <si>
    <t>APGE.OQ</t>
  </si>
  <si>
    <t>LPA.A</t>
  </si>
  <si>
    <t>BIQIF.PK</t>
  </si>
  <si>
    <t>HUMA.OQ</t>
  </si>
  <si>
    <t>ELOX.PK</t>
  </si>
  <si>
    <t>GNPG.PK</t>
  </si>
  <si>
    <t>MODVQ.PK</t>
  </si>
  <si>
    <t>CFGX.PK</t>
  </si>
  <si>
    <t>DOMO.OQ</t>
  </si>
  <si>
    <t>HIPO.N</t>
  </si>
  <si>
    <t>CULP.N</t>
  </si>
  <si>
    <t>CPSH.OQ</t>
  </si>
  <si>
    <t>WAVE.OQ</t>
  </si>
  <si>
    <t>SDCH.PK</t>
  </si>
  <si>
    <t>CVAT.PK</t>
  </si>
  <si>
    <t>PMDI.PK</t>
  </si>
  <si>
    <t>UP.N</t>
  </si>
  <si>
    <t>GSIT.OQ</t>
  </si>
  <si>
    <t>MIMI.OQ</t>
  </si>
  <si>
    <t>GHRS.OQ</t>
  </si>
  <si>
    <t>RLBY.PK</t>
  </si>
  <si>
    <t>RVMD.OQ</t>
  </si>
  <si>
    <t>JAGL.PK</t>
  </si>
  <si>
    <t>SRAX.PK</t>
  </si>
  <si>
    <t>TUYA.N</t>
  </si>
  <si>
    <t>BNKL.PK</t>
  </si>
  <si>
    <t>RBZHF.PK</t>
  </si>
  <si>
    <t>CAPR.OQ</t>
  </si>
  <si>
    <t>FTEK.OQ</t>
  </si>
  <si>
    <t>BGIN.OQ</t>
  </si>
  <si>
    <t>BURU.A</t>
  </si>
  <si>
    <t>ICCT.PK</t>
  </si>
  <si>
    <t>SMXT.OQ</t>
  </si>
  <si>
    <t>TNDM.OQ</t>
  </si>
  <si>
    <t>CATV.PK</t>
  </si>
  <si>
    <t>TMGI.PK</t>
  </si>
  <si>
    <t>ZEO.OQ</t>
  </si>
  <si>
    <t>VGTL.PK</t>
  </si>
  <si>
    <t>OWLT.N</t>
  </si>
  <si>
    <t>AIIO.OQ</t>
  </si>
  <si>
    <t>AKTSQ.PK</t>
  </si>
  <si>
    <t>TKNO.OQ</t>
  </si>
  <si>
    <t>SRCO.PK</t>
  </si>
  <si>
    <t>VLAI.PK</t>
  </si>
  <si>
    <t>ATHXQ.PK</t>
  </si>
  <si>
    <t>ORKA.OQ</t>
  </si>
  <si>
    <t>PXLW.OQ</t>
  </si>
  <si>
    <t>CUPR.OQ</t>
  </si>
  <si>
    <t>ECCE.PK</t>
  </si>
  <si>
    <t>TEHG.PK</t>
  </si>
  <si>
    <t>TPHS.PK</t>
  </si>
  <si>
    <t>ZPTA.PK</t>
  </si>
  <si>
    <t>EAPH.PK</t>
  </si>
  <si>
    <t>TIOG.PK</t>
  </si>
  <si>
    <t>FLGT.OQ</t>
  </si>
  <si>
    <t>CBIH.PK</t>
  </si>
  <si>
    <t>TZUP.OQ</t>
  </si>
  <si>
    <t>EHSI.PK</t>
  </si>
  <si>
    <t>TERN.OQ</t>
  </si>
  <si>
    <t>MBX.OQ</t>
  </si>
  <si>
    <t>DGLY.OQ</t>
  </si>
  <si>
    <t>PTOI.PK</t>
  </si>
  <si>
    <t>STEM.N</t>
  </si>
  <si>
    <t>GTHP.PK</t>
  </si>
  <si>
    <t>BZAI.OQ</t>
  </si>
  <si>
    <t>FTXP.PK</t>
  </si>
  <si>
    <t>ZEPP.N</t>
  </si>
  <si>
    <t>OCLG.PK</t>
  </si>
  <si>
    <t>EPOW.OQ</t>
  </si>
  <si>
    <t>WGRX.OQ</t>
  </si>
  <si>
    <t>OUST.OQ</t>
  </si>
  <si>
    <t>YI.OQ</t>
  </si>
  <si>
    <t>RAPP.OQ</t>
  </si>
  <si>
    <t>HYFM.OQ</t>
  </si>
  <si>
    <t>BNSOF.PK</t>
  </si>
  <si>
    <t>ABMT.PK</t>
  </si>
  <si>
    <t>LRDC.PK</t>
  </si>
  <si>
    <t>AKRO.OQ</t>
  </si>
  <si>
    <t>JANX.OQ</t>
  </si>
  <si>
    <t>BARK.N</t>
  </si>
  <si>
    <t>PZG.A</t>
  </si>
  <si>
    <t>TLS.OQ</t>
  </si>
  <si>
    <t>NGMC.PK</t>
  </si>
  <si>
    <t>SENR.PK</t>
  </si>
  <si>
    <t>GALT.OQ</t>
  </si>
  <si>
    <t>PGID.PK</t>
  </si>
  <si>
    <t>IH.N</t>
  </si>
  <si>
    <t>CTRN.OQ</t>
  </si>
  <si>
    <t>IBRX.OQ</t>
  </si>
  <si>
    <t>MASN.PK</t>
  </si>
  <si>
    <t>TE.N</t>
  </si>
  <si>
    <t>TPICQ.PK</t>
  </si>
  <si>
    <t>KPEA.PK</t>
  </si>
  <si>
    <t>BHAT.OQ</t>
  </si>
  <si>
    <t>UPB.OQ</t>
  </si>
  <si>
    <t>DNTH.OQ</t>
  </si>
  <si>
    <t>PSTV.OQ</t>
  </si>
  <si>
    <t>CMHZ.PK</t>
  </si>
  <si>
    <t>AMBC.N</t>
  </si>
  <si>
    <t>ORGS.PK</t>
  </si>
  <si>
    <t>MTC.OQ</t>
  </si>
  <si>
    <t>TLSI.OQ</t>
  </si>
  <si>
    <t>PCT.OQ</t>
  </si>
  <si>
    <t>APLS.OQ</t>
  </si>
  <si>
    <t>BRRE.PK</t>
  </si>
  <si>
    <t>AREB.OQ</t>
  </si>
  <si>
    <t>VIDE.PK</t>
  </si>
  <si>
    <t>TACT.OQ</t>
  </si>
  <si>
    <t>XGN.OQ</t>
  </si>
  <si>
    <t>KTEL.PK</t>
  </si>
  <si>
    <t>MCET.PK</t>
  </si>
  <si>
    <t>WTRV.PK</t>
  </si>
  <si>
    <t>TOMDF.PK</t>
  </si>
  <si>
    <t>SHRG.PK</t>
  </si>
  <si>
    <t>RAYA.OQ</t>
  </si>
  <si>
    <t>WHEN.PK</t>
  </si>
  <si>
    <t>AMBQ.N</t>
  </si>
  <si>
    <t>OS.OQ</t>
  </si>
  <si>
    <t>DC.A</t>
  </si>
  <si>
    <t>KITL.PK</t>
  </si>
  <si>
    <t>HAUP.PK</t>
  </si>
  <si>
    <t>BOREF.PK</t>
  </si>
  <si>
    <t>GLSHQ.PK</t>
  </si>
  <si>
    <t>CRVS.OQ</t>
  </si>
  <si>
    <t>CNWT.PK</t>
  </si>
  <si>
    <t>NTAC.PK</t>
  </si>
  <si>
    <t>PRCX.PK</t>
  </si>
  <si>
    <t>CNNE.N</t>
  </si>
  <si>
    <t>CRTAF.PK</t>
  </si>
  <si>
    <t>CAPT.OQ</t>
  </si>
  <si>
    <t>KWIK.PK</t>
  </si>
  <si>
    <t>RILY.OQ</t>
  </si>
  <si>
    <t>TDNT.PK</t>
  </si>
  <si>
    <t>WWPW.PK</t>
  </si>
  <si>
    <t>SQNS.N</t>
  </si>
  <si>
    <t>LQDA.OQ</t>
  </si>
  <si>
    <t>FHTX.OQ</t>
  </si>
  <si>
    <t>NWBO.PK</t>
  </si>
  <si>
    <t>LFLYD.PK</t>
  </si>
  <si>
    <t>CORBF.PK</t>
  </si>
  <si>
    <t>SBDS.N</t>
  </si>
  <si>
    <t>VRME.OQ</t>
  </si>
  <si>
    <t>VRAR.OQ</t>
  </si>
  <si>
    <t>UDMY.OQ</t>
  </si>
  <si>
    <t>IHS.N</t>
  </si>
  <si>
    <t>MLYS.OQ</t>
  </si>
  <si>
    <t>PVCT.PK</t>
  </si>
  <si>
    <t>MTLK.PK</t>
  </si>
  <si>
    <t>SPND.PK</t>
  </si>
  <si>
    <t>AIXI.OQ</t>
  </si>
  <si>
    <t>ZYME.OQ</t>
  </si>
  <si>
    <t>GRTX.PK</t>
  </si>
  <si>
    <t>JRJRQ.PK</t>
  </si>
  <si>
    <t>PHAT.OQ</t>
  </si>
  <si>
    <t>CURR.OQ</t>
  </si>
  <si>
    <t>BYSI.OQ</t>
  </si>
  <si>
    <t>UEEC.PK</t>
  </si>
  <si>
    <t>MAXN.OQ</t>
  </si>
  <si>
    <t>LBSR.PK</t>
  </si>
  <si>
    <t>FLYX.A</t>
  </si>
  <si>
    <t>ZAZA.PK</t>
  </si>
  <si>
    <t>PODC.OQ</t>
  </si>
  <si>
    <t>BBBT.PK</t>
  </si>
  <si>
    <t>NTGR.OQ</t>
  </si>
  <si>
    <t>GPCR.OQ</t>
  </si>
  <si>
    <t>BLGO.PK</t>
  </si>
  <si>
    <t>ALME.PK</t>
  </si>
  <si>
    <t>CRNX.OQ</t>
  </si>
  <si>
    <t>MAJI.PK</t>
  </si>
  <si>
    <t>EWTX.OQ</t>
  </si>
  <si>
    <t>PRPO.OQ</t>
  </si>
  <si>
    <t>SOUN.OQ</t>
  </si>
  <si>
    <t>ROIV.OQ</t>
  </si>
  <si>
    <t>BIOE.PK</t>
  </si>
  <si>
    <t>VGAS.OQ</t>
  </si>
  <si>
    <t>ELPW.OQ</t>
  </si>
  <si>
    <t>QMCO.OQ</t>
  </si>
  <si>
    <t>ATCH.A</t>
  </si>
  <si>
    <t>INFIQ.PK</t>
  </si>
  <si>
    <t>SLNO.OQ</t>
  </si>
  <si>
    <t>TRXO.PK</t>
  </si>
  <si>
    <t>SYNE.PK</t>
  </si>
  <si>
    <t>WEJOF.PK</t>
  </si>
  <si>
    <t>DRCT.OQ</t>
  </si>
  <si>
    <t>KRBPQ.PK</t>
  </si>
  <si>
    <t>BXRXQ.PK</t>
  </si>
  <si>
    <t>MRNJ.PK</t>
  </si>
  <si>
    <t>AWCA.PK</t>
  </si>
  <si>
    <t>NIHK.PK</t>
  </si>
  <si>
    <t>CNTGF.PK</t>
  </si>
  <si>
    <t>APTY.PK</t>
  </si>
  <si>
    <t>GJST.PK</t>
  </si>
  <si>
    <t>CCM.N</t>
  </si>
  <si>
    <t>TWST.OQ</t>
  </si>
  <si>
    <t>LIFD.PK</t>
  </si>
  <si>
    <t>LOBO.OQ</t>
  </si>
  <si>
    <t>STOK.OQ</t>
  </si>
  <si>
    <t>HCTI.OQ</t>
  </si>
  <si>
    <t>LDWY.OQ</t>
  </si>
  <si>
    <t>AMPL.OQ</t>
  </si>
  <si>
    <t>NVCR.OQ</t>
  </si>
  <si>
    <t>MXL.OQ</t>
  </si>
  <si>
    <t>LBTI.PK</t>
  </si>
  <si>
    <t>GELS.OQ</t>
  </si>
  <si>
    <t>RXST.OQ</t>
  </si>
  <si>
    <t>MRT.A</t>
  </si>
  <si>
    <t>WHLT.PK</t>
  </si>
  <si>
    <t>CARM.PK</t>
  </si>
  <si>
    <t>PACV.PK</t>
  </si>
  <si>
    <t>SIMPQ.PK</t>
  </si>
  <si>
    <t>SPOM.PK</t>
  </si>
  <si>
    <t>KMTS.OQ</t>
  </si>
  <si>
    <t>SPR.N</t>
  </si>
  <si>
    <t>PVSP.PK</t>
  </si>
  <si>
    <t>POET.OQ</t>
  </si>
  <si>
    <t>OMER.OQ</t>
  </si>
  <si>
    <t>RPMT.PK</t>
  </si>
  <si>
    <t>TWSI.PK</t>
  </si>
  <si>
    <t>AUR.OQ</t>
  </si>
  <si>
    <t>DERM.OQ</t>
  </si>
  <si>
    <t>NCRA.OQ</t>
  </si>
  <si>
    <t>CMPX.OQ</t>
  </si>
  <si>
    <t>BYOC.PK</t>
  </si>
  <si>
    <t>SSGC.PK</t>
  </si>
  <si>
    <t>MTBLY.PK</t>
  </si>
  <si>
    <t>MTRX.OQ</t>
  </si>
  <si>
    <t>LENZ.OQ</t>
  </si>
  <si>
    <t>OSS.OQ</t>
  </si>
  <si>
    <t>CLTH.PK</t>
  </si>
  <si>
    <t>ARMP.A</t>
  </si>
  <si>
    <t>ENVX.OQ</t>
  </si>
  <si>
    <t>SEAV.PK</t>
  </si>
  <si>
    <t>XENE.OQ</t>
  </si>
  <si>
    <t>EBWK.PK</t>
  </si>
  <si>
    <t>PFTI.PK</t>
  </si>
  <si>
    <t>OCUL.OQ</t>
  </si>
  <si>
    <t>MSTO.PK</t>
  </si>
  <si>
    <t>IE.A</t>
  </si>
  <si>
    <t>CRGO.OQ</t>
  </si>
  <si>
    <t>TRUG.OQ</t>
  </si>
  <si>
    <t>HUIZ.OQ</t>
  </si>
  <si>
    <t>APYP.PK</t>
  </si>
  <si>
    <t>AAMI.N</t>
  </si>
  <si>
    <t>TTOO.PK</t>
  </si>
  <si>
    <t>CGEN.OQ</t>
  </si>
  <si>
    <t>MLRT.PK</t>
  </si>
  <si>
    <t>BRLL.PK</t>
  </si>
  <si>
    <t>ADXS.PK</t>
  </si>
  <si>
    <t>COUR.N</t>
  </si>
  <si>
    <t>OEDVQ.PK</t>
  </si>
  <si>
    <t>MTST.PK</t>
  </si>
  <si>
    <t>RSKD.N</t>
  </si>
  <si>
    <t>ADCT.N</t>
  </si>
  <si>
    <t>ABUS.OQ</t>
  </si>
  <si>
    <t>PSNL.OQ</t>
  </si>
  <si>
    <t>ADMG.PK</t>
  </si>
  <si>
    <t>AAGR.PK</t>
  </si>
  <si>
    <t>GRMC.PK</t>
  </si>
  <si>
    <t>MDWD.OQ</t>
  </si>
  <si>
    <t>WWR.A</t>
  </si>
  <si>
    <t>ULY.OQ</t>
  </si>
  <si>
    <t>CMOT.PK</t>
  </si>
  <si>
    <t>ERHE.PK</t>
  </si>
  <si>
    <t>TGRP.PK</t>
  </si>
  <si>
    <t>SRG.N</t>
  </si>
  <si>
    <t>STRR.OQ</t>
  </si>
  <si>
    <t>BLUU.PK</t>
  </si>
  <si>
    <t>PCVX.OQ</t>
  </si>
  <si>
    <t>XPL.A</t>
  </si>
  <si>
    <t>LYV.N</t>
  </si>
  <si>
    <t>ELVN.OQ</t>
  </si>
  <si>
    <t>EDUC.OQ</t>
  </si>
  <si>
    <t>CHND.PK</t>
  </si>
  <si>
    <t>ENTX.OQ</t>
  </si>
  <si>
    <t>AIFU.OQ</t>
  </si>
  <si>
    <t>ERFB.PK</t>
  </si>
  <si>
    <t>IMPM.PK</t>
  </si>
  <si>
    <t>PLSH.PK</t>
  </si>
  <si>
    <t>PSNY.OQ</t>
  </si>
  <si>
    <t>NBP.OQ</t>
  </si>
  <si>
    <t>LASE.OQ</t>
  </si>
  <si>
    <t>XPER.N</t>
  </si>
  <si>
    <t>VERA.OQ</t>
  </si>
  <si>
    <t>MDIA.OQ</t>
  </si>
  <si>
    <t>AGIO.OQ</t>
  </si>
  <si>
    <t>INDI.OQ</t>
  </si>
  <si>
    <t>AVXL.OQ</t>
  </si>
  <si>
    <t>ALCO.OQ</t>
  </si>
  <si>
    <t>CLPS.OQ</t>
  </si>
  <si>
    <t>ADNH.PK</t>
  </si>
  <si>
    <t>WNLV.PK</t>
  </si>
  <si>
    <t>PRGNF.PK</t>
  </si>
  <si>
    <t>INKT.OQ</t>
  </si>
  <si>
    <t>ACHR.N</t>
  </si>
  <si>
    <t>CREG.OQ</t>
  </si>
  <si>
    <t>TXG.OQ</t>
  </si>
  <si>
    <t>USAC.N</t>
  </si>
  <si>
    <t>SEII.PK</t>
  </si>
  <si>
    <t>EVFM.PK</t>
  </si>
  <si>
    <t>RZLT.OQ</t>
  </si>
  <si>
    <t>SILC.OQ</t>
  </si>
  <si>
    <t>NAAS.OQ</t>
  </si>
  <si>
    <t>ASAN.N</t>
  </si>
  <si>
    <t>MTEK.OQ</t>
  </si>
  <si>
    <t>SOFO.PK</t>
  </si>
  <si>
    <t>CLDX.OQ</t>
  </si>
  <si>
    <t>TMCI.OQ</t>
  </si>
  <si>
    <t>WVE.OQ</t>
  </si>
  <si>
    <t>SRRK.OQ</t>
  </si>
  <si>
    <t>AIHS.OQ</t>
  </si>
  <si>
    <t>SPWR.OQ</t>
  </si>
  <si>
    <t>LAZR.OQ</t>
  </si>
  <si>
    <t>EURI.PK</t>
  </si>
  <si>
    <t>GCTK.OQ</t>
  </si>
  <si>
    <t>CMGR.PK</t>
  </si>
  <si>
    <t>DRTS.OQ</t>
  </si>
  <si>
    <t>SEPN.OQ</t>
  </si>
  <si>
    <t>STAI.OQ</t>
  </si>
  <si>
    <t>LPCN.OQ</t>
  </si>
  <si>
    <t>RCT.OQ</t>
  </si>
  <si>
    <t>RBTC.PK</t>
  </si>
  <si>
    <t>AMBS.PK</t>
  </si>
  <si>
    <t>ECDA.OQ</t>
  </si>
  <si>
    <t>BENH.PK</t>
  </si>
  <si>
    <t>LOGL.PK</t>
  </si>
  <si>
    <t>LEDS.OQ</t>
  </si>
  <si>
    <t>JAMN.PK</t>
  </si>
  <si>
    <t>VYEY.PK</t>
  </si>
  <si>
    <t>SCKT.OQ</t>
  </si>
  <si>
    <t>KLTR.OQ</t>
  </si>
  <si>
    <t>NVAX.OQ</t>
  </si>
  <si>
    <t>TRUE.OQ</t>
  </si>
  <si>
    <t>ANIX.OQ</t>
  </si>
  <si>
    <t>IDYA.OQ</t>
  </si>
  <si>
    <t>BFLY.N</t>
  </si>
  <si>
    <t>ARPC.PK</t>
  </si>
  <si>
    <t>API.OQ</t>
  </si>
  <si>
    <t>AUSI.PK</t>
  </si>
  <si>
    <t>TCCO.PK</t>
  </si>
  <si>
    <t>PURE.PK</t>
  </si>
  <si>
    <t>DDDX.PK</t>
  </si>
  <si>
    <t>RPT.N</t>
  </si>
  <si>
    <t>AIRG.OQ</t>
  </si>
  <si>
    <t>AWRE.OQ</t>
  </si>
  <si>
    <t>EDMCQ.PK</t>
  </si>
  <si>
    <t>NPCE.OQ</t>
  </si>
  <si>
    <t>RGGI.PK</t>
  </si>
  <si>
    <t>PGEN.OQ</t>
  </si>
  <si>
    <t>OMEX.OQ</t>
  </si>
  <si>
    <t>VNRX.A</t>
  </si>
  <si>
    <t>RREE.PK</t>
  </si>
  <si>
    <t>STRRP.OQ</t>
  </si>
  <si>
    <t>DAIO.OQ</t>
  </si>
  <si>
    <t>LAW.N</t>
  </si>
  <si>
    <t>SGBX.OQ</t>
  </si>
  <si>
    <t>NRT.N</t>
  </si>
  <si>
    <t>DVLP.PK</t>
  </si>
  <si>
    <t>ENCR.PK</t>
  </si>
  <si>
    <t>MITI.PK</t>
  </si>
  <si>
    <t>SYRE.OQ</t>
  </si>
  <si>
    <t>LZM.N</t>
  </si>
  <si>
    <t>MRAI.PK</t>
  </si>
  <si>
    <t>CREV.OQ</t>
  </si>
  <si>
    <t>GPFT.PK</t>
  </si>
  <si>
    <t>BMR.OQ</t>
  </si>
  <si>
    <t>LVWR.N</t>
  </si>
  <si>
    <t>GPMT.N</t>
  </si>
  <si>
    <t>PPSI.OQ</t>
  </si>
  <si>
    <t>WETO.OQ</t>
  </si>
  <si>
    <t>WDKA.PK</t>
  </si>
  <si>
    <t>ATEX.OQ</t>
  </si>
  <si>
    <t>VCTL.PK</t>
  </si>
  <si>
    <t>MSPC.PK</t>
  </si>
  <si>
    <t>ASCC.PK</t>
  </si>
  <si>
    <t>OP.OQ</t>
  </si>
  <si>
    <t>NIVF.OQ</t>
  </si>
  <si>
    <t>BISA.PK</t>
  </si>
  <si>
    <t>RCUS.N</t>
  </si>
  <si>
    <t>AARD.OQ</t>
  </si>
  <si>
    <t>NTIP.A</t>
  </si>
  <si>
    <t>TC.OQ</t>
  </si>
  <si>
    <t>UAPC.PK</t>
  </si>
  <si>
    <t>TSHA.OQ</t>
  </si>
  <si>
    <t>GMVDF.PK</t>
  </si>
  <si>
    <t>AFIB.PK</t>
  </si>
  <si>
    <t>GLUE.OQ</t>
  </si>
  <si>
    <t>OPK.OQ</t>
  </si>
  <si>
    <t>HLTT.PK</t>
  </si>
  <si>
    <t>IMTH.PK</t>
  </si>
  <si>
    <t>BNTC.OQ</t>
  </si>
  <si>
    <t>CBLL.OQ</t>
  </si>
  <si>
    <t>TBI.N</t>
  </si>
  <si>
    <t>UPDC.PK</t>
  </si>
  <si>
    <t>WDHR.PK</t>
  </si>
  <si>
    <t>BCLI.PK</t>
  </si>
  <si>
    <t>AKVA.PK</t>
  </si>
  <si>
    <t>NXDR.N</t>
  </si>
  <si>
    <t>BSHI.PK</t>
  </si>
  <si>
    <t>TYRA.OQ</t>
  </si>
  <si>
    <t>SGNI.PK</t>
  </si>
  <si>
    <t>KMB.OQ</t>
  </si>
  <si>
    <t>NMHI.PK</t>
  </si>
  <si>
    <t>ORIC.OQ</t>
  </si>
  <si>
    <t>TOUR.OQ</t>
  </si>
  <si>
    <t>NAII.OQ</t>
  </si>
  <si>
    <t>TNGNQ.PK</t>
  </si>
  <si>
    <t>HYLN.A</t>
  </si>
  <si>
    <t>XNCR.OQ</t>
  </si>
  <si>
    <t>PRHI.OQ</t>
  </si>
  <si>
    <t>TREP.PK</t>
  </si>
  <si>
    <t>LBAS.PK</t>
  </si>
  <si>
    <t>TANH.OQ</t>
  </si>
  <si>
    <t>GPOX.PK</t>
  </si>
  <si>
    <t>AZI.OQ</t>
  </si>
  <si>
    <t>SPLY.PK</t>
  </si>
  <si>
    <t>RLBD.PK</t>
  </si>
  <si>
    <t>SMRT.N</t>
  </si>
  <si>
    <t>KANP.PK</t>
  </si>
  <si>
    <t>ARDS.PK</t>
  </si>
  <si>
    <t>RAPH.PK</t>
  </si>
  <si>
    <t>WMGR.PK</t>
  </si>
  <si>
    <t>EQ.OQ</t>
  </si>
  <si>
    <t>MGLD.A</t>
  </si>
  <si>
    <t>GCTS.N</t>
  </si>
  <si>
    <t>GEVO.OQ</t>
  </si>
  <si>
    <t>PHVS.OQ</t>
  </si>
  <si>
    <t>ATRA.OQ</t>
  </si>
  <si>
    <t>EFOI.OQ</t>
  </si>
  <si>
    <t>PNSTQ.PK</t>
  </si>
  <si>
    <t>FUIG.PK</t>
  </si>
  <si>
    <t>SES.N</t>
  </si>
  <si>
    <t>MCOM.PK</t>
  </si>
  <si>
    <t>SVRA.OQ</t>
  </si>
  <si>
    <t>MASS.OQ</t>
  </si>
  <si>
    <t>FOSL.OQ</t>
  </si>
  <si>
    <t>OTLK.OQ</t>
  </si>
  <si>
    <t>PALI.OQ</t>
  </si>
  <si>
    <t>DYN.OQ</t>
  </si>
  <si>
    <t>NTLK.PK</t>
  </si>
  <si>
    <t>CVV.OQ</t>
  </si>
  <si>
    <t>AMPG.OQ</t>
  </si>
  <si>
    <t>BIORQ.PK</t>
  </si>
  <si>
    <t>AI.N</t>
  </si>
  <si>
    <t>VNDA.OQ</t>
  </si>
  <si>
    <t>SJ.OQ</t>
  </si>
  <si>
    <t>EPWK.OQ</t>
  </si>
  <si>
    <t>GRRR.OQ</t>
  </si>
  <si>
    <t>MLHC.PK</t>
  </si>
  <si>
    <t>ABCL.OQ</t>
  </si>
  <si>
    <t>DUUO.PK</t>
  </si>
  <si>
    <t>FLNT.OQ</t>
  </si>
  <si>
    <t>AIXN.PK</t>
  </si>
  <si>
    <t>XTKG.OQ</t>
  </si>
  <si>
    <t>ZK.N</t>
  </si>
  <si>
    <t>CHGS.PK</t>
  </si>
  <si>
    <t>SVCO.OQ</t>
  </si>
  <si>
    <t>MNKA.PK</t>
  </si>
  <si>
    <t>HUBC.OQ</t>
  </si>
  <si>
    <t>EQS.N</t>
  </si>
  <si>
    <t>EM.OQ</t>
  </si>
  <si>
    <t>LSCG.PK</t>
  </si>
  <si>
    <t>OHCS.PK</t>
  </si>
  <si>
    <t>MLPH.PK</t>
  </si>
  <si>
    <t>DSGN.OQ</t>
  </si>
  <si>
    <t>AIJTY.PK</t>
  </si>
  <si>
    <t>ACBM.PK</t>
  </si>
  <si>
    <t>MJDS.PK</t>
  </si>
  <si>
    <t>DKL.N</t>
  </si>
  <si>
    <t>SBEV.A</t>
  </si>
  <si>
    <t>ATXS.OQ</t>
  </si>
  <si>
    <t>TOP.OQ</t>
  </si>
  <si>
    <t>CTKYY.PK</t>
  </si>
  <si>
    <t>ATAI.OQ</t>
  </si>
  <si>
    <t>CPMV.PK</t>
  </si>
  <si>
    <t>BBLNF.PK</t>
  </si>
  <si>
    <t>GBRIF.PK</t>
  </si>
  <si>
    <t>CTNM.OQ</t>
  </si>
  <si>
    <t>LADX.PK</t>
  </si>
  <si>
    <t>ZCAR.PK</t>
  </si>
  <si>
    <t>OPMZ.PK</t>
  </si>
  <si>
    <t>HSTC.PK</t>
  </si>
  <si>
    <t>DUKR.PK</t>
  </si>
  <si>
    <t>EVEX.N</t>
  </si>
  <si>
    <t>ABCP.PK</t>
  </si>
  <si>
    <t>VRDN.OQ</t>
  </si>
  <si>
    <t>OMH.OQ</t>
  </si>
  <si>
    <t>CHHE.PK</t>
  </si>
  <si>
    <t>EWLU.PK</t>
  </si>
  <si>
    <t>ESWW.PK</t>
  </si>
  <si>
    <t>SFUNY.PK</t>
  </si>
  <si>
    <t>MPU.A</t>
  </si>
  <si>
    <t>BONTQ.PK</t>
  </si>
  <si>
    <t>SDGR.OQ</t>
  </si>
  <si>
    <t>CHZQ.PK</t>
  </si>
  <si>
    <t>SLGL.OQ</t>
  </si>
  <si>
    <t>JBDI.OQ</t>
  </si>
  <si>
    <t>PROK.OQ</t>
  </si>
  <si>
    <t>NKGN.PK</t>
  </si>
  <si>
    <t>LEE.OQ</t>
  </si>
  <si>
    <t>CTOR.OQ</t>
  </si>
  <si>
    <t>KPTI.OQ</t>
  </si>
  <si>
    <t>TOFB.PK</t>
  </si>
  <si>
    <t>BTAI.OQ</t>
  </si>
  <si>
    <t>EZGO.OQ</t>
  </si>
  <si>
    <t>BEUT.PK</t>
  </si>
  <si>
    <t>EICCF.PK</t>
  </si>
  <si>
    <t>DHAI.OQ</t>
  </si>
  <si>
    <t>BKSLF.PK</t>
  </si>
  <si>
    <t>PBSV.PK</t>
  </si>
  <si>
    <t>NOAH.N</t>
  </si>
  <si>
    <t>BZWR.PK</t>
  </si>
  <si>
    <t>TLGN.PK</t>
  </si>
  <si>
    <t>MMVVF.PK</t>
  </si>
  <si>
    <t>ACIU.OQ</t>
  </si>
  <si>
    <t>XCH.OQ</t>
  </si>
  <si>
    <t>EMED.PK</t>
  </si>
  <si>
    <t>CHA.OQ</t>
  </si>
  <si>
    <t>EB.N</t>
  </si>
  <si>
    <t>PRST.PK</t>
  </si>
  <si>
    <t>CNGO.PK</t>
  </si>
  <si>
    <t>JCTC.OQ</t>
  </si>
  <si>
    <t>QSJC.PK</t>
  </si>
  <si>
    <t>JEM.OQ</t>
  </si>
  <si>
    <t>PEVM.PK</t>
  </si>
  <si>
    <t>DIBS.OQ</t>
  </si>
  <si>
    <t>AGEN.OQ</t>
  </si>
  <si>
    <t>UFI.N</t>
  </si>
  <si>
    <t>NUVB.N</t>
  </si>
  <si>
    <t>EZOO.PK</t>
  </si>
  <si>
    <t>STG.N</t>
  </si>
  <si>
    <t>POCI.OQ</t>
  </si>
  <si>
    <t>ETCK.PK</t>
  </si>
  <si>
    <t>NRIX.OQ</t>
  </si>
  <si>
    <t>INGN.OQ</t>
  </si>
  <si>
    <t>SATT.PK</t>
  </si>
  <si>
    <t>CJMB.OQ</t>
  </si>
  <si>
    <t>LVCA.PK</t>
  </si>
  <si>
    <t>FUNFF.PK</t>
  </si>
  <si>
    <t>DOMR.PK</t>
  </si>
  <si>
    <t>VIOT.OQ</t>
  </si>
  <si>
    <t>CPOP.OQ</t>
  </si>
  <si>
    <t>SOND.OQ</t>
  </si>
  <si>
    <t>CJET.OQ</t>
  </si>
  <si>
    <t>CLSD.OQ</t>
  </si>
  <si>
    <t>KNDI.OQ</t>
  </si>
  <si>
    <t>SIGO.PK</t>
  </si>
  <si>
    <t>DARE.OQ</t>
  </si>
  <si>
    <t>LOTE.PK</t>
  </si>
  <si>
    <t>NTRU.PK</t>
  </si>
  <si>
    <t>VFS.OQ</t>
  </si>
  <si>
    <t>MARK.PK</t>
  </si>
  <si>
    <t>TRGM.PK</t>
  </si>
  <si>
    <t>LCDX.PK</t>
  </si>
  <si>
    <t>ONTF.N</t>
  </si>
  <si>
    <t>JOEY.PK</t>
  </si>
  <si>
    <t>SUGP.OQ</t>
  </si>
  <si>
    <t>ACUT.PK</t>
  </si>
  <si>
    <t>PLBY.OQ</t>
  </si>
  <si>
    <t>EYPT.OQ</t>
  </si>
  <si>
    <t>CLIR.OQ</t>
  </si>
  <si>
    <t>CRT.N</t>
  </si>
  <si>
    <t>SCLX.OQ</t>
  </si>
  <si>
    <t>QSG.OQ</t>
  </si>
  <si>
    <t>TNET.N</t>
  </si>
  <si>
    <t>WTI.N</t>
  </si>
  <si>
    <t>LAWR.OQ</t>
  </si>
  <si>
    <t>QTRX.OQ</t>
  </si>
  <si>
    <t>TNGX.OQ</t>
  </si>
  <si>
    <t>YB.OQ</t>
  </si>
  <si>
    <t>FTCHQ.PK</t>
  </si>
  <si>
    <t>SNPW.PK</t>
  </si>
  <si>
    <t>CEXE.PK</t>
  </si>
  <si>
    <t>YGMZ.OQ</t>
  </si>
  <si>
    <t>CGNH.PK</t>
  </si>
  <si>
    <t>VNTRF.PK</t>
  </si>
  <si>
    <t>SGMT.OQ</t>
  </si>
  <si>
    <t>GNS.A</t>
  </si>
  <si>
    <t>MEDVF.PK</t>
  </si>
  <si>
    <t>FTDL.PK</t>
  </si>
  <si>
    <t>GTEH.PK</t>
  </si>
  <si>
    <t>RERE.N</t>
  </si>
  <si>
    <t>PLUT.OQ</t>
  </si>
  <si>
    <t>DEWM.PK</t>
  </si>
  <si>
    <t>GHG.N</t>
  </si>
  <si>
    <t>GMER.PK</t>
  </si>
  <si>
    <t>AMRN.OQ</t>
  </si>
  <si>
    <t>SOHU.OQ</t>
  </si>
  <si>
    <t>OGN.N</t>
  </si>
  <si>
    <t>IDWM.PK</t>
  </si>
  <si>
    <t>INV.OQ</t>
  </si>
  <si>
    <t>GTI.OQ</t>
  </si>
  <si>
    <t>ASMB.OQ</t>
  </si>
  <si>
    <t>YRD.N</t>
  </si>
  <si>
    <t>LDSN.PK</t>
  </si>
  <si>
    <t>TNLX.PK</t>
  </si>
  <si>
    <t>DRNG.PK</t>
  </si>
  <si>
    <t>ABSI.OQ</t>
  </si>
  <si>
    <t>MDXH.OQ</t>
  </si>
  <si>
    <t>GOSS.OQ</t>
  </si>
  <si>
    <t>CHRS.OQ</t>
  </si>
  <si>
    <t>COYA.OQ</t>
  </si>
  <si>
    <t>BCAX.OQ</t>
  </si>
  <si>
    <t>BEAM.OQ</t>
  </si>
  <si>
    <t>NERV.OQ</t>
  </si>
  <si>
    <t>CATO.N</t>
  </si>
  <si>
    <t>APVS.PK</t>
  </si>
  <si>
    <t>WOK.OQ</t>
  </si>
  <si>
    <t>HRBR.PK</t>
  </si>
  <si>
    <t>SCNI.OQ</t>
  </si>
  <si>
    <t>DLYT.PK</t>
  </si>
  <si>
    <t>DKGH.PK</t>
  </si>
  <si>
    <t>CRE.OQ</t>
  </si>
  <si>
    <t>BZIC.PK</t>
  </si>
  <si>
    <t>ALTX.PK</t>
  </si>
  <si>
    <t>CANG.N</t>
  </si>
  <si>
    <t>EOSS.PK</t>
  </si>
  <si>
    <t>JETR.PK</t>
  </si>
  <si>
    <t>NNOX.OQ</t>
  </si>
  <si>
    <t>NTRB.OQ</t>
  </si>
  <si>
    <t>GDHG.OQ</t>
  </si>
  <si>
    <t>DNLI.OQ</t>
  </si>
  <si>
    <t>ROMA.OQ</t>
  </si>
  <si>
    <t>GSPH.PK</t>
  </si>
  <si>
    <t>BLFE.PK</t>
  </si>
  <si>
    <t>PACB.OQ</t>
  </si>
  <si>
    <t>IPDN.OQ</t>
  </si>
  <si>
    <t>ZAPPF.PK</t>
  </si>
  <si>
    <t>HJGP.PK</t>
  </si>
  <si>
    <t>DMRC.OQ</t>
  </si>
  <si>
    <t>MXCT.OQ</t>
  </si>
  <si>
    <t>VLN.N</t>
  </si>
  <si>
    <t>MLTX.OQ</t>
  </si>
  <si>
    <t>AFTM.PK</t>
  </si>
  <si>
    <t>VIPS.N</t>
  </si>
  <si>
    <t>AOVTF.PK</t>
  </si>
  <si>
    <t>ORMP.OQ</t>
  </si>
  <si>
    <t>VASO.PK</t>
  </si>
  <si>
    <t>BENF.OQ</t>
  </si>
  <si>
    <t>SANW.PK</t>
  </si>
  <si>
    <t>ITOX.PK</t>
  </si>
  <si>
    <t>ISPO.OQ</t>
  </si>
  <si>
    <t>COGT.OQ</t>
  </si>
  <si>
    <t>SLND.A</t>
  </si>
  <si>
    <t>NGNE.OQ</t>
  </si>
  <si>
    <t>GORO.A</t>
  </si>
  <si>
    <t>NUVOQ.PK</t>
  </si>
  <si>
    <t>ALUR.N</t>
  </si>
  <si>
    <t>SDVI.PK</t>
  </si>
  <si>
    <t>FINV.N</t>
  </si>
  <si>
    <t>RYSMF.PK</t>
  </si>
  <si>
    <t>SEG.N</t>
  </si>
  <si>
    <t>CICN.PK</t>
  </si>
  <si>
    <t>FRGE.N</t>
  </si>
  <si>
    <t>ETCC.PK</t>
  </si>
  <si>
    <t>BOTH.PK</t>
  </si>
  <si>
    <t>MFLTY.PK</t>
  </si>
  <si>
    <t>HAO.OQ</t>
  </si>
  <si>
    <t>WDH.N</t>
  </si>
  <si>
    <t>ERAS.OQ</t>
  </si>
  <si>
    <t>LEAI.PK</t>
  </si>
  <si>
    <t>RGRX.PK</t>
  </si>
  <si>
    <t>ILAG.OQ</t>
  </si>
  <si>
    <t>EUSP.PK</t>
  </si>
  <si>
    <t>HSTA.PK</t>
  </si>
  <si>
    <t>ENGN.OQ</t>
  </si>
  <si>
    <t>CADL.OQ</t>
  </si>
  <si>
    <t>TMNA.PK</t>
  </si>
  <si>
    <t>OABI.OQ</t>
  </si>
  <si>
    <t>GITS.OQ</t>
  </si>
  <si>
    <t>EVRC.PK</t>
  </si>
  <si>
    <t>REPCF.PK</t>
  </si>
  <si>
    <t>UIS.N</t>
  </si>
  <si>
    <t>YITD.PK</t>
  </si>
  <si>
    <t>FPMI.PK</t>
  </si>
  <si>
    <t>AXPWQ.PK</t>
  </si>
  <si>
    <t>EH.OQ</t>
  </si>
  <si>
    <t>DYNR.PK</t>
  </si>
  <si>
    <t>JFIN.OQ</t>
  </si>
  <si>
    <t>DTIL.OQ</t>
  </si>
  <si>
    <t>GPRC.PK</t>
  </si>
  <si>
    <t>ROYL.PK</t>
  </si>
  <si>
    <t>POLA.OQ</t>
  </si>
  <si>
    <t>UCASU.PK</t>
  </si>
  <si>
    <t>ELDN.OQ</t>
  </si>
  <si>
    <t>MNOV.OQ</t>
  </si>
  <si>
    <t>VHC.OQ</t>
  </si>
  <si>
    <t>RIVN.OQ</t>
  </si>
  <si>
    <t>AMIH.PK</t>
  </si>
  <si>
    <t>CLX.N</t>
  </si>
  <si>
    <t>FGEN.OQ</t>
  </si>
  <si>
    <t>TWG.OQ</t>
  </si>
  <si>
    <t>NCTY.OQ</t>
  </si>
  <si>
    <t>TMRR.PK</t>
  </si>
  <si>
    <t>CHKR.PK</t>
  </si>
  <si>
    <t>VTYX.OQ</t>
  </si>
  <si>
    <t>CUII.PK</t>
  </si>
  <si>
    <t>KPLT.OQ</t>
  </si>
  <si>
    <t>NVNI.OQ</t>
  </si>
  <si>
    <t>ZOMDF.PK</t>
  </si>
  <si>
    <t>SOPH.OQ</t>
  </si>
  <si>
    <t>MGIH.OQ</t>
  </si>
  <si>
    <t>JLHL.OQ</t>
  </si>
  <si>
    <t>ZEVY.PK</t>
  </si>
  <si>
    <t>RXRX.OQ</t>
  </si>
  <si>
    <t>VOC.N</t>
  </si>
  <si>
    <t>ARMC.PK</t>
  </si>
  <si>
    <t>MOJOD.PK</t>
  </si>
  <si>
    <t>MDBH.OQ</t>
  </si>
  <si>
    <t>PROP.OQ</t>
  </si>
  <si>
    <t>KURA.OQ</t>
  </si>
  <si>
    <t>FCEL.OQ</t>
  </si>
  <si>
    <t>PLRZ.OQ</t>
  </si>
  <si>
    <t>TIL.OQ</t>
  </si>
  <si>
    <t>FEAM.OQ</t>
  </si>
  <si>
    <t>IPW.OQ</t>
  </si>
  <si>
    <t>OLMA.OQ</t>
  </si>
  <si>
    <t>QFIN.OQ</t>
  </si>
  <si>
    <t>MREO.OQ</t>
  </si>
  <si>
    <t>HHBT.PK</t>
  </si>
  <si>
    <t>GERN.OQ</t>
  </si>
  <si>
    <t>ATH_pa.N</t>
  </si>
  <si>
    <t>PCOA.PK</t>
  </si>
  <si>
    <t>CRVO.OQ</t>
  </si>
  <si>
    <t>QVCGA.OQ</t>
  </si>
  <si>
    <t>CRBP.OQ</t>
  </si>
  <si>
    <t>GNTA.OQ</t>
  </si>
  <si>
    <t>BDVB.PK</t>
  </si>
  <si>
    <t>VYGR.OQ</t>
  </si>
  <si>
    <t>NUUU.PK</t>
  </si>
  <si>
    <t>NGLD.PK</t>
  </si>
  <si>
    <t>EDAP.OQ</t>
  </si>
  <si>
    <t>LTDH.PK</t>
  </si>
  <si>
    <t>SRXH.A</t>
  </si>
  <si>
    <t>CPHI.A</t>
  </si>
  <si>
    <t>RVP.A</t>
  </si>
  <si>
    <t>ABQQ.PK</t>
  </si>
  <si>
    <t>GRAL.OQ</t>
  </si>
  <si>
    <t>LICYQ.PK</t>
  </si>
  <si>
    <t>LXEO.OQ</t>
  </si>
  <si>
    <t>VJTTY.PK</t>
  </si>
  <si>
    <t>XCLL.PK</t>
  </si>
  <si>
    <t>TECX.OQ</t>
  </si>
  <si>
    <t>AXSM.OQ</t>
  </si>
  <si>
    <t>FALC.PK</t>
  </si>
  <si>
    <t>ELST.PK</t>
  </si>
  <si>
    <t>MB.OQ</t>
  </si>
  <si>
    <t>EMMS.PK</t>
  </si>
  <si>
    <t>ATAT.OQ</t>
  </si>
  <si>
    <t>IZEA.OQ</t>
  </si>
  <si>
    <t>YGFGF.PK</t>
  </si>
  <si>
    <t>HGGG.PK</t>
  </si>
  <si>
    <t>STACF.PK</t>
  </si>
  <si>
    <t>LAB.OQ</t>
  </si>
  <si>
    <t>BMXI.PK</t>
  </si>
  <si>
    <t>NA.OQ</t>
  </si>
  <si>
    <t>GAUZ.OQ</t>
  </si>
  <si>
    <t>WINH.PK</t>
  </si>
  <si>
    <t>BWMX.N</t>
  </si>
  <si>
    <t>ALDX.OQ</t>
  </si>
  <si>
    <t>QSI.OQ</t>
  </si>
  <si>
    <t>VSA.OQ</t>
  </si>
  <si>
    <t>SGHT.OQ</t>
  </si>
  <si>
    <t>MCRB.OQ</t>
  </si>
  <si>
    <t>LODE.A</t>
  </si>
  <si>
    <t>SECOY.PK</t>
  </si>
  <si>
    <t>SWIOU.PK</t>
  </si>
  <si>
    <t>ARVN.OQ</t>
  </si>
  <si>
    <t>PSHG.OQ</t>
  </si>
  <si>
    <t>TKOI.PK</t>
  </si>
  <si>
    <t>AVTX.OQ</t>
  </si>
  <si>
    <t>XFCI.PK</t>
  </si>
  <si>
    <t>LUXE.N</t>
  </si>
  <si>
    <t>LCFY.OQ</t>
  </si>
  <si>
    <t>MRNA.OQ</t>
  </si>
  <si>
    <t>RLAY.OQ</t>
  </si>
  <si>
    <t>DOUG.N</t>
  </si>
  <si>
    <t>RAPT.OQ</t>
  </si>
  <si>
    <t>RYMM.PK</t>
  </si>
  <si>
    <t>MSN.A</t>
  </si>
  <si>
    <t>GPRK.N</t>
  </si>
  <si>
    <t>WHSI.PK</t>
  </si>
  <si>
    <t>PHOT.PK</t>
  </si>
  <si>
    <t>EGRX.PK</t>
  </si>
  <si>
    <t>TK.N</t>
  </si>
  <si>
    <t>CTA_pa.N</t>
  </si>
  <si>
    <t>INVE.OQ</t>
  </si>
  <si>
    <t>RAHGF.PK</t>
  </si>
  <si>
    <t>ZIM.N</t>
  </si>
  <si>
    <t>PRG.N</t>
  </si>
  <si>
    <t>WRIT.PK</t>
  </si>
  <si>
    <t>FTHM.OQ</t>
  </si>
  <si>
    <t>GRCE.OQ</t>
  </si>
  <si>
    <t>RMSG.OQ</t>
  </si>
  <si>
    <t>POLCQ.PK</t>
  </si>
  <si>
    <t>PDD.OQ</t>
  </si>
  <si>
    <t>AEYGQ.PK</t>
  </si>
  <si>
    <t>MLSS.A</t>
  </si>
  <si>
    <t>SAIH.OQ</t>
  </si>
  <si>
    <t>AURA.OQ</t>
  </si>
  <si>
    <t>CATX.A</t>
  </si>
  <si>
    <t>CGEM.OQ</t>
  </si>
  <si>
    <t>NAUT.OQ</t>
  </si>
  <si>
    <t>SITC.N</t>
  </si>
  <si>
    <t>LRMR.OQ</t>
  </si>
  <si>
    <t>FPCG.PK</t>
  </si>
  <si>
    <t>NCNCF.PK</t>
  </si>
  <si>
    <t>MTEN.OQ</t>
  </si>
  <si>
    <t>XYF.N</t>
  </si>
  <si>
    <t>CVR.A</t>
  </si>
  <si>
    <t>STXS.A</t>
  </si>
  <si>
    <t>FDMT.OQ</t>
  </si>
  <si>
    <t>KRRO.OQ</t>
  </si>
  <si>
    <t>ALTD.PK</t>
  </si>
  <si>
    <t>VRA.OQ</t>
  </si>
  <si>
    <t>BBXIA.PK</t>
  </si>
  <si>
    <t>SAML.PK</t>
  </si>
  <si>
    <t>STIM.OQ</t>
  </si>
  <si>
    <t>TOON.A</t>
  </si>
  <si>
    <t>CHGI.PK</t>
  </si>
  <si>
    <t>ALCE.PK</t>
  </si>
  <si>
    <t>BGRP.PK</t>
  </si>
  <si>
    <t>IWSH.PK</t>
  </si>
  <si>
    <t>ANRO.N</t>
  </si>
  <si>
    <t>REKR.OQ</t>
  </si>
  <si>
    <t>ELLH.PK</t>
  </si>
  <si>
    <t>MYO.A</t>
  </si>
  <si>
    <t>FMHS.PK</t>
  </si>
  <si>
    <t>CHNR.OQ</t>
  </si>
  <si>
    <t>BSPM.PK</t>
  </si>
  <si>
    <t>ANY.OQ</t>
  </si>
  <si>
    <t>ACRS.OQ</t>
  </si>
  <si>
    <t>NSP.N</t>
  </si>
  <si>
    <t>MWYN.OQ</t>
  </si>
  <si>
    <t>WU.N</t>
  </si>
  <si>
    <t>INLB.PK</t>
  </si>
  <si>
    <t>FLFG.PK</t>
  </si>
  <si>
    <t>SDTTU.PK</t>
  </si>
  <si>
    <t>OESX.OQ</t>
  </si>
  <si>
    <t>CALM.OQ</t>
  </si>
  <si>
    <t>KPRX.OQ</t>
  </si>
  <si>
    <t>MGRX.OQ</t>
  </si>
  <si>
    <t>ABIT.PK</t>
  </si>
  <si>
    <t>TOMZ.OQ</t>
  </si>
  <si>
    <t>LNXGF.PK</t>
  </si>
  <si>
    <t>RYM.OQ</t>
  </si>
  <si>
    <t>CNTB.OQ</t>
  </si>
  <si>
    <t>NNDM.OQ</t>
  </si>
  <si>
    <t>ATOM.OQ</t>
  </si>
  <si>
    <t>PETS.OQ</t>
  </si>
  <si>
    <t>IGC.A</t>
  </si>
  <si>
    <t>ESINQ.PK</t>
  </si>
  <si>
    <t>EXEO.PK</t>
  </si>
  <si>
    <t>CLYM.OQ</t>
  </si>
  <si>
    <t>DUO.OQ</t>
  </si>
  <si>
    <t>LIQT.OQ</t>
  </si>
  <si>
    <t>SERA.OQ</t>
  </si>
  <si>
    <t>LNC.N</t>
  </si>
  <si>
    <t>PNRG.OQ</t>
  </si>
  <si>
    <t>CISS.OQ</t>
  </si>
  <si>
    <t>DDI.OQ</t>
  </si>
  <si>
    <t>OPTT.A</t>
  </si>
  <si>
    <t>ROYTL.PK</t>
  </si>
  <si>
    <t>AGMH.OQ</t>
  </si>
  <si>
    <t>GLOP_pa.N</t>
  </si>
  <si>
    <t>NNAX.PK</t>
  </si>
  <si>
    <t>RETO.OQ</t>
  </si>
  <si>
    <t>NAMI.OQ</t>
  </si>
  <si>
    <t>BKKT.N</t>
  </si>
  <si>
    <t>LCID.OQ</t>
  </si>
  <si>
    <t>TAPM.PK</t>
  </si>
  <si>
    <t>BKUH.PK</t>
  </si>
  <si>
    <t>ODYS.OQ</t>
  </si>
  <si>
    <t>NKTX.OQ</t>
  </si>
  <si>
    <t>LKNCY.PK</t>
  </si>
  <si>
    <t>SEER.OQ</t>
  </si>
  <si>
    <t>SPPL.OQ</t>
  </si>
  <si>
    <t>REPL.OQ</t>
  </si>
  <si>
    <t>AVIR.OQ</t>
  </si>
  <si>
    <t>SEV.OQ</t>
  </si>
  <si>
    <t>IPWR.OQ</t>
  </si>
  <si>
    <t>ANNX.OQ</t>
  </si>
  <si>
    <t>FBRX.OQ</t>
  </si>
  <si>
    <t>ATOS.OQ</t>
  </si>
  <si>
    <t>UCAR.OQ</t>
  </si>
  <si>
    <t>IQ.OQ</t>
  </si>
  <si>
    <t>NTES.OQ</t>
  </si>
  <si>
    <t>RMCF.OQ</t>
  </si>
  <si>
    <t>LGCL.OQ</t>
  </si>
  <si>
    <t>CNRD.PK</t>
  </si>
  <si>
    <t>ABLV.OQ</t>
  </si>
  <si>
    <t>NTLA.OQ</t>
  </si>
  <si>
    <t>CBRI.PK</t>
  </si>
  <si>
    <t>MOMO.OQ</t>
  </si>
  <si>
    <t>CVSI.PK</t>
  </si>
  <si>
    <t>GLAE.PK</t>
  </si>
  <si>
    <t>BHF.OQ</t>
  </si>
  <si>
    <t>MYPS.OQ</t>
  </si>
  <si>
    <t>HERB.PK</t>
  </si>
  <si>
    <t>FCUV.OQ</t>
  </si>
  <si>
    <t>SIRC.PK</t>
  </si>
  <si>
    <t>PT.OQ</t>
  </si>
  <si>
    <t>EQH.N</t>
  </si>
  <si>
    <t>JDZG.OQ</t>
  </si>
  <si>
    <t>SPLP.PK</t>
  </si>
  <si>
    <t>WINT.PK</t>
  </si>
  <si>
    <t>MASK.OQ</t>
  </si>
  <si>
    <t>PLAG.A</t>
  </si>
  <si>
    <t>CDXS.OQ</t>
  </si>
  <si>
    <t>CLIK.OQ</t>
  </si>
  <si>
    <t>TLFX.PK</t>
  </si>
  <si>
    <t>TLSA.OQ</t>
  </si>
  <si>
    <t>CVRX.OQ</t>
  </si>
  <si>
    <t>RPID.OQ</t>
  </si>
  <si>
    <t>ZURA.OQ</t>
  </si>
  <si>
    <t>NRDE.PK</t>
  </si>
  <si>
    <t>CRDF.OQ</t>
  </si>
  <si>
    <t>AWIN.PK</t>
  </si>
  <si>
    <t>STIE.PK</t>
  </si>
  <si>
    <t>DSWL.OQ</t>
  </si>
  <si>
    <t>UTGN.PK</t>
  </si>
  <si>
    <t>PRTA.OQ</t>
  </si>
  <si>
    <t>SAVA.OQ</t>
  </si>
  <si>
    <t>LOGC.PK</t>
  </si>
  <si>
    <t>ZDAI.OQ</t>
  </si>
  <si>
    <t>JBIO.OQ</t>
  </si>
  <si>
    <t>MFCO.PK</t>
  </si>
  <si>
    <t>NWMH.PK</t>
  </si>
  <si>
    <t>ANF.N</t>
  </si>
  <si>
    <t>OVID.OQ</t>
  </si>
  <si>
    <t>FCHL.OQ</t>
  </si>
  <si>
    <t>AMLX.OQ</t>
  </si>
  <si>
    <t>JXG.OQ</t>
  </si>
  <si>
    <t>RENU.PK</t>
  </si>
  <si>
    <t>EGY.N</t>
  </si>
  <si>
    <t>VERI.OQ</t>
  </si>
  <si>
    <t>DSHK.PK</t>
  </si>
  <si>
    <t>COSM.OQ</t>
  </si>
  <si>
    <t>PRTS.OQ</t>
  </si>
  <si>
    <t>CCG.OQ</t>
  </si>
  <si>
    <t>HEPS.OQ</t>
  </si>
  <si>
    <t>HG.N</t>
  </si>
  <si>
    <t>FTRS.PK</t>
  </si>
  <si>
    <t>WLKP.N</t>
  </si>
  <si>
    <t>SNDX.OQ</t>
  </si>
  <si>
    <t>KYTX.OQ</t>
  </si>
  <si>
    <t>FWDG.PK</t>
  </si>
  <si>
    <t>TGGI.PK</t>
  </si>
  <si>
    <t>OCGN.OQ</t>
  </si>
  <si>
    <t>RCON.OQ</t>
  </si>
  <si>
    <t>MGX.OQ</t>
  </si>
  <si>
    <t>RFL.N</t>
  </si>
  <si>
    <t>GTEC.OQ</t>
  </si>
  <si>
    <t>RIGL.OQ</t>
  </si>
  <si>
    <t>ALT.OQ</t>
  </si>
  <si>
    <t>CCCC.OQ</t>
  </si>
  <si>
    <t>IMA.OQ</t>
  </si>
  <si>
    <t>BQ.A</t>
  </si>
  <si>
    <t>TALN.PK</t>
  </si>
  <si>
    <t>PEPG.OQ</t>
  </si>
  <si>
    <t>CYCN.OQ</t>
  </si>
  <si>
    <t>KOD.OQ</t>
  </si>
  <si>
    <t>LFIN.PK</t>
  </si>
  <si>
    <t>TCNT.PK</t>
  </si>
  <si>
    <t>IOVA.OQ</t>
  </si>
  <si>
    <t>NCI.OQ</t>
  </si>
  <si>
    <t>TXGE.PK</t>
  </si>
  <si>
    <t>LX.OQ</t>
  </si>
  <si>
    <t>ARTV.OQ</t>
  </si>
  <si>
    <t>CIVI.N</t>
  </si>
  <si>
    <t>DCGO.OQ</t>
  </si>
  <si>
    <t>CGTL.OQ</t>
  </si>
  <si>
    <t>XELB.OQ</t>
  </si>
  <si>
    <t>ADVB.OQ</t>
  </si>
  <si>
    <t>CETX.OQ</t>
  </si>
  <si>
    <t>OAK_pa.N</t>
  </si>
  <si>
    <t>NRGV.N</t>
  </si>
  <si>
    <t>RNR.N</t>
  </si>
  <si>
    <t>CNTX.OQ</t>
  </si>
  <si>
    <t>TARA.OQ</t>
  </si>
  <si>
    <t>DGEN.PK</t>
  </si>
  <si>
    <t>APYX.OQ</t>
  </si>
  <si>
    <t>AMIN.PK</t>
  </si>
  <si>
    <t>REMI.PK</t>
  </si>
  <si>
    <t>KALRQ.PK</t>
  </si>
  <si>
    <t>EVTV.OQ</t>
  </si>
  <si>
    <t>CLRO.OQ</t>
  </si>
  <si>
    <t>JLMCQ.PK</t>
  </si>
  <si>
    <t>FIHL.N</t>
  </si>
  <si>
    <t>SBC.OQ</t>
  </si>
  <si>
    <t>FUTU.OQ</t>
  </si>
  <si>
    <t>VIR.OQ</t>
  </si>
  <si>
    <t>SCYX.OQ</t>
  </si>
  <si>
    <t>ATHM.N</t>
  </si>
  <si>
    <t>SBFM.OQ</t>
  </si>
  <si>
    <t>KROS.OQ</t>
  </si>
  <si>
    <t>MED.N</t>
  </si>
  <si>
    <t>MACT.PK</t>
  </si>
  <si>
    <t>PMVP.OQ</t>
  </si>
  <si>
    <t>SIDU.OQ</t>
  </si>
  <si>
    <t>DBRM.PK</t>
  </si>
  <si>
    <t>SELX.OQ</t>
  </si>
  <si>
    <t>NXGM.PK</t>
  </si>
  <si>
    <t>PSIG.OQ</t>
  </si>
  <si>
    <t>LUNG.OQ</t>
  </si>
  <si>
    <t>SFES.PK</t>
  </si>
  <si>
    <t>IBG.OQ</t>
  </si>
  <si>
    <t>BDMD.OQ</t>
  </si>
  <si>
    <t>NKTR.OQ</t>
  </si>
  <si>
    <t>INTZ.OQ</t>
  </si>
  <si>
    <t>NCEL.OQ</t>
  </si>
  <si>
    <t>MOGU.N</t>
  </si>
  <si>
    <t>MNTR.PK</t>
  </si>
  <si>
    <t>VYX.N</t>
  </si>
  <si>
    <t>GIFT.OQ</t>
  </si>
  <si>
    <t>OST.OQ</t>
  </si>
  <si>
    <t>TLYS.N</t>
  </si>
  <si>
    <t>IMPP.OQ</t>
  </si>
  <si>
    <t>ITP.A</t>
  </si>
  <si>
    <t>UVE.N</t>
  </si>
  <si>
    <t>MRGE.PK</t>
  </si>
  <si>
    <t>GBLX.PK</t>
  </si>
  <si>
    <t>HY.N</t>
  </si>
  <si>
    <t>CIIT.OQ</t>
  </si>
  <si>
    <t>DDL.N</t>
  </si>
  <si>
    <t>ENLV.OQ</t>
  </si>
  <si>
    <t>MX.N</t>
  </si>
  <si>
    <t>VIVS.OQ</t>
  </si>
  <si>
    <t>AFCG.OQ</t>
  </si>
  <si>
    <t>XBOR.PK</t>
  </si>
  <si>
    <t>JOB.A</t>
  </si>
  <si>
    <t>SANA.OQ</t>
  </si>
  <si>
    <t>APA.OQ</t>
  </si>
  <si>
    <t>ACIC.OQ</t>
  </si>
  <si>
    <t>BIDU.OQ</t>
  </si>
  <si>
    <t>CAN.OQ</t>
  </si>
  <si>
    <t>ARCT.OQ</t>
  </si>
  <si>
    <t>PED.A</t>
  </si>
  <si>
    <t>NOG.N</t>
  </si>
  <si>
    <t>INHD.OQ</t>
  </si>
  <si>
    <t>IPM.OQ</t>
  </si>
  <si>
    <t>CVAC.OQ</t>
  </si>
  <si>
    <t>CHOW.A</t>
  </si>
  <si>
    <t>ABOS.OQ</t>
  </si>
  <si>
    <t>RGNX.OQ</t>
  </si>
  <si>
    <t>CRBU.OQ</t>
  </si>
  <si>
    <t>EAT.N</t>
  </si>
  <si>
    <t>BDTX.OQ</t>
  </si>
  <si>
    <t>SM.N</t>
  </si>
  <si>
    <t>HPK.OQ</t>
  </si>
  <si>
    <t>UFCS.OQ</t>
  </si>
  <si>
    <t>CAL.N</t>
  </si>
  <si>
    <t>CSTE.OQ</t>
  </si>
  <si>
    <t>GTIM.OQ</t>
  </si>
  <si>
    <t>LITS.OQ</t>
  </si>
  <si>
    <t>BABA.N</t>
  </si>
  <si>
    <t>GLRE.OQ</t>
  </si>
  <si>
    <t>DRIO.OQ</t>
  </si>
  <si>
    <t>SKLZ.N</t>
  </si>
  <si>
    <t>AFYA.OQ</t>
  </si>
  <si>
    <t>PSPW.PK</t>
  </si>
  <si>
    <t>FG.N</t>
  </si>
  <si>
    <t>ANAB.OQ</t>
  </si>
  <si>
    <t>MTEX.OQ</t>
  </si>
  <si>
    <t>JAKK.OQ</t>
  </si>
  <si>
    <t>GLMD.OQ</t>
  </si>
  <si>
    <t>RCKT.OQ</t>
  </si>
  <si>
    <t>CTRM.OQ</t>
  </si>
  <si>
    <t>BRY.OQ</t>
  </si>
  <si>
    <t>DXLG.OQ</t>
  </si>
  <si>
    <t>IMRX.OQ</t>
  </si>
  <si>
    <t>FONR.OQ</t>
  </si>
  <si>
    <t>AGL.N</t>
  </si>
  <si>
    <t>ACRV.OQ</t>
  </si>
  <si>
    <t>PLAB.OQ</t>
  </si>
  <si>
    <t>MOH.N</t>
  </si>
  <si>
    <t>EMPO.PK</t>
  </si>
  <si>
    <t>RRGB.OQ</t>
  </si>
  <si>
    <t>AIMD.OQ</t>
  </si>
  <si>
    <t>RSRV.PK</t>
  </si>
  <si>
    <t>YSG.N</t>
  </si>
  <si>
    <t>ENTA.OQ</t>
  </si>
  <si>
    <t>PLUG.OQ</t>
  </si>
  <si>
    <t>ZNTL.OQ</t>
  </si>
  <si>
    <t>PLAY.OQ</t>
  </si>
  <si>
    <t>PBIO.PK</t>
  </si>
  <si>
    <t>VHI.N</t>
  </si>
  <si>
    <t>ROLR.A</t>
  </si>
  <si>
    <t>BIOA.OQ</t>
  </si>
  <si>
    <t>BOLD.OQ</t>
  </si>
  <si>
    <t>CHRD.OQ</t>
  </si>
  <si>
    <t>EVOK.OQ</t>
  </si>
  <si>
    <t>APWC.OQ</t>
  </si>
  <si>
    <t>ASC.N</t>
  </si>
  <si>
    <t>EHLD.OQ</t>
  </si>
  <si>
    <t>ATKR.N</t>
  </si>
  <si>
    <t>DIAH.PK</t>
  </si>
  <si>
    <t>AMBR.OQ</t>
  </si>
  <si>
    <t>SLVM.N</t>
  </si>
  <si>
    <t>DAC.N</t>
  </si>
  <si>
    <t>ITEX.PK</t>
  </si>
  <si>
    <t>AEVA.OQ</t>
  </si>
  <si>
    <t>SCDA.PK</t>
  </si>
  <si>
    <t>AUVI.PK</t>
  </si>
  <si>
    <t>REPX.A</t>
  </si>
  <si>
    <t>AXS.N</t>
  </si>
  <si>
    <t>GTE.A</t>
  </si>
  <si>
    <t>STCC.PK</t>
  </si>
  <si>
    <t>USNA.N</t>
  </si>
  <si>
    <t>FGCO.PK</t>
  </si>
  <si>
    <t>DXC.N</t>
  </si>
  <si>
    <t>LION.N</t>
  </si>
  <si>
    <t>TORM.PK</t>
  </si>
  <si>
    <t>CTXR.OQ</t>
  </si>
  <si>
    <t>ALLO.OQ</t>
  </si>
  <si>
    <t>NSPR.OQ</t>
  </si>
  <si>
    <t>CROX.OQ</t>
  </si>
  <si>
    <t>SNFCA.OQ</t>
  </si>
  <si>
    <t>YXT.OQ</t>
  </si>
  <si>
    <t>YYAI.OQ</t>
  </si>
  <si>
    <t>TEAD.OQ</t>
  </si>
  <si>
    <t>JL.OQ</t>
  </si>
  <si>
    <t>OXM.N</t>
  </si>
  <si>
    <t>CDRBQ.PK</t>
  </si>
  <si>
    <t>FATE.OQ</t>
  </si>
  <si>
    <t>SCND.PK</t>
  </si>
  <si>
    <t>MOV.N</t>
  </si>
  <si>
    <t>SUNWQ.PK</t>
  </si>
  <si>
    <t>ESEA.OQ</t>
  </si>
  <si>
    <t>OGBLY.PK</t>
  </si>
  <si>
    <t>VEON.OQ</t>
  </si>
  <si>
    <t>STNE.OQ</t>
  </si>
  <si>
    <t>CENN.OQ</t>
  </si>
  <si>
    <t>GASS.OQ</t>
  </si>
  <si>
    <t>AMS.A</t>
  </si>
  <si>
    <t>TRDA.OQ</t>
  </si>
  <si>
    <t>ZKH.N</t>
  </si>
  <si>
    <t>TNK.N</t>
  </si>
  <si>
    <t>SEQP.PK</t>
  </si>
  <si>
    <t>AII.N</t>
  </si>
  <si>
    <t>INVZ.OQ</t>
  </si>
  <si>
    <t>YMM.N</t>
  </si>
  <si>
    <t>HYPR.OQ</t>
  </si>
  <si>
    <t>GIII.OQ</t>
  </si>
  <si>
    <t>GSL.N</t>
  </si>
  <si>
    <t>ULH.OQ</t>
  </si>
  <si>
    <t>SKYE.OQ</t>
  </si>
  <si>
    <t>MUR.N</t>
  </si>
  <si>
    <t>SCVL.OQ</t>
  </si>
  <si>
    <t>JXN.N</t>
  </si>
  <si>
    <t>VTGN.OQ</t>
  </si>
  <si>
    <t>MNAP.PK</t>
  </si>
  <si>
    <t>BNXR.PK</t>
  </si>
  <si>
    <t>SEAT.OQ</t>
  </si>
  <si>
    <t>AHL.N</t>
  </si>
  <si>
    <t>SXC.N</t>
  </si>
  <si>
    <t>ASPU.PK</t>
  </si>
  <si>
    <t>JKS.N</t>
  </si>
  <si>
    <t>WTKN.PK</t>
  </si>
  <si>
    <t>LIANY.PK</t>
  </si>
  <si>
    <t>SBGI.OQ</t>
  </si>
  <si>
    <t>CRTO.OQ</t>
  </si>
  <si>
    <t>GVH.OQ</t>
  </si>
  <si>
    <t>AOXG.PK</t>
  </si>
  <si>
    <t>CRI.N</t>
  </si>
  <si>
    <t>SLDB.OQ</t>
  </si>
  <si>
    <t>CAR.OQ</t>
  </si>
  <si>
    <t>IGIC.OQ</t>
  </si>
  <si>
    <t>BNBX.OQ</t>
  </si>
  <si>
    <t>FC.N</t>
  </si>
  <si>
    <t>AMST.OQ</t>
  </si>
  <si>
    <t>TALO.N</t>
  </si>
  <si>
    <t>VEEE.OQ</t>
  </si>
  <si>
    <t>CTHR.PK</t>
  </si>
  <si>
    <t>PETZ.OQ</t>
  </si>
  <si>
    <t>WKSP.OQ</t>
  </si>
  <si>
    <t>SEED.OQ</t>
  </si>
  <si>
    <t>BONL.PK</t>
  </si>
  <si>
    <t>EXCE.PK</t>
  </si>
  <si>
    <t>WFRD.OQ</t>
  </si>
  <si>
    <t>VTLE.N</t>
  </si>
  <si>
    <t>SIEB.OQ</t>
  </si>
  <si>
    <t>MGN.OQ</t>
  </si>
  <si>
    <t>NODK.OQ</t>
  </si>
  <si>
    <t>BLMZ.OQ</t>
  </si>
  <si>
    <t>ACHV.OQ</t>
  </si>
  <si>
    <t>OVV.N</t>
  </si>
  <si>
    <t>HOV.N</t>
  </si>
  <si>
    <t>TETAA.PK</t>
  </si>
  <si>
    <t>ASTC.OQ</t>
  </si>
  <si>
    <t>KOS.N</t>
  </si>
  <si>
    <t>GOTU.N</t>
  </si>
  <si>
    <t>BTM.OQ</t>
  </si>
  <si>
    <t>CNVS.OQ</t>
  </si>
  <si>
    <t>CRNT.OQ</t>
  </si>
  <si>
    <t>RPTX.OQ</t>
  </si>
  <si>
    <t>LBRT.N</t>
  </si>
  <si>
    <t>CNET.OQ</t>
  </si>
  <si>
    <t>ARCO.N</t>
  </si>
  <si>
    <t>DVN.N</t>
  </si>
  <si>
    <t>YJ.OQ</t>
  </si>
  <si>
    <t>XREG.PK</t>
  </si>
  <si>
    <t>ANTX.OQ</t>
  </si>
  <si>
    <t>BCC.N</t>
  </si>
  <si>
    <t>SND.OQ</t>
  </si>
  <si>
    <t>SCOR.OQ</t>
  </si>
  <si>
    <t>THG.N</t>
  </si>
  <si>
    <t>CARL.OQ</t>
  </si>
  <si>
    <t>RARE.OQ</t>
  </si>
  <si>
    <t>TNXP.OQ</t>
  </si>
  <si>
    <t>MYSZ.OQ</t>
  </si>
  <si>
    <t>NSLPQ.PK</t>
  </si>
  <si>
    <t>KLRS.OQ</t>
  </si>
  <si>
    <t>CNBX.PK</t>
  </si>
  <si>
    <t>CABA.OQ</t>
  </si>
  <si>
    <t>LASLY.PK</t>
  </si>
  <si>
    <t>ADAG.OQ</t>
  </si>
  <si>
    <t>ACET.OQ</t>
  </si>
  <si>
    <t>LZB.N</t>
  </si>
  <si>
    <t>STRZ.OQ</t>
  </si>
  <si>
    <t>NTDTY.PK</t>
  </si>
  <si>
    <t>PLRX.OQ</t>
  </si>
  <si>
    <t>YALA.N</t>
  </si>
  <si>
    <t>NMRA.OQ</t>
  </si>
  <si>
    <t>LKCRU.PK</t>
  </si>
  <si>
    <t>NRDY.N</t>
  </si>
  <si>
    <t>NVCT.OQ</t>
  </si>
  <si>
    <t>LSTA.OQ</t>
  </si>
  <si>
    <t>FIGI.PK</t>
  </si>
  <si>
    <t>PGNT.PK</t>
  </si>
  <si>
    <t>PXS.OQ</t>
  </si>
  <si>
    <t>PRME.OQ</t>
  </si>
  <si>
    <t>ULCC.OQ</t>
  </si>
  <si>
    <t>CLWY.PK</t>
  </si>
  <si>
    <t>TCRX.OQ</t>
  </si>
  <si>
    <t>PPC.OQ</t>
  </si>
  <si>
    <t>ORKT.OQ</t>
  </si>
  <si>
    <t>HBB.N</t>
  </si>
  <si>
    <t>DOYU.OQ</t>
  </si>
  <si>
    <t>MDRX.PK</t>
  </si>
  <si>
    <t>CALC.OQ</t>
  </si>
  <si>
    <t>HRTG.N</t>
  </si>
  <si>
    <t>M.N</t>
  </si>
  <si>
    <t>TH.OQ</t>
  </si>
  <si>
    <t>HLX.N</t>
  </si>
  <si>
    <t>SOCGP.PK</t>
  </si>
  <si>
    <t>EOG.N</t>
  </si>
  <si>
    <t>ACI.N</t>
  </si>
  <si>
    <t>ARKR.OQ</t>
  </si>
  <si>
    <t>YQ.OQ</t>
  </si>
  <si>
    <t>DFH.N</t>
  </si>
  <si>
    <t>PR.N</t>
  </si>
  <si>
    <t>LFVN.OQ</t>
  </si>
  <si>
    <t>LYEL.OQ</t>
  </si>
  <si>
    <t>GNW.N</t>
  </si>
  <si>
    <t>KZR.OQ</t>
  </si>
  <si>
    <t>ATYR.OQ</t>
  </si>
  <si>
    <t>MNDO.OQ</t>
  </si>
  <si>
    <t>SNOA.OQ</t>
  </si>
  <si>
    <t>THC.N</t>
  </si>
  <si>
    <t>ABEO.OQ</t>
  </si>
  <si>
    <t>AMBIQ.PK</t>
  </si>
  <si>
    <t>BLPG.PK</t>
  </si>
  <si>
    <t>XBIT.OQ</t>
  </si>
  <si>
    <t>JBS.N</t>
  </si>
  <si>
    <t>DNA.N</t>
  </si>
  <si>
    <t>BCO.N</t>
  </si>
  <si>
    <t>DLNG.N</t>
  </si>
  <si>
    <t>CNDT.OQ</t>
  </si>
  <si>
    <t>RES.N</t>
  </si>
  <si>
    <t>TUSK.OQ</t>
  </si>
  <si>
    <t>FF.N</t>
  </si>
  <si>
    <t>UK.OQ</t>
  </si>
  <si>
    <t>UTSI.OQ</t>
  </si>
  <si>
    <t>ABVC.OQ</t>
  </si>
  <si>
    <t>MRKR.OQ</t>
  </si>
  <si>
    <t>ODP.OQ</t>
  </si>
  <si>
    <t>ZBAO.OQ</t>
  </si>
  <si>
    <t>WCRS.PK</t>
  </si>
  <si>
    <t>VANI.OQ</t>
  </si>
  <si>
    <t>MXC.A</t>
  </si>
  <si>
    <t>ARNI.PK</t>
  </si>
  <si>
    <t>EKCS.PK</t>
  </si>
  <si>
    <t>PAGP.OQ</t>
  </si>
  <si>
    <t>MGY.N</t>
  </si>
  <si>
    <t>RNGR.N</t>
  </si>
  <si>
    <t>LXEH.OQ</t>
  </si>
  <si>
    <t>MATH.OQ</t>
  </si>
  <si>
    <t>MNR.N</t>
  </si>
  <si>
    <t>VLGEA.OQ</t>
  </si>
  <si>
    <t>LUCY.OQ</t>
  </si>
  <si>
    <t>SILO.OQ</t>
  </si>
  <si>
    <t>SLDE.OQ</t>
  </si>
  <si>
    <t>CAMP.OQ</t>
  </si>
  <si>
    <t>AXL.N</t>
  </si>
  <si>
    <t>FLXS.OQ</t>
  </si>
  <si>
    <t>MGNX.OQ</t>
  </si>
  <si>
    <t>BIPC.N</t>
  </si>
  <si>
    <t>DDD.N</t>
  </si>
  <si>
    <t>SGU.N</t>
  </si>
  <si>
    <t>TVER.PK</t>
  </si>
  <si>
    <t>CGIP.PK</t>
  </si>
  <si>
    <t>MGHL.PK</t>
  </si>
  <si>
    <t>CBT.N</t>
  </si>
  <si>
    <t>ALEC.OQ</t>
  </si>
  <si>
    <t>RUBI.OQ</t>
  </si>
  <si>
    <t>LOVE.OQ</t>
  </si>
  <si>
    <t>AATC.PK</t>
  </si>
  <si>
    <t>GNSS.OQ</t>
  </si>
  <si>
    <t>CRGY.N</t>
  </si>
  <si>
    <t>XPOF.N</t>
  </si>
  <si>
    <t>MAN.N</t>
  </si>
  <si>
    <t>LGVN.OQ</t>
  </si>
  <si>
    <t>AUNA.N</t>
  </si>
  <si>
    <t>BZUN.OQ</t>
  </si>
  <si>
    <t>ARCB.OQ</t>
  </si>
  <si>
    <t>SPNT.N</t>
  </si>
  <si>
    <t>HGBL.OQ</t>
  </si>
  <si>
    <t>INM.OQ</t>
  </si>
  <si>
    <t>EHTH.OQ</t>
  </si>
  <si>
    <t>SNSE.OQ</t>
  </si>
  <si>
    <t>OKUR.OQ</t>
  </si>
  <si>
    <t>IPSC.OQ</t>
  </si>
  <si>
    <t>TPH.N</t>
  </si>
  <si>
    <t>TNYA.OQ</t>
  </si>
  <si>
    <t>COLL.OQ</t>
  </si>
  <si>
    <t>BKYI.OQ</t>
  </si>
  <si>
    <t>TIPT.OQ</t>
  </si>
  <si>
    <t>RGS.OQ</t>
  </si>
  <si>
    <t>BHILQ.PK</t>
  </si>
  <si>
    <t>ARDT.N</t>
  </si>
  <si>
    <t>SHIP.OQ</t>
  </si>
  <si>
    <t>LICT.PK</t>
  </si>
  <si>
    <t>LXRX.OQ</t>
  </si>
  <si>
    <t>TBBB.N</t>
  </si>
  <si>
    <t>INVU.PK</t>
  </si>
  <si>
    <t>SPCE.N</t>
  </si>
  <si>
    <t>WLGSF.PK</t>
  </si>
  <si>
    <t>EPM.A</t>
  </si>
  <si>
    <t>LVTX.OQ</t>
  </si>
  <si>
    <t>MHO.N</t>
  </si>
  <si>
    <t>AMR.N</t>
  </si>
  <si>
    <t>LEA.N</t>
  </si>
  <si>
    <t>UOKA.OQ</t>
  </si>
  <si>
    <t>BZ.OQ</t>
  </si>
  <si>
    <t>NITO.OQ</t>
  </si>
  <si>
    <t>AQQSQ.PK</t>
  </si>
  <si>
    <t>ENFY.PK</t>
  </si>
  <si>
    <t>VTDRF.PK</t>
  </si>
  <si>
    <t>HTCR.OQ</t>
  </si>
  <si>
    <t>ARLP.OQ</t>
  </si>
  <si>
    <t>NINE.N</t>
  </si>
  <si>
    <t>VYNE.OQ</t>
  </si>
  <si>
    <t>CBAT.OQ</t>
  </si>
  <si>
    <t>DSNY.PK</t>
  </si>
  <si>
    <t>LULU.OQ</t>
  </si>
  <si>
    <t>FARM.OQ</t>
  </si>
  <si>
    <t>SRTS.OQ</t>
  </si>
  <si>
    <t>MGM.N</t>
  </si>
  <si>
    <t>CNO.N</t>
  </si>
  <si>
    <t>CLVR.PK</t>
  </si>
  <si>
    <t>ZD.OQ</t>
  </si>
  <si>
    <t>SAMG.OQ</t>
  </si>
  <si>
    <t>CMRE.N</t>
  </si>
  <si>
    <t>CURV.N</t>
  </si>
  <si>
    <t>ASO.OQ</t>
  </si>
  <si>
    <t>CMS_pb.N</t>
  </si>
  <si>
    <t>CMT.A</t>
  </si>
  <si>
    <t>INSW.N</t>
  </si>
  <si>
    <t>IMTE.OQ</t>
  </si>
  <si>
    <t>PTEN.OQ</t>
  </si>
  <si>
    <t>WBUY.OQ</t>
  </si>
  <si>
    <t>PSTRQ.PK</t>
  </si>
  <si>
    <t>CHTR.OQ</t>
  </si>
  <si>
    <t>SNCR.OQ</t>
  </si>
  <si>
    <t>PULM.OQ</t>
  </si>
  <si>
    <t>EEFT.OQ</t>
  </si>
  <si>
    <t>SY.OQ</t>
  </si>
  <si>
    <t>TENX.OQ</t>
  </si>
  <si>
    <t>XCUR.OQ</t>
  </si>
  <si>
    <t>STTK.OQ</t>
  </si>
  <si>
    <t>APRE.OQ</t>
  </si>
  <si>
    <t>CMCSA.OQ</t>
  </si>
  <si>
    <t>FORR.OQ</t>
  </si>
  <si>
    <t>NMM.N</t>
  </si>
  <si>
    <t>ARVLF.PK</t>
  </si>
  <si>
    <t>NXTC.OQ</t>
  </si>
  <si>
    <t>PBYI.OQ</t>
  </si>
  <si>
    <t>SSP.OQ</t>
  </si>
  <si>
    <t>EIG.N</t>
  </si>
  <si>
    <t>BTU.N</t>
  </si>
  <si>
    <t>MATX.N</t>
  </si>
  <si>
    <t>LBUY.PK</t>
  </si>
  <si>
    <t>CVEO.N</t>
  </si>
  <si>
    <t>AMWL.N</t>
  </si>
  <si>
    <t>PRLD.OQ</t>
  </si>
  <si>
    <t>RAIL.OQ</t>
  </si>
  <si>
    <t>IMMX.OQ</t>
  </si>
  <si>
    <t>FNKO.OQ</t>
  </si>
  <si>
    <t>USDP.PK</t>
  </si>
  <si>
    <t>VUZI.OQ</t>
  </si>
  <si>
    <t>SKK.OQ</t>
  </si>
  <si>
    <t>MLR.N</t>
  </si>
  <si>
    <t>EVOA.PK</t>
  </si>
  <si>
    <t>DHX.N</t>
  </si>
  <si>
    <t>NXST.OQ</t>
  </si>
  <si>
    <t>BNR.OQ</t>
  </si>
  <si>
    <t>AMPY.N</t>
  </si>
  <si>
    <t>GES.N</t>
  </si>
  <si>
    <t>EEIQ.OQ</t>
  </si>
  <si>
    <t>RGA.N</t>
  </si>
  <si>
    <t>BURCA.PK</t>
  </si>
  <si>
    <t>GROV.N</t>
  </si>
  <si>
    <t>HP.N</t>
  </si>
  <si>
    <t>FGPR.PK</t>
  </si>
  <si>
    <t>VXRT.PK</t>
  </si>
  <si>
    <t>PLCE.OQ</t>
  </si>
  <si>
    <t>HTOO.OQ</t>
  </si>
  <si>
    <t>HAL.N</t>
  </si>
  <si>
    <t>SOC.N</t>
  </si>
  <si>
    <t>MKTW.OQ</t>
  </si>
  <si>
    <t>PETV.PK</t>
  </si>
  <si>
    <t>GCO.N</t>
  </si>
  <si>
    <t>CNXC.OQ</t>
  </si>
  <si>
    <t>OXY.N</t>
  </si>
  <si>
    <t>BIRD.OQ</t>
  </si>
  <si>
    <t>LRN.N</t>
  </si>
  <si>
    <t>RLYB.OQ</t>
  </si>
  <si>
    <t>YELLQ.PK</t>
  </si>
  <si>
    <t>MTH.N</t>
  </si>
  <si>
    <t>PYYX.PK</t>
  </si>
  <si>
    <t>MCTR.OQ</t>
  </si>
  <si>
    <t>TX.N</t>
  </si>
  <si>
    <t>NTBLQ.PK</t>
  </si>
  <si>
    <t>OMC.N</t>
  </si>
  <si>
    <t>R.N</t>
  </si>
  <si>
    <t>ATNI.OQ</t>
  </si>
  <si>
    <t>AOUT.OQ</t>
  </si>
  <si>
    <t>TDW.N</t>
  </si>
  <si>
    <t>CNC.N</t>
  </si>
  <si>
    <t>ALMS.OQ</t>
  </si>
  <si>
    <t>IMCC.OQ</t>
  </si>
  <si>
    <t>CMMB.OQ</t>
  </si>
  <si>
    <t>ECOR.OQ</t>
  </si>
  <si>
    <t>UPBD.OQ</t>
  </si>
  <si>
    <t>ESMC.PK</t>
  </si>
  <si>
    <t>MRM.OQ</t>
  </si>
  <si>
    <t>NATR.OQ</t>
  </si>
  <si>
    <t>RVLPQ.PK</t>
  </si>
  <si>
    <t>UAL.OQ</t>
  </si>
  <si>
    <t>CPS.N</t>
  </si>
  <si>
    <t>CXAI.OQ</t>
  </si>
  <si>
    <t>WLK.N</t>
  </si>
  <si>
    <t>LYB.N</t>
  </si>
  <si>
    <t>ARWR.OQ</t>
  </si>
  <si>
    <t>EHGO.OQ</t>
  </si>
  <si>
    <t>TWFG.OQ</t>
  </si>
  <si>
    <t>TLPH.OQ</t>
  </si>
  <si>
    <t>NUTX.OQ</t>
  </si>
  <si>
    <t>MODD.OQ</t>
  </si>
  <si>
    <t>TRTN_pa.N</t>
  </si>
  <si>
    <t>VOYA.N</t>
  </si>
  <si>
    <t>SIFY.OQ</t>
  </si>
  <si>
    <t>KRO.N</t>
  </si>
  <si>
    <t>NL.N</t>
  </si>
  <si>
    <t>NVOS.PK</t>
  </si>
  <si>
    <t>MGPI.OQ</t>
  </si>
  <si>
    <t>OC.N</t>
  </si>
  <si>
    <t>SD.N</t>
  </si>
  <si>
    <t>TDC.N</t>
  </si>
  <si>
    <t>APOG.OQ</t>
  </si>
  <si>
    <t>PHM.N</t>
  </si>
  <si>
    <t>SSET.PK</t>
  </si>
  <si>
    <t>WHWK.OQ</t>
  </si>
  <si>
    <t>SBH.N</t>
  </si>
  <si>
    <t>ADNT.N</t>
  </si>
  <si>
    <t>HELE.OQ</t>
  </si>
  <si>
    <t>BATL.A</t>
  </si>
  <si>
    <t>KTTA.OQ</t>
  </si>
  <si>
    <t>ISRL.OQ</t>
  </si>
  <si>
    <t>HSTOQ.PK</t>
  </si>
  <si>
    <t>HRST.PK</t>
  </si>
  <si>
    <t>KSS.N</t>
  </si>
  <si>
    <t>NEXA.N</t>
  </si>
  <si>
    <t>CF.N</t>
  </si>
  <si>
    <t>BBY.N</t>
  </si>
  <si>
    <t>AVR.OQ</t>
  </si>
  <si>
    <t>SDRL.N</t>
  </si>
  <si>
    <t>RNTX.OQ</t>
  </si>
  <si>
    <t>ASIX.N</t>
  </si>
  <si>
    <t>FTEL.OQ</t>
  </si>
  <si>
    <t>TGT.N</t>
  </si>
  <si>
    <t>HOOK.PK</t>
  </si>
  <si>
    <t>IBIO.OQ</t>
  </si>
  <si>
    <t>IHRT.OQ</t>
  </si>
  <si>
    <t>RYAM.N</t>
  </si>
  <si>
    <t>GPK.N</t>
  </si>
  <si>
    <t>TAP.N</t>
  </si>
  <si>
    <t>BMRA.OQ</t>
  </si>
  <si>
    <t>XPRO.N</t>
  </si>
  <si>
    <t>GAP.N</t>
  </si>
  <si>
    <t>SUNE.OQ</t>
  </si>
  <si>
    <t>ESOA.OQ</t>
  </si>
  <si>
    <t>GAMB.OQ</t>
  </si>
  <si>
    <t>HRI.N</t>
  </si>
  <si>
    <t>ADT.N</t>
  </si>
  <si>
    <t>SB.N</t>
  </si>
  <si>
    <t>AZULQ.PK</t>
  </si>
  <si>
    <t>SBLK.OQ</t>
  </si>
  <si>
    <t>KELYA.OQ</t>
  </si>
  <si>
    <t>DAL.N</t>
  </si>
  <si>
    <t>AFG.N</t>
  </si>
  <si>
    <t>AMCX.OQ</t>
  </si>
  <si>
    <t>UTMD.OQ</t>
  </si>
  <si>
    <t>VC.OQ</t>
  </si>
  <si>
    <t>SNTI.OQ</t>
  </si>
  <si>
    <t>LEN.N</t>
  </si>
  <si>
    <t>ZBAI.OQ</t>
  </si>
  <si>
    <t>TIGO.OQ</t>
  </si>
  <si>
    <t>GIGM.OQ</t>
  </si>
  <si>
    <t>ANGI.OQ</t>
  </si>
  <si>
    <t>CTSO.OQ</t>
  </si>
  <si>
    <t>PUMP.N</t>
  </si>
  <si>
    <t>DYAI.OQ</t>
  </si>
  <si>
    <t>NOV.N</t>
  </si>
  <si>
    <t>AYTU.OQ</t>
  </si>
  <si>
    <t>CLGN.OQ</t>
  </si>
  <si>
    <t>SIGA.OQ</t>
  </si>
  <si>
    <t>STRT.OQ</t>
  </si>
  <si>
    <t>WOWI.PK</t>
  </si>
  <si>
    <t>IMKTA.OQ</t>
  </si>
  <si>
    <t>ACT.OQ</t>
  </si>
  <si>
    <t>LCUT.OQ</t>
  </si>
  <si>
    <t>AMWD.OQ</t>
  </si>
  <si>
    <t>NESR.OQ</t>
  </si>
  <si>
    <t>CVLG.N</t>
  </si>
  <si>
    <t>WNC.N</t>
  </si>
  <si>
    <t>SPB.N</t>
  </si>
  <si>
    <t>CCS.N</t>
  </si>
  <si>
    <t>HOWL.OQ</t>
  </si>
  <si>
    <t>IPG.N</t>
  </si>
  <si>
    <t>VERU.OQ</t>
  </si>
  <si>
    <t>GFF.N</t>
  </si>
  <si>
    <t>GRBK.N</t>
  </si>
  <si>
    <t>SSTK.N</t>
  </si>
  <si>
    <t>PVH.N</t>
  </si>
  <si>
    <t>MURA.OQ</t>
  </si>
  <si>
    <t>MTW.N</t>
  </si>
  <si>
    <t>SNCF.PK</t>
  </si>
  <si>
    <t>PHIN.N</t>
  </si>
  <si>
    <t>COP.N</t>
  </si>
  <si>
    <t>FNF.N</t>
  </si>
  <si>
    <t>CABO.N</t>
  </si>
  <si>
    <t>NE.N</t>
  </si>
  <si>
    <t>INR.N</t>
  </si>
  <si>
    <t>THBD.PK</t>
  </si>
  <si>
    <t>TGNA.N</t>
  </si>
  <si>
    <t>BAH.N</t>
  </si>
  <si>
    <t>WEYS.OQ</t>
  </si>
  <si>
    <t>CRBO.PK</t>
  </si>
  <si>
    <t>ACDC.OQ</t>
  </si>
  <si>
    <t>ASNS.OQ</t>
  </si>
  <si>
    <t>MBOT.OQ</t>
  </si>
  <si>
    <t>TAKD.PK</t>
  </si>
  <si>
    <t>NATL.N</t>
  </si>
  <si>
    <t>KBH.N</t>
  </si>
  <si>
    <t>PUBM.OQ</t>
  </si>
  <si>
    <t>WEN.OQ</t>
  </si>
  <si>
    <t>AMPH.OQ</t>
  </si>
  <si>
    <t>TMHC.N</t>
  </si>
  <si>
    <t>VKSC.PK</t>
  </si>
  <si>
    <t>MRTN.OQ</t>
  </si>
  <si>
    <t>MVIS.OQ</t>
  </si>
  <si>
    <t>PCG_pa.A</t>
  </si>
  <si>
    <t>ZVRA.OQ</t>
  </si>
  <si>
    <t>EMN.N</t>
  </si>
  <si>
    <t>KINS.OQ</t>
  </si>
  <si>
    <t>TEN.N</t>
  </si>
  <si>
    <t>SMSI.OQ</t>
  </si>
  <si>
    <t>TSPH.PK</t>
  </si>
  <si>
    <t>ACHC.OQ</t>
  </si>
  <si>
    <t>SIG.N</t>
  </si>
  <si>
    <t>EPC.N</t>
  </si>
  <si>
    <t>BOLT.OQ</t>
  </si>
  <si>
    <t>ALSN.N</t>
  </si>
  <si>
    <t>HTLD.OQ</t>
  </si>
  <si>
    <t>WKC.N</t>
  </si>
  <si>
    <t>GBX.N</t>
  </si>
  <si>
    <t>ALK.N</t>
  </si>
  <si>
    <t>RKDA.OQ</t>
  </si>
  <si>
    <t>APTL.PK</t>
  </si>
  <si>
    <t>HNNA.OQ</t>
  </si>
  <si>
    <t>OLN.N</t>
  </si>
  <si>
    <t>OSPN.OQ</t>
  </si>
  <si>
    <t>NRC.OQ</t>
  </si>
  <si>
    <t>GOCO.OQ</t>
  </si>
  <si>
    <t>GAMI.PK</t>
  </si>
  <si>
    <t>FMC.N</t>
  </si>
  <si>
    <t>AMRX.OQ</t>
  </si>
  <si>
    <t>VOR.OQ</t>
  </si>
  <si>
    <t>KOP.N</t>
  </si>
  <si>
    <t>BORR.N</t>
  </si>
  <si>
    <t>ALXO.OQ</t>
  </si>
  <si>
    <t>GENK.OQ</t>
  </si>
  <si>
    <t>PASG.OQ</t>
  </si>
  <si>
    <t>ARKO.OQ</t>
  </si>
  <si>
    <t>GSM.OQ</t>
  </si>
  <si>
    <t>BV.N</t>
  </si>
  <si>
    <t>TLIH.OQ</t>
  </si>
  <si>
    <t>VMD.OQ</t>
  </si>
  <si>
    <t>KUKEY.PK</t>
  </si>
  <si>
    <t>INGR.N</t>
  </si>
  <si>
    <t>SNCY.OQ</t>
  </si>
  <si>
    <t>BBBY.N</t>
  </si>
  <si>
    <t>VZ.N</t>
  </si>
  <si>
    <t>INMD.OQ</t>
  </si>
  <si>
    <t>TELA.OQ</t>
  </si>
  <si>
    <t>WMK.N</t>
  </si>
  <si>
    <t>CODI.N</t>
  </si>
  <si>
    <t>NRP.N</t>
  </si>
  <si>
    <t>KD.N</t>
  </si>
  <si>
    <t>MDLH.PK</t>
  </si>
  <si>
    <t>LTFD.PK</t>
  </si>
  <si>
    <t>LNTH.OQ</t>
  </si>
  <si>
    <t>CBRL.OQ</t>
  </si>
  <si>
    <t>NMIH.OQ</t>
  </si>
  <si>
    <t>MHK.N</t>
  </si>
  <si>
    <t>VTVT.OQ</t>
  </si>
  <si>
    <t>PZOO.PK</t>
  </si>
  <si>
    <t>GOEVQ.PK</t>
  </si>
  <si>
    <t>GLIBA.OQ</t>
  </si>
  <si>
    <t>EML.OQ</t>
  </si>
  <si>
    <t>GNK.N</t>
  </si>
  <si>
    <t>BDL.A</t>
  </si>
  <si>
    <t>VSCO.N</t>
  </si>
  <si>
    <t>GROM.PK</t>
  </si>
  <si>
    <t>OII.N</t>
  </si>
  <si>
    <t>DHIL.OQ</t>
  </si>
  <si>
    <t>RTCJF.PK</t>
  </si>
  <si>
    <t>DLX.N</t>
  </si>
  <si>
    <t>DOW.N</t>
  </si>
  <si>
    <t>ECO.N</t>
  </si>
  <si>
    <t>MKL.N</t>
  </si>
  <si>
    <t>BWA.N</t>
  </si>
  <si>
    <t>TOL.N</t>
  </si>
  <si>
    <t>VVOS.OQ</t>
  </si>
  <si>
    <t>SABS.OQ</t>
  </si>
  <si>
    <t>NMXS.PK</t>
  </si>
  <si>
    <t>VTRS.OQ</t>
  </si>
  <si>
    <t>BTZI.PK</t>
  </si>
  <si>
    <t>BOOM.OQ</t>
  </si>
  <si>
    <t>MSAI.OQ</t>
  </si>
  <si>
    <t>MHH.A</t>
  </si>
  <si>
    <t>NLCP.PK</t>
  </si>
  <si>
    <t>AP.N</t>
  </si>
  <si>
    <t>FI.N</t>
  </si>
  <si>
    <t>AWX.A</t>
  </si>
  <si>
    <t>DFIN.N</t>
  </si>
  <si>
    <t>OBIO.OQ</t>
  </si>
  <si>
    <t>SLAI.N</t>
  </si>
  <si>
    <t>MRK.N</t>
  </si>
  <si>
    <t>IRIG.PK</t>
  </si>
  <si>
    <t>TAOX.OQ</t>
  </si>
  <si>
    <t>KR.N</t>
  </si>
  <si>
    <t>MTG.N</t>
  </si>
  <si>
    <t>KNOP.N</t>
  </si>
  <si>
    <t>BYD.N</t>
  </si>
  <si>
    <t>THRY.OQ</t>
  </si>
  <si>
    <t>NCLH.N</t>
  </si>
  <si>
    <t>RGUS.PK</t>
  </si>
  <si>
    <t>KFY.N</t>
  </si>
  <si>
    <t>HNI.N</t>
  </si>
  <si>
    <t>STKS.OQ</t>
  </si>
  <si>
    <t>MUSA.N</t>
  </si>
  <si>
    <t>HLF.N</t>
  </si>
  <si>
    <t>KRKR.OQ</t>
  </si>
  <si>
    <t>OSK.N</t>
  </si>
  <si>
    <t>FLO.N</t>
  </si>
  <si>
    <t>BBCP.OQ</t>
  </si>
  <si>
    <t>MTX.N</t>
  </si>
  <si>
    <t>INMB.OQ</t>
  </si>
  <si>
    <t>NOMD.N</t>
  </si>
  <si>
    <t>ACCO.N</t>
  </si>
  <si>
    <t>SNBR.OQ</t>
  </si>
  <si>
    <t>TROX.N</t>
  </si>
  <si>
    <t>BTDR.OQ</t>
  </si>
  <si>
    <t>BLNK.OQ</t>
  </si>
  <si>
    <t>MBC.N</t>
  </si>
  <si>
    <t>TSE.N</t>
  </si>
  <si>
    <t>HVT.N</t>
  </si>
  <si>
    <t>THS.N</t>
  </si>
  <si>
    <t>UPS.N</t>
  </si>
  <si>
    <t>SYY.N</t>
  </si>
  <si>
    <t>RPAY.OQ</t>
  </si>
  <si>
    <t>RICK.OQ</t>
  </si>
  <si>
    <t>JSPR.OQ</t>
  </si>
  <si>
    <t>VTGDF.PK</t>
  </si>
  <si>
    <t>OLPX.OQ</t>
  </si>
  <si>
    <t>HOLO.OQ</t>
  </si>
  <si>
    <t>SFD.OQ</t>
  </si>
  <si>
    <t>GRVE.PK</t>
  </si>
  <si>
    <t>CNK.N</t>
  </si>
  <si>
    <t>UNM.N</t>
  </si>
  <si>
    <t>MGTX.OQ</t>
  </si>
  <si>
    <t>SPRO.OQ</t>
  </si>
  <si>
    <t>GT.OQ</t>
  </si>
  <si>
    <t>TROW.OQ</t>
  </si>
  <si>
    <t>GM.N</t>
  </si>
  <si>
    <t>ANDE.OQ</t>
  </si>
  <si>
    <t>IGD.N</t>
  </si>
  <si>
    <t>CDLX.OQ</t>
  </si>
  <si>
    <t>AN.N</t>
  </si>
  <si>
    <t>HRMY.OQ</t>
  </si>
  <si>
    <t>BILI.OQ</t>
  </si>
  <si>
    <t>DBI.N</t>
  </si>
  <si>
    <t>CARS.N</t>
  </si>
  <si>
    <t>PACS.N</t>
  </si>
  <si>
    <t>GDEN.OQ</t>
  </si>
  <si>
    <t>MG.N</t>
  </si>
  <si>
    <t>RMAX.N</t>
  </si>
  <si>
    <t>INVA.OQ</t>
  </si>
  <si>
    <t>YCBD.A</t>
  </si>
  <si>
    <t>REBN.OQ</t>
  </si>
  <si>
    <t>SGC.OQ</t>
  </si>
  <si>
    <t>CAAP.N</t>
  </si>
  <si>
    <t>CTRA.N</t>
  </si>
  <si>
    <t>IBEX.OQ</t>
  </si>
  <si>
    <t>LOCO.OQ</t>
  </si>
  <si>
    <t>RHI.N</t>
  </si>
  <si>
    <t>T.N</t>
  </si>
  <si>
    <t>BBW.N</t>
  </si>
  <si>
    <t>NSIT.OQ</t>
  </si>
  <si>
    <t>DAN.N</t>
  </si>
  <si>
    <t>DECK.N</t>
  </si>
  <si>
    <t>MLKN.OQ</t>
  </si>
  <si>
    <t>XBP.OQ</t>
  </si>
  <si>
    <t>BLDR.N</t>
  </si>
  <si>
    <t>LNG.N</t>
  </si>
  <si>
    <t>AXR.N</t>
  </si>
  <si>
    <t>CC.N</t>
  </si>
  <si>
    <t>PCLA.OQ</t>
  </si>
  <si>
    <t>DAVA.N</t>
  </si>
  <si>
    <t>UEIC.OQ</t>
  </si>
  <si>
    <t>LKQ.OQ</t>
  </si>
  <si>
    <t>UFPI.OQ</t>
  </si>
  <si>
    <t>APAM.N</t>
  </si>
  <si>
    <t>BFRG.OQ</t>
  </si>
  <si>
    <t>EMMD.PK</t>
  </si>
  <si>
    <t>CENT.OQ</t>
  </si>
  <si>
    <t>OPFI.N</t>
  </si>
  <si>
    <t>LGPS.A</t>
  </si>
  <si>
    <t>ARQQ.OQ</t>
  </si>
  <si>
    <t>XOS.OQ</t>
  </si>
  <si>
    <t>KORE.N</t>
  </si>
  <si>
    <t>ARBE.OQ</t>
  </si>
  <si>
    <t>LNW.OQ</t>
  </si>
  <si>
    <t>WBX.N</t>
  </si>
  <si>
    <t>BIGGQ.PK</t>
  </si>
  <si>
    <t>RBOT.N</t>
  </si>
  <si>
    <t>WTTR.N</t>
  </si>
  <si>
    <t>XFOR.OQ</t>
  </si>
  <si>
    <t>FPH.N</t>
  </si>
  <si>
    <t>NGL.N</t>
  </si>
  <si>
    <t>BNRG.OQ</t>
  </si>
  <si>
    <t>NVGS.N</t>
  </si>
  <si>
    <t>HD.N</t>
  </si>
  <si>
    <t>ALV.N</t>
  </si>
  <si>
    <t>SOQDQ.PK</t>
  </si>
  <si>
    <t>SDHC.N</t>
  </si>
  <si>
    <t>GBLI.OQ</t>
  </si>
  <si>
    <t>ETD.N</t>
  </si>
  <si>
    <t>IIPR.N</t>
  </si>
  <si>
    <t>VNET.OQ</t>
  </si>
  <si>
    <t>FCX.N</t>
  </si>
  <si>
    <t>BXLC.PK</t>
  </si>
  <si>
    <t>ATNM.A</t>
  </si>
  <si>
    <t>PAYO.OQ</t>
  </si>
  <si>
    <t>KALV.OQ</t>
  </si>
  <si>
    <t>WERN.OQ</t>
  </si>
  <si>
    <t>UONEK.OQ</t>
  </si>
  <si>
    <t>ASGN.N</t>
  </si>
  <si>
    <t>JZ.OQ</t>
  </si>
  <si>
    <t>IMMG.PK</t>
  </si>
  <si>
    <t>LESL.OQ</t>
  </si>
  <si>
    <t>HPE.N</t>
  </si>
  <si>
    <t>MTN.N</t>
  </si>
  <si>
    <t>THRM.OQ</t>
  </si>
  <si>
    <t>WEX.N</t>
  </si>
  <si>
    <t>RMR.OQ</t>
  </si>
  <si>
    <t>AOLS.PK</t>
  </si>
  <si>
    <t>PRI.N</t>
  </si>
  <si>
    <t>MAT.OQ</t>
  </si>
  <si>
    <t>TGL.OQ</t>
  </si>
  <si>
    <t>SFL.N</t>
  </si>
  <si>
    <t>MEC.N</t>
  </si>
  <si>
    <t>STTO.PK</t>
  </si>
  <si>
    <t>YECO.PK</t>
  </si>
  <si>
    <t>ITRN.OQ</t>
  </si>
  <si>
    <t>RMNI.OQ</t>
  </si>
  <si>
    <t>KFRC.N</t>
  </si>
  <si>
    <t>ESBA.P</t>
  </si>
  <si>
    <t>CSTM.N</t>
  </si>
  <si>
    <t>FANG.OQ</t>
  </si>
  <si>
    <t>IWSY.PK</t>
  </si>
  <si>
    <t>GNCAQ.PK</t>
  </si>
  <si>
    <t>CGTX.OQ</t>
  </si>
  <si>
    <t>EPSN.OQ</t>
  </si>
  <si>
    <t>RUSHA.OQ</t>
  </si>
  <si>
    <t>VGFCQ.PK</t>
  </si>
  <si>
    <t>OXLC.OQ</t>
  </si>
  <si>
    <t>COLM.OQ</t>
  </si>
  <si>
    <t>MCS.N</t>
  </si>
  <si>
    <t>UAA.N</t>
  </si>
  <si>
    <t>PSFE.N</t>
  </si>
  <si>
    <t>VSTS.N</t>
  </si>
  <si>
    <t>BMBL.OQ</t>
  </si>
  <si>
    <t>DBMG.PK</t>
  </si>
  <si>
    <t>AURE.OQ</t>
  </si>
  <si>
    <t>OSUR.OQ</t>
  </si>
  <si>
    <t>VTAK.A</t>
  </si>
  <si>
    <t>ST.N</t>
  </si>
  <si>
    <t>PAA.OQ</t>
  </si>
  <si>
    <t>LPRO.OQ</t>
  </si>
  <si>
    <t>FDX.N</t>
  </si>
  <si>
    <t>CRDb.N</t>
  </si>
  <si>
    <t>QNCX.OQ</t>
  </si>
  <si>
    <t>MCRAA.PK</t>
  </si>
  <si>
    <t>MERC.OQ</t>
  </si>
  <si>
    <t>SEE.N</t>
  </si>
  <si>
    <t>DMLP.OQ</t>
  </si>
  <si>
    <t>TOVX.A</t>
  </si>
  <si>
    <t>CYCU.OQ</t>
  </si>
  <si>
    <t>UVV.N</t>
  </si>
  <si>
    <t>TOPS.A</t>
  </si>
  <si>
    <t>BTCT.OQ</t>
  </si>
  <si>
    <t>SKYW.OQ</t>
  </si>
  <si>
    <t>KEQU.OQ</t>
  </si>
  <si>
    <t>SEAL_pb.N</t>
  </si>
  <si>
    <t>ZNB.OQ</t>
  </si>
  <si>
    <t>ACEL.N</t>
  </si>
  <si>
    <t>CRCT.OQ</t>
  </si>
  <si>
    <t>SHWZ.PK</t>
  </si>
  <si>
    <t>PKOH.OQ</t>
  </si>
  <si>
    <t>ATUS.N</t>
  </si>
  <si>
    <t>SLQT.N</t>
  </si>
  <si>
    <t>ETOR.OQ</t>
  </si>
  <si>
    <t>RECT.OQ</t>
  </si>
  <si>
    <t>RLGT.A</t>
  </si>
  <si>
    <t>WLY.N</t>
  </si>
  <si>
    <t>MMM.N</t>
  </si>
  <si>
    <t>IOSP.OQ</t>
  </si>
  <si>
    <t>BALL.N</t>
  </si>
  <si>
    <t>AESI.N</t>
  </si>
  <si>
    <t>IVDA.OQ</t>
  </si>
  <si>
    <t>RNXT.OQ</t>
  </si>
  <si>
    <t>UG.OQ</t>
  </si>
  <si>
    <t>APO.N</t>
  </si>
  <si>
    <t>AOSL.OQ</t>
  </si>
  <si>
    <t>AQMS.OQ</t>
  </si>
  <si>
    <t>JELD.N</t>
  </si>
  <si>
    <t>MNTK.OQ</t>
  </si>
  <si>
    <t>MEIL.PK</t>
  </si>
  <si>
    <t>XOM.N</t>
  </si>
  <si>
    <t>HUBG.OQ</t>
  </si>
  <si>
    <t>AXTA.N</t>
  </si>
  <si>
    <t>NVR.N</t>
  </si>
  <si>
    <t>VTOL.N</t>
  </si>
  <si>
    <t>MPAA.OQ</t>
  </si>
  <si>
    <t>VRAYQ.PK</t>
  </si>
  <si>
    <t>SRPT.OQ</t>
  </si>
  <si>
    <t>KRP.N</t>
  </si>
  <si>
    <t>PBI.N</t>
  </si>
  <si>
    <t>ASPN.N</t>
  </si>
  <si>
    <t>MOS.N</t>
  </si>
  <si>
    <t>BJDX.OQ</t>
  </si>
  <si>
    <t>EWCZ.OQ</t>
  </si>
  <si>
    <t>TRT.A</t>
  </si>
  <si>
    <t>DIDIY.PK</t>
  </si>
  <si>
    <t>CFNB.PK</t>
  </si>
  <si>
    <t>ATGN.PK</t>
  </si>
  <si>
    <t>AMBO.A</t>
  </si>
  <si>
    <t>ENR.N</t>
  </si>
  <si>
    <t>INGM.N</t>
  </si>
  <si>
    <t>CMTL.OQ</t>
  </si>
  <si>
    <t>CAUD.PK</t>
  </si>
  <si>
    <t>PHIO.OQ</t>
  </si>
  <si>
    <t>JFBR.OQ</t>
  </si>
  <si>
    <t>MET.N</t>
  </si>
  <si>
    <t>NAT.N</t>
  </si>
  <si>
    <t>OIS.N</t>
  </si>
  <si>
    <t>GEF.N</t>
  </si>
  <si>
    <t>WHLM.PK</t>
  </si>
  <si>
    <t>FLES.PK</t>
  </si>
  <si>
    <t>FOXA.OQ</t>
  </si>
  <si>
    <t>USRM.PK</t>
  </si>
  <si>
    <t>LPX.N</t>
  </si>
  <si>
    <t>GETY.N</t>
  </si>
  <si>
    <t>DD.N</t>
  </si>
  <si>
    <t>BDSX.OQ</t>
  </si>
  <si>
    <t>MARPS.OQ</t>
  </si>
  <si>
    <t>AA.N</t>
  </si>
  <si>
    <t>CMCO.OQ</t>
  </si>
  <si>
    <t>CI.N</t>
  </si>
  <si>
    <t>OMI.N</t>
  </si>
  <si>
    <t>LXFR.N</t>
  </si>
  <si>
    <t>DBD.N</t>
  </si>
  <si>
    <t>APTV.N</t>
  </si>
  <si>
    <t>GLTO.OQ</t>
  </si>
  <si>
    <t>ALIT.N</t>
  </si>
  <si>
    <t>STRW.A</t>
  </si>
  <si>
    <t>TDS.N</t>
  </si>
  <si>
    <t>AFL.N</t>
  </si>
  <si>
    <t>VNCE.OQ</t>
  </si>
  <si>
    <t>TBCH.OQ</t>
  </si>
  <si>
    <t>EBON.OQ</t>
  </si>
  <si>
    <t>DSX.N</t>
  </si>
  <si>
    <t>CSBR.OQ</t>
  </si>
  <si>
    <t>FHI.N</t>
  </si>
  <si>
    <t>HCC.N</t>
  </si>
  <si>
    <t>TKR.N</t>
  </si>
  <si>
    <t>INO.OQ</t>
  </si>
  <si>
    <t>SLSDF.PK</t>
  </si>
  <si>
    <t>PRA.N</t>
  </si>
  <si>
    <t>IDT.N</t>
  </si>
  <si>
    <t>NWL.OQ</t>
  </si>
  <si>
    <t>AVNS.N</t>
  </si>
  <si>
    <t>RCMT.OQ</t>
  </si>
  <si>
    <t>QCLS.OQ</t>
  </si>
  <si>
    <t>SPIEF.PK</t>
  </si>
  <si>
    <t>KHC.OQ</t>
  </si>
  <si>
    <t>NLOP.N</t>
  </si>
  <si>
    <t>FET.N</t>
  </si>
  <si>
    <t>SCSC.OQ</t>
  </si>
  <si>
    <t>WSC.OQ</t>
  </si>
  <si>
    <t>OI.N</t>
  </si>
  <si>
    <t>NXL.OQ</t>
  </si>
  <si>
    <t>EMBC.OQ</t>
  </si>
  <si>
    <t>CVX.N</t>
  </si>
  <si>
    <t>LGL.A</t>
  </si>
  <si>
    <t>KAR.N</t>
  </si>
  <si>
    <t>BLBD.OQ</t>
  </si>
  <si>
    <t>CVM.A</t>
  </si>
  <si>
    <t>CLVT.N</t>
  </si>
  <si>
    <t>WS.N</t>
  </si>
  <si>
    <t>AMN.N</t>
  </si>
  <si>
    <t>ROCK.OQ</t>
  </si>
  <si>
    <t>CAG.N</t>
  </si>
  <si>
    <t>DNOW.N</t>
  </si>
  <si>
    <t>MPC.N</t>
  </si>
  <si>
    <t>AVNT.N</t>
  </si>
  <si>
    <t>PAMT.OQ</t>
  </si>
  <si>
    <t>LIQDQ.PK</t>
  </si>
  <si>
    <t>HUN.N</t>
  </si>
  <si>
    <t>ON.OQ</t>
  </si>
  <si>
    <t>SNDR.N</t>
  </si>
  <si>
    <t>SMTK.OQ</t>
  </si>
  <si>
    <t>AIN.N</t>
  </si>
  <si>
    <t>WBD.OQ</t>
  </si>
  <si>
    <t>PRU.N</t>
  </si>
  <si>
    <t>TRIP.OQ</t>
  </si>
  <si>
    <t>TECK.N</t>
  </si>
  <si>
    <t>CNR.N</t>
  </si>
  <si>
    <t>UNIT.OQ</t>
  </si>
  <si>
    <t>GO.OQ</t>
  </si>
  <si>
    <t>RCKY.OQ</t>
  </si>
  <si>
    <t>RBNE.OQ</t>
  </si>
  <si>
    <t>LFWD.OQ</t>
  </si>
  <si>
    <t>NUS.N</t>
  </si>
  <si>
    <t>ARW.N</t>
  </si>
  <si>
    <t>COTY.N</t>
  </si>
  <si>
    <t>RGBD.PK</t>
  </si>
  <si>
    <t>PPG.N</t>
  </si>
  <si>
    <t>AGGG.PK</t>
  </si>
  <si>
    <t>CINF.OQ</t>
  </si>
  <si>
    <t>PTLO.OQ</t>
  </si>
  <si>
    <t>CDR_pb.N</t>
  </si>
  <si>
    <t>CYH.N</t>
  </si>
  <si>
    <t>GCI.N</t>
  </si>
  <si>
    <t>FTDR.OQ</t>
  </si>
  <si>
    <t>INTI.PK</t>
  </si>
  <si>
    <t>SGA.OQ</t>
  </si>
  <si>
    <t>HESM.N</t>
  </si>
  <si>
    <t>NGS.N</t>
  </si>
  <si>
    <t>FRO.N</t>
  </si>
  <si>
    <t>IIIN.N</t>
  </si>
  <si>
    <t>BIIB.OQ</t>
  </si>
  <si>
    <t>ET.N</t>
  </si>
  <si>
    <t>FBIN.N</t>
  </si>
  <si>
    <t>VSH.N</t>
  </si>
  <si>
    <t>HSII.OQ</t>
  </si>
  <si>
    <t>CNH.N</t>
  </si>
  <si>
    <t>GPN.N</t>
  </si>
  <si>
    <t>EVTC.N</t>
  </si>
  <si>
    <t>NTWK.OQ</t>
  </si>
  <si>
    <t>UHS.N</t>
  </si>
  <si>
    <t>DHT.N</t>
  </si>
  <si>
    <t>SEM.N</t>
  </si>
  <si>
    <t>CLDT.N</t>
  </si>
  <si>
    <t>LE.OQ</t>
  </si>
  <si>
    <t>UAN.N</t>
  </si>
  <si>
    <t>MCEM.PK</t>
  </si>
  <si>
    <t>VELO.OQ</t>
  </si>
  <si>
    <t>IART.OQ</t>
  </si>
  <si>
    <t>TNC.N</t>
  </si>
  <si>
    <t>HHS.OQ</t>
  </si>
  <si>
    <t>SQZB.PK</t>
  </si>
  <si>
    <t>BRSL.N</t>
  </si>
  <si>
    <t>MNRO.OQ</t>
  </si>
  <si>
    <t>ZEUS.OQ</t>
  </si>
  <si>
    <t>LAKE.OQ</t>
  </si>
  <si>
    <t>QUAD.N</t>
  </si>
  <si>
    <t>CNMD.N</t>
  </si>
  <si>
    <t>LUV.N</t>
  </si>
  <si>
    <t>FACO.PK</t>
  </si>
  <si>
    <t>HLTHQ.PK</t>
  </si>
  <si>
    <t>VSAT.OQ</t>
  </si>
  <si>
    <t>UTRS.PK</t>
  </si>
  <si>
    <t>NUVR.PK</t>
  </si>
  <si>
    <t>TBIO.PK</t>
  </si>
  <si>
    <t>BJRI.OQ</t>
  </si>
  <si>
    <t>SOGP.OQ</t>
  </si>
  <si>
    <t>WHD.N</t>
  </si>
  <si>
    <t>FOR.N</t>
  </si>
  <si>
    <t>BOW.N</t>
  </si>
  <si>
    <t>ATLX.OQ</t>
  </si>
  <si>
    <t>TTAM.N</t>
  </si>
  <si>
    <t>GDEV.OQ</t>
  </si>
  <si>
    <t>DLXY.OQ</t>
  </si>
  <si>
    <t>CYRNQ.PK</t>
  </si>
  <si>
    <t>EXPE.OQ</t>
  </si>
  <si>
    <t>LGCY.A</t>
  </si>
  <si>
    <t>IRD.OQ</t>
  </si>
  <si>
    <t>RVSN.OQ</t>
  </si>
  <si>
    <t>CAKE.OQ</t>
  </si>
  <si>
    <t>CSIQ.OQ</t>
  </si>
  <si>
    <t>OTTR.OQ</t>
  </si>
  <si>
    <t>USAQ.PK</t>
  </si>
  <si>
    <t>VATE.N</t>
  </si>
  <si>
    <t>CPB.OQ</t>
  </si>
  <si>
    <t>EDIT.OQ</t>
  </si>
  <si>
    <t>FEDU.N</t>
  </si>
  <si>
    <t>BSM.N</t>
  </si>
  <si>
    <t>PCRX.OQ</t>
  </si>
  <si>
    <t>VIVE.PK</t>
  </si>
  <si>
    <t>ACU.A</t>
  </si>
  <si>
    <t>LPG.N</t>
  </si>
  <si>
    <t>WSTL.PK</t>
  </si>
  <si>
    <t>HLLY.N</t>
  </si>
  <si>
    <t>BC.N</t>
  </si>
  <si>
    <t>GLP.N</t>
  </si>
  <si>
    <t>SDSYA.PK</t>
  </si>
  <si>
    <t>WES.N</t>
  </si>
  <si>
    <t>WLFC.OQ</t>
  </si>
  <si>
    <t>KMT.N</t>
  </si>
  <si>
    <t>BCG.OQ</t>
  </si>
  <si>
    <t>STRA.OQ</t>
  </si>
  <si>
    <t>NCPL.OQ</t>
  </si>
  <si>
    <t>TEX.N</t>
  </si>
  <si>
    <t>FDP.N</t>
  </si>
  <si>
    <t>GLXZ.PK</t>
  </si>
  <si>
    <t>ULTRF.PK</t>
  </si>
  <si>
    <t>USEA.OQ</t>
  </si>
  <si>
    <t>CIA.N</t>
  </si>
  <si>
    <t>HAE.N</t>
  </si>
  <si>
    <t>CCK.N</t>
  </si>
  <si>
    <t>CPRX.OQ</t>
  </si>
  <si>
    <t>BBWI.N</t>
  </si>
  <si>
    <t>WOW.N</t>
  </si>
  <si>
    <t>GBIO.OQ</t>
  </si>
  <si>
    <t>SAM.N</t>
  </si>
  <si>
    <t>HZO.N</t>
  </si>
  <si>
    <t>SBSAA.PK</t>
  </si>
  <si>
    <t>IRDM.OQ</t>
  </si>
  <si>
    <t>CMPR.OQ</t>
  </si>
  <si>
    <t>ITEC.PK</t>
  </si>
  <si>
    <t>SIRI.OQ</t>
  </si>
  <si>
    <t>ONVC.PK</t>
  </si>
  <si>
    <t>TWI.N</t>
  </si>
  <si>
    <t>BKE.N</t>
  </si>
  <si>
    <t>AVO.OQ</t>
  </si>
  <si>
    <t>LEGH.OQ</t>
  </si>
  <si>
    <t>SNAL.OQ</t>
  </si>
  <si>
    <t>SAIC.OQ</t>
  </si>
  <si>
    <t>NUE.N</t>
  </si>
  <si>
    <t>GNTX.OQ</t>
  </si>
  <si>
    <t>HALL.PK</t>
  </si>
  <si>
    <t>PMTS.OQ</t>
  </si>
  <si>
    <t>MRMD.PK</t>
  </si>
  <si>
    <t>GGELU.PK</t>
  </si>
  <si>
    <t>JJSF.OQ</t>
  </si>
  <si>
    <t>NOBH.PK</t>
  </si>
  <si>
    <t>SCL.N</t>
  </si>
  <si>
    <t>TG.N</t>
  </si>
  <si>
    <t>ESCA.OQ</t>
  </si>
  <si>
    <t>NCSM.OQ</t>
  </si>
  <si>
    <t>MTUS.N</t>
  </si>
  <si>
    <t>ICCM.OQ</t>
  </si>
  <si>
    <t>MUEL.PK</t>
  </si>
  <si>
    <t>WVVI.OQ</t>
  </si>
  <si>
    <t>CHPT.N</t>
  </si>
  <si>
    <t>SCS.N</t>
  </si>
  <si>
    <t>SCHL.OQ</t>
  </si>
  <si>
    <t>BRN.A</t>
  </si>
  <si>
    <t>ADEA.OQ</t>
  </si>
  <si>
    <t>EZPW.OQ</t>
  </si>
  <si>
    <t>ODC.N</t>
  </si>
  <si>
    <t>AIZ.N</t>
  </si>
  <si>
    <t>HDSN.OQ</t>
  </si>
  <si>
    <t>WDDD.PK</t>
  </si>
  <si>
    <t>KTB.N</t>
  </si>
  <si>
    <t>ELV.N</t>
  </si>
  <si>
    <t>PFE.N</t>
  </si>
  <si>
    <t>UCTT.OQ</t>
  </si>
  <si>
    <t>YIBO.OQ</t>
  </si>
  <si>
    <t>CZR.OQ</t>
  </si>
  <si>
    <t>LUMN.N</t>
  </si>
  <si>
    <t>SLGN.N</t>
  </si>
  <si>
    <t>ICFI.OQ</t>
  </si>
  <si>
    <t>CMC.N</t>
  </si>
  <si>
    <t>UGI.N</t>
  </si>
  <si>
    <t>EIX.N</t>
  </si>
  <si>
    <t>G.N</t>
  </si>
  <si>
    <t>INN.N</t>
  </si>
  <si>
    <t>NFG.N</t>
  </si>
  <si>
    <t>BHR.N</t>
  </si>
  <si>
    <t>URI.N</t>
  </si>
  <si>
    <t>PRGO.N</t>
  </si>
  <si>
    <t>SENEA.OQ</t>
  </si>
  <si>
    <t>KSCP.OQ</t>
  </si>
  <si>
    <t>GBIM.PK</t>
  </si>
  <si>
    <t>NEUP.OQ</t>
  </si>
  <si>
    <t>XIFR.N</t>
  </si>
  <si>
    <t>GIFI.OQ</t>
  </si>
  <si>
    <t>VAL.N</t>
  </si>
  <si>
    <t>CLWT.OQ</t>
  </si>
  <si>
    <t>TFX.N</t>
  </si>
  <si>
    <t>JHG.N</t>
  </si>
  <si>
    <t>ONL.N</t>
  </si>
  <si>
    <t>PANL.OQ</t>
  </si>
  <si>
    <t>ABG.N</t>
  </si>
  <si>
    <t>VVV.N</t>
  </si>
  <si>
    <t>VLO.N</t>
  </si>
  <si>
    <t>PCAR.OQ</t>
  </si>
  <si>
    <t>MMS.N</t>
  </si>
  <si>
    <t>SVV.N</t>
  </si>
  <si>
    <t>URBN.OQ</t>
  </si>
  <si>
    <t>SHPWQ.PK</t>
  </si>
  <si>
    <t>LVRO.OQ</t>
  </si>
  <si>
    <t>MATW.OQ</t>
  </si>
  <si>
    <t>RLJ.N</t>
  </si>
  <si>
    <t>WHLR.OQ</t>
  </si>
  <si>
    <t>SAH.N</t>
  </si>
  <si>
    <t>AMKR.OQ</t>
  </si>
  <si>
    <t>TSN.N</t>
  </si>
  <si>
    <t>ADV.OQ</t>
  </si>
  <si>
    <t>SPRB.OQ</t>
  </si>
  <si>
    <t>RRR.OQ</t>
  </si>
  <si>
    <t>WHR.N</t>
  </si>
  <si>
    <t>DIN.N</t>
  </si>
  <si>
    <t>CMCM.N</t>
  </si>
  <si>
    <t>SHOO.OQ</t>
  </si>
  <si>
    <t>BGSF.N</t>
  </si>
  <si>
    <t>RAVE.OQ</t>
  </si>
  <si>
    <t>OPST.PK</t>
  </si>
  <si>
    <t>CSL.N</t>
  </si>
  <si>
    <t>AD.N</t>
  </si>
  <si>
    <t>HI.N</t>
  </si>
  <si>
    <t>AGCO.N</t>
  </si>
  <si>
    <t>IRWD.OQ</t>
  </si>
  <si>
    <t>BLMN.OQ</t>
  </si>
  <si>
    <t>YUMC.N</t>
  </si>
  <si>
    <t>IT.N</t>
  </si>
  <si>
    <t>PRT.N</t>
  </si>
  <si>
    <t>ENS.N</t>
  </si>
  <si>
    <t>APLT.OQ</t>
  </si>
  <si>
    <t>STGW.OQ</t>
  </si>
  <si>
    <t>NUWE.OQ</t>
  </si>
  <si>
    <t>CDVIQ.PK</t>
  </si>
  <si>
    <t>PSQH.N</t>
  </si>
  <si>
    <t>RGP.OQ</t>
  </si>
  <si>
    <t>OFLX.OQ</t>
  </si>
  <si>
    <t>OPITQ.PK</t>
  </si>
  <si>
    <t>NGVC.N</t>
  </si>
  <si>
    <t>ADVM.OQ</t>
  </si>
  <si>
    <t>ICLR.OQ</t>
  </si>
  <si>
    <t>MCRI.OQ</t>
  </si>
  <si>
    <t>KE.OQ</t>
  </si>
  <si>
    <t>SOWG.OQ</t>
  </si>
  <si>
    <t>DKS.N</t>
  </si>
  <si>
    <t>ATGE.N</t>
  </si>
  <si>
    <t>YELP.N</t>
  </si>
  <si>
    <t>ZBH.N</t>
  </si>
  <si>
    <t>ECVT.N</t>
  </si>
  <si>
    <t>WRLD.OQ</t>
  </si>
  <si>
    <t>JAZZ.OQ</t>
  </si>
  <si>
    <t>GPI.N</t>
  </si>
  <si>
    <t>BAOS.OQ</t>
  </si>
  <si>
    <t>DG.N</t>
  </si>
  <si>
    <t>ARHS.OQ</t>
  </si>
  <si>
    <t>DHI.N</t>
  </si>
  <si>
    <t>MATV.N</t>
  </si>
  <si>
    <t>ADYX.PK</t>
  </si>
  <si>
    <t>SNX.N</t>
  </si>
  <si>
    <t>IPAR.OQ</t>
  </si>
  <si>
    <t>STZ.N</t>
  </si>
  <si>
    <t>LILA.OQ</t>
  </si>
  <si>
    <t>TBLA.OQ</t>
  </si>
  <si>
    <t>BZH.N</t>
  </si>
  <si>
    <t>FUN.N</t>
  </si>
  <si>
    <t>LAUR.OQ</t>
  </si>
  <si>
    <t>PLUS.OQ</t>
  </si>
  <si>
    <t>EXP.N</t>
  </si>
  <si>
    <t>TSOI.PK</t>
  </si>
  <si>
    <t>BEPC.N</t>
  </si>
  <si>
    <t>APLE.N</t>
  </si>
  <si>
    <t>COKE.OQ</t>
  </si>
  <si>
    <t>UCL.OQ</t>
  </si>
  <si>
    <t>VSPC.PK</t>
  </si>
  <si>
    <t>GCFB.PK</t>
  </si>
  <si>
    <t>FUL.N</t>
  </si>
  <si>
    <t>FSTR.OQ</t>
  </si>
  <si>
    <t>UNH.N</t>
  </si>
  <si>
    <t>BIP.N</t>
  </si>
  <si>
    <t>FBIO.OQ</t>
  </si>
  <si>
    <t>FOXO.PK</t>
  </si>
  <si>
    <t>OXSQ.OQ</t>
  </si>
  <si>
    <t>TILE.OQ</t>
  </si>
  <si>
    <t>POST.N</t>
  </si>
  <si>
    <t>NWPX.OQ</t>
  </si>
  <si>
    <t>CXW.N</t>
  </si>
  <si>
    <t>WNW.OQ</t>
  </si>
  <si>
    <t>APEI.OQ</t>
  </si>
  <si>
    <t>GIS.N</t>
  </si>
  <si>
    <t>PDSB.OQ</t>
  </si>
  <si>
    <t>PDEX.OQ</t>
  </si>
  <si>
    <t>TREX.N</t>
  </si>
  <si>
    <t>SYBX.OQ</t>
  </si>
  <si>
    <t>VNT.N</t>
  </si>
  <si>
    <t>DDS.N</t>
  </si>
  <si>
    <t>MCW.OQ</t>
  </si>
  <si>
    <t>MOBQ.PK</t>
  </si>
  <si>
    <t>BMY.N</t>
  </si>
  <si>
    <t>BWOWF.PK</t>
  </si>
  <si>
    <t>HSY.N</t>
  </si>
  <si>
    <t>AVT.OQ</t>
  </si>
  <si>
    <t>CTSH.OQ</t>
  </si>
  <si>
    <t>AAMCF.PK</t>
  </si>
  <si>
    <t>FSP.A</t>
  </si>
  <si>
    <t>MIDD.OQ</t>
  </si>
  <si>
    <t>TMUS.OQ</t>
  </si>
  <si>
    <t>CDW.OQ</t>
  </si>
  <si>
    <t>GEO.N</t>
  </si>
  <si>
    <t>OCSL.OQ</t>
  </si>
  <si>
    <t>UNFI.N</t>
  </si>
  <si>
    <t>COLD.N</t>
  </si>
  <si>
    <t>SRI.N</t>
  </si>
  <si>
    <t>CCL.N</t>
  </si>
  <si>
    <t>LCII.N</t>
  </si>
  <si>
    <t>FVTI.PK</t>
  </si>
  <si>
    <t>CBKCQ.PK</t>
  </si>
  <si>
    <t>GLDD.OQ</t>
  </si>
  <si>
    <t>CINT.N</t>
  </si>
  <si>
    <t>ORBT.PK</t>
  </si>
  <si>
    <t>CVGW.OQ</t>
  </si>
  <si>
    <t>SMC.N</t>
  </si>
  <si>
    <t>AFMDQ.PK</t>
  </si>
  <si>
    <t>UHAL.N</t>
  </si>
  <si>
    <t>RMTI.OQ</t>
  </si>
  <si>
    <t>AES.N</t>
  </si>
  <si>
    <t>PYPL.OQ</t>
  </si>
  <si>
    <t>ALGT.OQ</t>
  </si>
  <si>
    <t>MH.N</t>
  </si>
  <si>
    <t>PRKS.N</t>
  </si>
  <si>
    <t>PRDO.OQ</t>
  </si>
  <si>
    <t>HALO.OQ</t>
  </si>
  <si>
    <t>SNGX.OQ</t>
  </si>
  <si>
    <t>CING.OQ</t>
  </si>
  <si>
    <t>TGLS.N</t>
  </si>
  <si>
    <t>KGS.N</t>
  </si>
  <si>
    <t>LIDR.OQ</t>
  </si>
  <si>
    <t>IMMR.OQ</t>
  </si>
  <si>
    <t>BG.N</t>
  </si>
  <si>
    <t>NTAP.OQ</t>
  </si>
  <si>
    <t>LEVI.N</t>
  </si>
  <si>
    <t>UTL.N</t>
  </si>
  <si>
    <t>CRMT.OQ</t>
  </si>
  <si>
    <t>SWBI.OQ</t>
  </si>
  <si>
    <t>WD.N</t>
  </si>
  <si>
    <t>AUDC.OQ</t>
  </si>
  <si>
    <t>AVTR.N</t>
  </si>
  <si>
    <t>LOAN.OQ</t>
  </si>
  <si>
    <t>OPY.N</t>
  </si>
  <si>
    <t>HCAI.OQ</t>
  </si>
  <si>
    <t>PFG.OQ</t>
  </si>
  <si>
    <t>SXTP.OQ</t>
  </si>
  <si>
    <t>SYPR.OQ</t>
  </si>
  <si>
    <t>MLCO.OQ</t>
  </si>
  <si>
    <t>THO.N</t>
  </si>
  <si>
    <t>REYN.OQ</t>
  </si>
  <si>
    <t>KEX.N</t>
  </si>
  <si>
    <t>KNF.N</t>
  </si>
  <si>
    <t>SOHO.OQ</t>
  </si>
  <si>
    <t>DBRG.N</t>
  </si>
  <si>
    <t>BRST.PK</t>
  </si>
  <si>
    <t>RNW.OQ</t>
  </si>
  <si>
    <t>EVOL.PK</t>
  </si>
  <si>
    <t>GMGI.OQ</t>
  </si>
  <si>
    <t>PPIH.OQ</t>
  </si>
  <si>
    <t>EPD.N</t>
  </si>
  <si>
    <t>DNUT.OQ</t>
  </si>
  <si>
    <t>DOX.OQ</t>
  </si>
  <si>
    <t>INLF.OQ</t>
  </si>
  <si>
    <t>PLMR.OQ</t>
  </si>
  <si>
    <t>HCKT.OQ</t>
  </si>
  <si>
    <t>ANL.OQ</t>
  </si>
  <si>
    <t>KRT.OQ</t>
  </si>
  <si>
    <t>TBRG.OQ</t>
  </si>
  <si>
    <t>SNYR.OQ</t>
  </si>
  <si>
    <t>WRB.N</t>
  </si>
  <si>
    <t>NBR.N</t>
  </si>
  <si>
    <t>LW.N</t>
  </si>
  <si>
    <t>VVX.N</t>
  </si>
  <si>
    <t>SLNG.OQ</t>
  </si>
  <si>
    <t>JTAI.OQ</t>
  </si>
  <si>
    <t>KWR.N</t>
  </si>
  <si>
    <t>ALG.N</t>
  </si>
  <si>
    <t>ASRT.OQ</t>
  </si>
  <si>
    <t>SPH.N</t>
  </si>
  <si>
    <t>ADM.N</t>
  </si>
  <si>
    <t>SWKS.OQ</t>
  </si>
  <si>
    <t>FIZZ.OQ</t>
  </si>
  <si>
    <t>MPLX.N</t>
  </si>
  <si>
    <t>FUVV.PK</t>
  </si>
  <si>
    <t>CACH.PK</t>
  </si>
  <si>
    <t>TRGP.N</t>
  </si>
  <si>
    <t>KNX.N</t>
  </si>
  <si>
    <t>GFS.OQ</t>
  </si>
  <si>
    <t>JHX.N</t>
  </si>
  <si>
    <t>PGY.OQ</t>
  </si>
  <si>
    <t>FLNG.N</t>
  </si>
  <si>
    <t>ALKS.OQ</t>
  </si>
  <si>
    <t>STLD.OQ</t>
  </si>
  <si>
    <t>RBBN.OQ</t>
  </si>
  <si>
    <t>DRH.N</t>
  </si>
  <si>
    <t>PTRC.PK</t>
  </si>
  <si>
    <t>PBH.N</t>
  </si>
  <si>
    <t>JBL.N</t>
  </si>
  <si>
    <t>SPMC.N</t>
  </si>
  <si>
    <t>SJM.N</t>
  </si>
  <si>
    <t>RHP.N</t>
  </si>
  <si>
    <t>FSEN.PK</t>
  </si>
  <si>
    <t>REZI.N</t>
  </si>
  <si>
    <t>GTES.N</t>
  </si>
  <si>
    <t>SGRY.OQ</t>
  </si>
  <si>
    <t>ARE.N</t>
  </si>
  <si>
    <t>RMXI.PK</t>
  </si>
  <si>
    <t>POR.N</t>
  </si>
  <si>
    <t>BHE.N</t>
  </si>
  <si>
    <t>HGV.N</t>
  </si>
  <si>
    <t>VCTR.OQ</t>
  </si>
  <si>
    <t>CIX.A</t>
  </si>
  <si>
    <t>NWSA.OQ</t>
  </si>
  <si>
    <t>EE.N</t>
  </si>
  <si>
    <t>ITGR.N</t>
  </si>
  <si>
    <t>PNW.N</t>
  </si>
  <si>
    <t>PCG.N</t>
  </si>
  <si>
    <t>CXT.N</t>
  </si>
  <si>
    <t>CCEL.A</t>
  </si>
  <si>
    <t>LPTX.OQ</t>
  </si>
  <si>
    <t>ESP.A</t>
  </si>
  <si>
    <t>CE.N</t>
  </si>
  <si>
    <t>PN.OQ</t>
  </si>
  <si>
    <t>TRN.N</t>
  </si>
  <si>
    <t>XRAY.OQ</t>
  </si>
  <si>
    <t>CWT.N</t>
  </si>
  <si>
    <t>GPUS.A</t>
  </si>
  <si>
    <t>BKR.OQ</t>
  </si>
  <si>
    <t>RCAR.PK</t>
  </si>
  <si>
    <t>VRNT.OQ</t>
  </si>
  <si>
    <t>ENVA.N</t>
  </si>
  <si>
    <t>TVTX.OQ</t>
  </si>
  <si>
    <t>ROOT.OQ</t>
  </si>
  <si>
    <t>LNN.N</t>
  </si>
  <si>
    <t>VHAI.PK</t>
  </si>
  <si>
    <t>JCSE.OQ</t>
  </si>
  <si>
    <t>RS.N</t>
  </si>
  <si>
    <t>IOBT.OQ</t>
  </si>
  <si>
    <t>IRBT.OQ</t>
  </si>
  <si>
    <t>HUM.N</t>
  </si>
  <si>
    <t>FOXF.OQ</t>
  </si>
  <si>
    <t>CPPTL.PK</t>
  </si>
  <si>
    <t>THR.N</t>
  </si>
  <si>
    <t>AKAM.OQ</t>
  </si>
  <si>
    <t>RIG.N</t>
  </si>
  <si>
    <t>GAIN.OQ</t>
  </si>
  <si>
    <t>AVY.N</t>
  </si>
  <si>
    <t>EVARF.PK</t>
  </si>
  <si>
    <t>AOS.N</t>
  </si>
  <si>
    <t>SFM.OQ</t>
  </si>
  <si>
    <t>ENSC.OQ</t>
  </si>
  <si>
    <t>TPST.OQ</t>
  </si>
  <si>
    <t>ESRT.N</t>
  </si>
  <si>
    <t>GRI.OQ</t>
  </si>
  <si>
    <t>ALLR.OQ</t>
  </si>
  <si>
    <t>CPAY.N</t>
  </si>
  <si>
    <t>WOOF.OQ</t>
  </si>
  <si>
    <t>PII.N</t>
  </si>
  <si>
    <t>CALA.PK</t>
  </si>
  <si>
    <t>FSCO.N</t>
  </si>
  <si>
    <t>RLMD.OQ</t>
  </si>
  <si>
    <t>FYBR.OQ</t>
  </si>
  <si>
    <t>BGS.N</t>
  </si>
  <si>
    <t>EEX.N</t>
  </si>
  <si>
    <t>PK.N</t>
  </si>
  <si>
    <t>CSGS.OQ</t>
  </si>
  <si>
    <t>PAG.N</t>
  </si>
  <si>
    <t>HSIC.OQ</t>
  </si>
  <si>
    <t>ATR.N</t>
  </si>
  <si>
    <t>RAND.OQ</t>
  </si>
  <si>
    <t>DLTA.PK</t>
  </si>
  <si>
    <t>CHCI.OQ</t>
  </si>
  <si>
    <t>PLTYF.PK</t>
  </si>
  <si>
    <t>STKH.OQ</t>
  </si>
  <si>
    <t>GXO.N</t>
  </si>
  <si>
    <t>TRTX.N</t>
  </si>
  <si>
    <t>NEU.N</t>
  </si>
  <si>
    <t>ASH.N</t>
  </si>
  <si>
    <t>HST.OQ</t>
  </si>
  <si>
    <t>GPC.N</t>
  </si>
  <si>
    <t>GEHC.OQ</t>
  </si>
  <si>
    <t>CNX.N</t>
  </si>
  <si>
    <t>TCRT.OQ</t>
  </si>
  <si>
    <t>KLC.N</t>
  </si>
  <si>
    <t>ACLS.OQ</t>
  </si>
  <si>
    <t>RYI.N</t>
  </si>
  <si>
    <t>VAC.N</t>
  </si>
  <si>
    <t>SEB.A</t>
  </si>
  <si>
    <t>ENOV.N</t>
  </si>
  <si>
    <t>SPOK.OQ</t>
  </si>
  <si>
    <t>DRI.N</t>
  </si>
  <si>
    <t>LBRX.OQ</t>
  </si>
  <si>
    <t>PEB.N</t>
  </si>
  <si>
    <t>GEN.OQ</t>
  </si>
  <si>
    <t>MESA.OQ</t>
  </si>
  <si>
    <t>OPRA.OQ</t>
  </si>
  <si>
    <t>MSBN.PK</t>
  </si>
  <si>
    <t>CUE.OQ</t>
  </si>
  <si>
    <t>GUTS.OQ</t>
  </si>
  <si>
    <t>SAIA.OQ</t>
  </si>
  <si>
    <t>INVX.N</t>
  </si>
  <si>
    <t>CSV.N</t>
  </si>
  <si>
    <t>INTT.A</t>
  </si>
  <si>
    <t>FTFT.OQ</t>
  </si>
  <si>
    <t>SILA.N</t>
  </si>
  <si>
    <t>ALGN.OQ</t>
  </si>
  <si>
    <t>REX.N</t>
  </si>
  <si>
    <t>BLD.N</t>
  </si>
  <si>
    <t>BEDU.N</t>
  </si>
  <si>
    <t>NWN.N</t>
  </si>
  <si>
    <t>SABR.OQ</t>
  </si>
  <si>
    <t>BFb.N</t>
  </si>
  <si>
    <t>CTOS.N</t>
  </si>
  <si>
    <t>GNL.N</t>
  </si>
  <si>
    <t>LBTYA.OQ</t>
  </si>
  <si>
    <t>JBHT.OQ</t>
  </si>
  <si>
    <t>AL.N</t>
  </si>
  <si>
    <t>WH.N</t>
  </si>
  <si>
    <t>PEP.OQ</t>
  </si>
  <si>
    <t>ULTA.OQ</t>
  </si>
  <si>
    <t>COOK.N</t>
  </si>
  <si>
    <t>NCMI.OQ</t>
  </si>
  <si>
    <t>VST.N</t>
  </si>
  <si>
    <t>ACMR.OQ</t>
  </si>
  <si>
    <t>IINN.OQ</t>
  </si>
  <si>
    <t>PZZA.OQ</t>
  </si>
  <si>
    <t>BAX.N</t>
  </si>
  <si>
    <t>FTV.N</t>
  </si>
  <si>
    <t>AHH.N</t>
  </si>
  <si>
    <t>CVS.N</t>
  </si>
  <si>
    <t>AVA.N</t>
  </si>
  <si>
    <t>LEG.N</t>
  </si>
  <si>
    <t>GANX.OQ</t>
  </si>
  <si>
    <t>SMP.N</t>
  </si>
  <si>
    <t>KBR.N</t>
  </si>
  <si>
    <t>KVUE.N</t>
  </si>
  <si>
    <t>HRL.N</t>
  </si>
  <si>
    <t>PLTK.OQ</t>
  </si>
  <si>
    <t>ARTNA.OQ</t>
  </si>
  <si>
    <t>CLB.N</t>
  </si>
  <si>
    <t>IP.N</t>
  </si>
  <si>
    <t>IAC.OQ</t>
  </si>
  <si>
    <t>BVS.OQ</t>
  </si>
  <si>
    <t>PDM.N</t>
  </si>
  <si>
    <t>AAT.N</t>
  </si>
  <si>
    <t>GTX.OQ</t>
  </si>
  <si>
    <t>BOSC.OQ</t>
  </si>
  <si>
    <t>AMP.N</t>
  </si>
  <si>
    <t>LUCK.N</t>
  </si>
  <si>
    <t>SW.N</t>
  </si>
  <si>
    <t>FCN.N</t>
  </si>
  <si>
    <t>AENT.OQ</t>
  </si>
  <si>
    <t>RSKIA.PK</t>
  </si>
  <si>
    <t>SLS.OQ</t>
  </si>
  <si>
    <t>FDS.N</t>
  </si>
  <si>
    <t>GPOR.N</t>
  </si>
  <si>
    <t>GENC.A</t>
  </si>
  <si>
    <t>AER.N</t>
  </si>
  <si>
    <t>NVRI.N</t>
  </si>
  <si>
    <t>CSX.OQ</t>
  </si>
  <si>
    <t>ARX.N</t>
  </si>
  <si>
    <t>ALFIQ.PK</t>
  </si>
  <si>
    <t>CIO.N</t>
  </si>
  <si>
    <t>JRVR.OQ</t>
  </si>
  <si>
    <t>NTZ.N</t>
  </si>
  <si>
    <t>BEN.N</t>
  </si>
  <si>
    <t>MIST.OQ</t>
  </si>
  <si>
    <t>OCCI.OQ</t>
  </si>
  <si>
    <t>QRHC.OQ</t>
  </si>
  <si>
    <t>ECC.N</t>
  </si>
  <si>
    <t>NEM.N</t>
  </si>
  <si>
    <t>WMG.OQ</t>
  </si>
  <si>
    <t>PLOW.N</t>
  </si>
  <si>
    <t>TWER.PK</t>
  </si>
  <si>
    <t>BDN.N</t>
  </si>
  <si>
    <t>PSMT.OQ</t>
  </si>
  <si>
    <t>JANL.PK</t>
  </si>
  <si>
    <t>CBL.N</t>
  </si>
  <si>
    <t>TIVC.OQ</t>
  </si>
  <si>
    <t>BJ.N</t>
  </si>
  <si>
    <t>WKHS.OQ</t>
  </si>
  <si>
    <t>SHEN.OQ</t>
  </si>
  <si>
    <t>SOLV.N</t>
  </si>
  <si>
    <t>FLOC.N</t>
  </si>
  <si>
    <t>WW.OQ</t>
  </si>
  <si>
    <t>OGE.N</t>
  </si>
  <si>
    <t>TTC.N</t>
  </si>
  <si>
    <t>PENG.OQ</t>
  </si>
  <si>
    <t>AMSF.OQ</t>
  </si>
  <si>
    <t>HLMN.OQ</t>
  </si>
  <si>
    <t>MODG.N</t>
  </si>
  <si>
    <t>PZRXQ.PK</t>
  </si>
  <si>
    <t>IVVD.OQ</t>
  </si>
  <si>
    <t>KVHI.OQ</t>
  </si>
  <si>
    <t>AMT.N</t>
  </si>
  <si>
    <t>FLR.N</t>
  </si>
  <si>
    <t>ATMU.N</t>
  </si>
  <si>
    <t>PATK.OQ</t>
  </si>
  <si>
    <t>OUT.N</t>
  </si>
  <si>
    <t>COR.N</t>
  </si>
  <si>
    <t>QD.N</t>
  </si>
  <si>
    <t>UTHR.OQ</t>
  </si>
  <si>
    <t>CNNA.PK</t>
  </si>
  <si>
    <t>SEDG.OQ</t>
  </si>
  <si>
    <t>LMT.N</t>
  </si>
  <si>
    <t>GPRO.OQ</t>
  </si>
  <si>
    <t>TNON.OQ</t>
  </si>
  <si>
    <t>WCC.N</t>
  </si>
  <si>
    <t>ACN.N</t>
  </si>
  <si>
    <t>PKG.N</t>
  </si>
  <si>
    <t>EHC.N</t>
  </si>
  <si>
    <t>OKE.N</t>
  </si>
  <si>
    <t>MDLZ.OQ</t>
  </si>
  <si>
    <t>PRAA.OQ</t>
  </si>
  <si>
    <t>TTI.N</t>
  </si>
  <si>
    <t>PSKY.OQ</t>
  </si>
  <si>
    <t>CWGL.PK</t>
  </si>
  <si>
    <t>ATHA.OQ</t>
  </si>
  <si>
    <t>LTH.N</t>
  </si>
  <si>
    <t>HSTM.OQ</t>
  </si>
  <si>
    <t>MGIC.OQ</t>
  </si>
  <si>
    <t>NX.N</t>
  </si>
  <si>
    <t>EPAM.N</t>
  </si>
  <si>
    <t>ELTK.OQ</t>
  </si>
  <si>
    <t>ITIC.OQ</t>
  </si>
  <si>
    <t>SWX.N</t>
  </si>
  <si>
    <t>CCIF.N</t>
  </si>
  <si>
    <t>DE.N</t>
  </si>
  <si>
    <t>MHPC.PK</t>
  </si>
  <si>
    <t>CTS.N</t>
  </si>
  <si>
    <t>CME.OQ</t>
  </si>
  <si>
    <t>MD.N</t>
  </si>
  <si>
    <t>HCI.N</t>
  </si>
  <si>
    <t>CWK.N</t>
  </si>
  <si>
    <t>CHDN.OQ</t>
  </si>
  <si>
    <t>HLIT.OQ</t>
  </si>
  <si>
    <t>SNREY.PK</t>
  </si>
  <si>
    <t>LIVE.OQ</t>
  </si>
  <si>
    <t>SNA.N</t>
  </si>
  <si>
    <t>SWK.N</t>
  </si>
  <si>
    <t>RHEP.PK</t>
  </si>
  <si>
    <t>AMGN.OQ</t>
  </si>
  <si>
    <t>AROC.N</t>
  </si>
  <si>
    <t>ALOT.OQ</t>
  </si>
  <si>
    <t>ABTS.OQ</t>
  </si>
  <si>
    <t>AIRT.OQ</t>
  </si>
  <si>
    <t>PAYC.N</t>
  </si>
  <si>
    <t>ABBV.N</t>
  </si>
  <si>
    <t>FTI.N</t>
  </si>
  <si>
    <t>VBIX.OQ</t>
  </si>
  <si>
    <t>NRG.N</t>
  </si>
  <si>
    <t>DAR.N</t>
  </si>
  <si>
    <t>UNP.N</t>
  </si>
  <si>
    <t>IFF.N</t>
  </si>
  <si>
    <t>BRC.N</t>
  </si>
  <si>
    <t>LII.N</t>
  </si>
  <si>
    <t>FIS.N</t>
  </si>
  <si>
    <t>CRUS.OQ</t>
  </si>
  <si>
    <t>CMP.N</t>
  </si>
  <si>
    <t>MPX.N</t>
  </si>
  <si>
    <t>CRL.N</t>
  </si>
  <si>
    <t>WSM.N</t>
  </si>
  <si>
    <t>CNXN.OQ</t>
  </si>
  <si>
    <t>NSA.N</t>
  </si>
  <si>
    <t>ARMK.N</t>
  </si>
  <si>
    <t>EXC.OQ</t>
  </si>
  <si>
    <t>OGS.N</t>
  </si>
  <si>
    <t>XHR.N</t>
  </si>
  <si>
    <t>AZZ.N</t>
  </si>
  <si>
    <t>GMED.N</t>
  </si>
  <si>
    <t>CHE.N</t>
  </si>
  <si>
    <t>LVS.N</t>
  </si>
  <si>
    <t>LYTHF.PK</t>
  </si>
  <si>
    <t>GOOD.OQ</t>
  </si>
  <si>
    <t>BKH.N</t>
  </si>
  <si>
    <t>AREN.A</t>
  </si>
  <si>
    <t>ANVS.N</t>
  </si>
  <si>
    <t>EHAB.N</t>
  </si>
  <si>
    <t>PKST.N</t>
  </si>
  <si>
    <t>QDEL.OQ</t>
  </si>
  <si>
    <t>NRDS.OQ</t>
  </si>
  <si>
    <t>DIOD.OQ</t>
  </si>
  <si>
    <t>ZVOI.PK</t>
  </si>
  <si>
    <t>RRX.N</t>
  </si>
  <si>
    <t>INFU.A</t>
  </si>
  <si>
    <t>RLI.N</t>
  </si>
  <si>
    <t>EVH.N</t>
  </si>
  <si>
    <t>SKWD.OQ</t>
  </si>
  <si>
    <t>GBHL.PK</t>
  </si>
  <si>
    <t>DSGR.OQ</t>
  </si>
  <si>
    <t>LGIH.OQ</t>
  </si>
  <si>
    <t>NFE.OQ</t>
  </si>
  <si>
    <t>STC.N</t>
  </si>
  <si>
    <t>RITT.PK</t>
  </si>
  <si>
    <t>CYN.OQ</t>
  </si>
  <si>
    <t>CHMP.PK</t>
  </si>
  <si>
    <t>GMRE.N</t>
  </si>
  <si>
    <t>ABLT.PK</t>
  </si>
  <si>
    <t>NXPI.OQ</t>
  </si>
  <si>
    <t>EVRG.OQ</t>
  </si>
  <si>
    <t>KALU.OQ</t>
  </si>
  <si>
    <t>REDFY.PK</t>
  </si>
  <si>
    <t>CLH.N</t>
  </si>
  <si>
    <t>NTCT.OQ</t>
  </si>
  <si>
    <t>MDV.N</t>
  </si>
  <si>
    <t>SKYX.OQ</t>
  </si>
  <si>
    <t>TCPC.OQ</t>
  </si>
  <si>
    <t>WALD.OQ</t>
  </si>
  <si>
    <t>CCEC.OQ</t>
  </si>
  <si>
    <t>DV.N</t>
  </si>
  <si>
    <t>ITW.N</t>
  </si>
  <si>
    <t>VREX.OQ</t>
  </si>
  <si>
    <t>WGO.N</t>
  </si>
  <si>
    <t>TTSH.OQ</t>
  </si>
  <si>
    <t>CCSI.OQ</t>
  </si>
  <si>
    <t>PAHC.OQ</t>
  </si>
  <si>
    <t>CTRI.N</t>
  </si>
  <si>
    <t>SHO.N</t>
  </si>
  <si>
    <t>QSR.N</t>
  </si>
  <si>
    <t>TTEC.OQ</t>
  </si>
  <si>
    <t>TAYD.OQ</t>
  </si>
  <si>
    <t>LAZ.N</t>
  </si>
  <si>
    <t>CREX.OQ</t>
  </si>
  <si>
    <t>NJR.N</t>
  </si>
  <si>
    <t>AMG.N</t>
  </si>
  <si>
    <t>CNSP.OQ</t>
  </si>
  <si>
    <t>BN.N</t>
  </si>
  <si>
    <t>EDU.N</t>
  </si>
  <si>
    <t>BDX.N</t>
  </si>
  <si>
    <t>DORM.OQ</t>
  </si>
  <si>
    <t>DEI.N</t>
  </si>
  <si>
    <t>UHG.OQ</t>
  </si>
  <si>
    <t>BAER.OQ</t>
  </si>
  <si>
    <t>WBI.N</t>
  </si>
  <si>
    <t>SAFT.OQ</t>
  </si>
  <si>
    <t>FLXT.PK</t>
  </si>
  <si>
    <t>CMI.N</t>
  </si>
  <si>
    <t>ED.N</t>
  </si>
  <si>
    <t>GRC.N</t>
  </si>
  <si>
    <t>NWE.OQ</t>
  </si>
  <si>
    <t>SVC.OQ</t>
  </si>
  <si>
    <t>FWRG.OQ</t>
  </si>
  <si>
    <t>CMCT.OQ</t>
  </si>
  <si>
    <t>AEBI.OQ</t>
  </si>
  <si>
    <t>CRAWA.PK</t>
  </si>
  <si>
    <t>AM.N</t>
  </si>
  <si>
    <t>IXHL.OQ</t>
  </si>
  <si>
    <t>DUK.N</t>
  </si>
  <si>
    <t>LINE.OQ</t>
  </si>
  <si>
    <t>HOLX.OQ</t>
  </si>
  <si>
    <t>DENN.OQ</t>
  </si>
  <si>
    <t>KXIN.OQ</t>
  </si>
  <si>
    <t>SMG.N</t>
  </si>
  <si>
    <t>CBUS.OQ</t>
  </si>
  <si>
    <t>SWKH.OQ</t>
  </si>
  <si>
    <t>BFH.N</t>
  </si>
  <si>
    <t>SON.N</t>
  </si>
  <si>
    <t>EPR.N</t>
  </si>
  <si>
    <t>RPD.OQ</t>
  </si>
  <si>
    <t>F.N</t>
  </si>
  <si>
    <t>KIDBQ.PK</t>
  </si>
  <si>
    <t>ABM.N</t>
  </si>
  <si>
    <t>MKTX.OQ</t>
  </si>
  <si>
    <t>FAF.N</t>
  </si>
  <si>
    <t>TUEMQ.PK</t>
  </si>
  <si>
    <t>TXT.N</t>
  </si>
  <si>
    <t>OPCH.OQ</t>
  </si>
  <si>
    <t>AHT.N</t>
  </si>
  <si>
    <t>UPLD.OQ</t>
  </si>
  <si>
    <t>OTRKQ.PK</t>
  </si>
  <si>
    <t>LSTR.OQ</t>
  </si>
  <si>
    <t>PPL.N</t>
  </si>
  <si>
    <t>LDOS.N</t>
  </si>
  <si>
    <t>QRVO.OQ</t>
  </si>
  <si>
    <t>PGRE.N</t>
  </si>
  <si>
    <t>MLI.N</t>
  </si>
  <si>
    <t>DKAM.PK</t>
  </si>
  <si>
    <t>FE.N</t>
  </si>
  <si>
    <t>SEAC.PK</t>
  </si>
  <si>
    <t>DDC.A</t>
  </si>
  <si>
    <t>GILD.OQ</t>
  </si>
  <si>
    <t>HLIO.N</t>
  </si>
  <si>
    <t>CRH.N</t>
  </si>
  <si>
    <t>SR.N</t>
  </si>
  <si>
    <t>ZTS.N</t>
  </si>
  <si>
    <t>XRX.OQ</t>
  </si>
  <si>
    <t>HIW.N</t>
  </si>
  <si>
    <t>NSC.N</t>
  </si>
  <si>
    <t>IPI.N</t>
  </si>
  <si>
    <t>CNM.N</t>
  </si>
  <si>
    <t>HAIN.OQ</t>
  </si>
  <si>
    <t>IAS.OQ</t>
  </si>
  <si>
    <t>VRTS.N</t>
  </si>
  <si>
    <t>BBGI.OQ</t>
  </si>
  <si>
    <t>ELYS.PK</t>
  </si>
  <si>
    <t>NTPIF.PK</t>
  </si>
  <si>
    <t>HR.N</t>
  </si>
  <si>
    <t>FATN.OQ</t>
  </si>
  <si>
    <t>MSM.N</t>
  </si>
  <si>
    <t>UTZ.N</t>
  </si>
  <si>
    <t>SKY.N</t>
  </si>
  <si>
    <t>HHH.N</t>
  </si>
  <si>
    <t>SINT.OQ</t>
  </si>
  <si>
    <t>XPEL.OQ</t>
  </si>
  <si>
    <t>VPG.N</t>
  </si>
  <si>
    <t>ESNC.PK</t>
  </si>
  <si>
    <t>HURN.OQ</t>
  </si>
  <si>
    <t>SHC.OQ</t>
  </si>
  <si>
    <t>GHC.N</t>
  </si>
  <si>
    <t>MPTI.A</t>
  </si>
  <si>
    <t>SSNC.OQ</t>
  </si>
  <si>
    <t>MIND.OQ</t>
  </si>
  <si>
    <t>MEI.N</t>
  </si>
  <si>
    <t>ACIW.OQ</t>
  </si>
  <si>
    <t>DTE.N</t>
  </si>
  <si>
    <t>MTLS.OQ</t>
  </si>
  <si>
    <t>RGCO.OQ</t>
  </si>
  <si>
    <t>ALE.N</t>
  </si>
  <si>
    <t>ASTI.OQ</t>
  </si>
  <si>
    <t>BDC.N</t>
  </si>
  <si>
    <t>BFS.N</t>
  </si>
  <si>
    <t>CTVA.N</t>
  </si>
  <si>
    <t>SO.N</t>
  </si>
  <si>
    <t>CENX.OQ</t>
  </si>
  <si>
    <t>LGHL.OQ</t>
  </si>
  <si>
    <t>PERI.OQ</t>
  </si>
  <si>
    <t>KBSR.PK</t>
  </si>
  <si>
    <t>QMCI.PK</t>
  </si>
  <si>
    <t>TXNM.N</t>
  </si>
  <si>
    <t>BMEA.OQ</t>
  </si>
  <si>
    <t>HAS.OQ</t>
  </si>
  <si>
    <t>VMI.N</t>
  </si>
  <si>
    <t>IBTA.N</t>
  </si>
  <si>
    <t>DYNT.PK</t>
  </si>
  <si>
    <t>USFD.N</t>
  </si>
  <si>
    <t>STRG.PK</t>
  </si>
  <si>
    <t>KMI.N</t>
  </si>
  <si>
    <t>BRLT.OQ</t>
  </si>
  <si>
    <t>VRRM.OQ</t>
  </si>
  <si>
    <t>WT.N</t>
  </si>
  <si>
    <t>GTLS.N</t>
  </si>
  <si>
    <t>MSA.N</t>
  </si>
  <si>
    <t>DGX.N</t>
  </si>
  <si>
    <t>LIPO.PK</t>
  </si>
  <si>
    <t>AMPE.PK</t>
  </si>
  <si>
    <t>JLL.N</t>
  </si>
  <si>
    <t>KDP.OQ</t>
  </si>
  <si>
    <t>TIKK.PK</t>
  </si>
  <si>
    <t>SLVS.PK</t>
  </si>
  <si>
    <t>HMR.OQ</t>
  </si>
  <si>
    <t>MDU.N</t>
  </si>
  <si>
    <t>TNL.N</t>
  </si>
  <si>
    <t>SSD.N</t>
  </si>
  <si>
    <t>LIND.OQ</t>
  </si>
  <si>
    <t>ZTNO.PK</t>
  </si>
  <si>
    <t>CRWS.OQ</t>
  </si>
  <si>
    <t>MSC.N</t>
  </si>
  <si>
    <t>CNP.N</t>
  </si>
  <si>
    <t>GOLF.N</t>
  </si>
  <si>
    <t>GDDY.N</t>
  </si>
  <si>
    <t>HFRO.N</t>
  </si>
  <si>
    <t>TSAT.OQ</t>
  </si>
  <si>
    <t>FELE.OQ</t>
  </si>
  <si>
    <t>CACC.OQ</t>
  </si>
  <si>
    <t>IBP.N</t>
  </si>
  <si>
    <t>WTW.OQ</t>
  </si>
  <si>
    <t>EACO.PK</t>
  </si>
  <si>
    <t>AEP.OQ</t>
  </si>
  <si>
    <t>EKSN.PK</t>
  </si>
  <si>
    <t>GEL.N</t>
  </si>
  <si>
    <t>CMS.N</t>
  </si>
  <si>
    <t>K.N</t>
  </si>
  <si>
    <t>LOPE.OQ</t>
  </si>
  <si>
    <t>SKIL.N</t>
  </si>
  <si>
    <t>IQV.N</t>
  </si>
  <si>
    <t>LPLA.OQ</t>
  </si>
  <si>
    <t>MDCX.OQ</t>
  </si>
  <si>
    <t>AIR.N</t>
  </si>
  <si>
    <t>CLMB.OQ</t>
  </si>
  <si>
    <t>KMDA.OQ</t>
  </si>
  <si>
    <t>PX.N</t>
  </si>
  <si>
    <t>EPAC.N</t>
  </si>
  <si>
    <t>GEOS.OQ</t>
  </si>
  <si>
    <t>MORN.OQ</t>
  </si>
  <si>
    <t>MLAB.OQ</t>
  </si>
  <si>
    <t>FND.N</t>
  </si>
  <si>
    <t>INDV.OQ</t>
  </si>
  <si>
    <t>SUN.N</t>
  </si>
  <si>
    <t>ETR.N</t>
  </si>
  <si>
    <t>TDOC.N</t>
  </si>
  <si>
    <t>TSCO.OQ</t>
  </si>
  <si>
    <t>PLPC.OQ</t>
  </si>
  <si>
    <t>VFC.N</t>
  </si>
  <si>
    <t>VICI.N</t>
  </si>
  <si>
    <t>EBAY.OQ</t>
  </si>
  <si>
    <t>PDI.N</t>
  </si>
  <si>
    <t>LAND.OQ</t>
  </si>
  <si>
    <t>GWH.N</t>
  </si>
  <si>
    <t>EDSA.OQ</t>
  </si>
  <si>
    <t>SURG.OQ</t>
  </si>
  <si>
    <t>RWAY.OQ</t>
  </si>
  <si>
    <t>SEIC.OQ</t>
  </si>
  <si>
    <t>PRSU.N</t>
  </si>
  <si>
    <t>KRC.N</t>
  </si>
  <si>
    <t>ASTE.OQ</t>
  </si>
  <si>
    <t>UHT.N</t>
  </si>
  <si>
    <t>CWENa.N</t>
  </si>
  <si>
    <t>GNRC.N</t>
  </si>
  <si>
    <t>APD.N</t>
  </si>
  <si>
    <t>WHF.OQ</t>
  </si>
  <si>
    <t>BBSI.OQ</t>
  </si>
  <si>
    <t>FTCO.PK</t>
  </si>
  <si>
    <t>LXU.N</t>
  </si>
  <si>
    <t>DRVN.OQ</t>
  </si>
  <si>
    <t>GLPI.OQ</t>
  </si>
  <si>
    <t>RPM.N</t>
  </si>
  <si>
    <t>ALEX.N</t>
  </si>
  <si>
    <t>HON.OQ</t>
  </si>
  <si>
    <t>KRG.N</t>
  </si>
  <si>
    <t>ZUMZ.OQ</t>
  </si>
  <si>
    <t>ESAB.N</t>
  </si>
  <si>
    <t>EXEL.OQ</t>
  </si>
  <si>
    <t>RITR.OQ</t>
  </si>
  <si>
    <t>LAMR.OQ</t>
  </si>
  <si>
    <t>HE.N</t>
  </si>
  <si>
    <t>GWW.N</t>
  </si>
  <si>
    <t>REGN.OQ</t>
  </si>
  <si>
    <t>DINO.N</t>
  </si>
  <si>
    <t>WWW.N</t>
  </si>
  <si>
    <t>NCDL.N</t>
  </si>
  <si>
    <t>MMC.N</t>
  </si>
  <si>
    <t>BRKR.OQ</t>
  </si>
  <si>
    <t>CRAI.OQ</t>
  </si>
  <si>
    <t>FLEX.OQ</t>
  </si>
  <si>
    <t>CART.OQ</t>
  </si>
  <si>
    <t>PINE.N</t>
  </si>
  <si>
    <t>GVA.N</t>
  </si>
  <si>
    <t>CCO.N</t>
  </si>
  <si>
    <t>BXP.N</t>
  </si>
  <si>
    <t>KBDC.N</t>
  </si>
  <si>
    <t>CUZ.N</t>
  </si>
  <si>
    <t>EVCM.OQ</t>
  </si>
  <si>
    <t>EDRY.OQ</t>
  </si>
  <si>
    <t>CRMZ.PK</t>
  </si>
  <si>
    <t>OLP.N</t>
  </si>
  <si>
    <t>CARR.N</t>
  </si>
  <si>
    <t>RCL.N</t>
  </si>
  <si>
    <t>JKHY.OQ</t>
  </si>
  <si>
    <t>ICON.OQ</t>
  </si>
  <si>
    <t>BIRK.N</t>
  </si>
  <si>
    <t>D.N</t>
  </si>
  <si>
    <t>UE.N</t>
  </si>
  <si>
    <t>KTCC.OQ</t>
  </si>
  <si>
    <t>RSVR.OQ</t>
  </si>
  <si>
    <t>COO.OQ</t>
  </si>
  <si>
    <t>BPYPP.OQ</t>
  </si>
  <si>
    <t>DOV.N</t>
  </si>
  <si>
    <t>POOL.OQ</t>
  </si>
  <si>
    <t>ROG.N</t>
  </si>
  <si>
    <t>MTR.N</t>
  </si>
  <si>
    <t>DIS.N</t>
  </si>
  <si>
    <t>TXRH.OQ</t>
  </si>
  <si>
    <t>JFU.OQ</t>
  </si>
  <si>
    <t>ICUI.OQ</t>
  </si>
  <si>
    <t>DAO.N</t>
  </si>
  <si>
    <t>XELA.PK</t>
  </si>
  <si>
    <t>PRSO.OQ</t>
  </si>
  <si>
    <t>LH.N</t>
  </si>
  <si>
    <t>PG.N</t>
  </si>
  <si>
    <t>HOG.N</t>
  </si>
  <si>
    <t>EXPD.N</t>
  </si>
  <si>
    <t>IVZ.N</t>
  </si>
  <si>
    <t>NEWT.OQ</t>
  </si>
  <si>
    <t>MTRN.N</t>
  </si>
  <si>
    <t>NNBR.OQ</t>
  </si>
  <si>
    <t>RRC.N</t>
  </si>
  <si>
    <t>NI.N</t>
  </si>
  <si>
    <t>LIEN.OQ</t>
  </si>
  <si>
    <t>GBTG.N</t>
  </si>
  <si>
    <t>RL.N</t>
  </si>
  <si>
    <t>LUVU.PK</t>
  </si>
  <si>
    <t>CLRB.OQ</t>
  </si>
  <si>
    <t>TXLZF.PK</t>
  </si>
  <si>
    <t>SPYR.PK</t>
  </si>
  <si>
    <t>AMC.N</t>
  </si>
  <si>
    <t>MU.OQ</t>
  </si>
  <si>
    <t>MAGN.N</t>
  </si>
  <si>
    <t>IDAI.OQ</t>
  </si>
  <si>
    <t>BNL.N</t>
  </si>
  <si>
    <t>SENS.A</t>
  </si>
  <si>
    <t>SOL.N</t>
  </si>
  <si>
    <t>XEL.OQ</t>
  </si>
  <si>
    <t>SELF.OQ</t>
  </si>
  <si>
    <t>CG.OQ</t>
  </si>
  <si>
    <t>GATX.N</t>
  </si>
  <si>
    <t>ARRY.OQ</t>
  </si>
  <si>
    <t>NTIC.OQ</t>
  </si>
  <si>
    <t>PRMB.N</t>
  </si>
  <si>
    <t>TPR.N</t>
  </si>
  <si>
    <t>MDT.N</t>
  </si>
  <si>
    <t>ODFL.OQ</t>
  </si>
  <si>
    <t>LIVN.OQ</t>
  </si>
  <si>
    <t>CTW.OQ</t>
  </si>
  <si>
    <t>ADBE.OQ</t>
  </si>
  <si>
    <t>CTO.N</t>
  </si>
  <si>
    <t>MWA.N</t>
  </si>
  <si>
    <t>NABL.N</t>
  </si>
  <si>
    <t>JNJ.N</t>
  </si>
  <si>
    <t>AEE.N</t>
  </si>
  <si>
    <t>UPHL.PK</t>
  </si>
  <si>
    <t>LTC.N</t>
  </si>
  <si>
    <t>AU.N</t>
  </si>
  <si>
    <t>DCI.N</t>
  </si>
  <si>
    <t>FDUS.OQ</t>
  </si>
  <si>
    <t>EIC.N</t>
  </si>
  <si>
    <t>VEL.N</t>
  </si>
  <si>
    <t>NPK.N</t>
  </si>
  <si>
    <t>TSLX.N</t>
  </si>
  <si>
    <t>BGI.A</t>
  </si>
  <si>
    <t>HHDS.PK</t>
  </si>
  <si>
    <t>BRX.N</t>
  </si>
  <si>
    <t>ESI.N</t>
  </si>
  <si>
    <t>RVTY.N</t>
  </si>
  <si>
    <t>SPCB.OQ</t>
  </si>
  <si>
    <t>KAI.N</t>
  </si>
  <si>
    <t>YIPI.PK</t>
  </si>
  <si>
    <t>GLBR.PK</t>
  </si>
  <si>
    <t>LSAK.OQ</t>
  </si>
  <si>
    <t>ORN.N</t>
  </si>
  <si>
    <t>MGEE.OQ</t>
  </si>
  <si>
    <t>RXT.OQ</t>
  </si>
  <si>
    <t>ALX.N</t>
  </si>
  <si>
    <t>KIO.N</t>
  </si>
  <si>
    <t>NNN.N</t>
  </si>
  <si>
    <t>ASLE.OQ</t>
  </si>
  <si>
    <t>ALRM.OQ</t>
  </si>
  <si>
    <t>DEA.N</t>
  </si>
  <si>
    <t>EXOD.A</t>
  </si>
  <si>
    <t>FUTS.PK</t>
  </si>
  <si>
    <t>ESPR.OQ</t>
  </si>
  <si>
    <t>BRKa.N</t>
  </si>
  <si>
    <t>WM.N</t>
  </si>
  <si>
    <t>WAST.PK</t>
  </si>
  <si>
    <t>MCFT.OQ</t>
  </si>
  <si>
    <t>DLTR.OQ</t>
  </si>
  <si>
    <t>HTGC.N</t>
  </si>
  <si>
    <t>AYI.N</t>
  </si>
  <si>
    <t>ROST.OQ</t>
  </si>
  <si>
    <t>INRE.PK</t>
  </si>
  <si>
    <t>IDXG.PK</t>
  </si>
  <si>
    <t>PARR.N</t>
  </si>
  <si>
    <t>GTM.OQ</t>
  </si>
  <si>
    <t>BMRN.OQ</t>
  </si>
  <si>
    <t>ECPG.OQ</t>
  </si>
  <si>
    <t>CSR.N</t>
  </si>
  <si>
    <t>DQ.N</t>
  </si>
  <si>
    <t>CPK.N</t>
  </si>
  <si>
    <t>IDA.N</t>
  </si>
  <si>
    <t>WSR.N</t>
  </si>
  <si>
    <t>VGZ.A</t>
  </si>
  <si>
    <t>CDP.N</t>
  </si>
  <si>
    <t>TTEK.OQ</t>
  </si>
  <si>
    <t>LQDT.OQ</t>
  </si>
  <si>
    <t>NVST.N</t>
  </si>
  <si>
    <t>CCAP.OQ</t>
  </si>
  <si>
    <t>GTY.N</t>
  </si>
  <si>
    <t>RSG.N</t>
  </si>
  <si>
    <t>AIV.N</t>
  </si>
  <si>
    <t>SLRC.OQ</t>
  </si>
  <si>
    <t>ITRI.OQ</t>
  </si>
  <si>
    <t>ODD.OQ</t>
  </si>
  <si>
    <t>REVG.N</t>
  </si>
  <si>
    <t>PECO.OQ</t>
  </si>
  <si>
    <t>GOGO.OQ</t>
  </si>
  <si>
    <t>HOUS.N</t>
  </si>
  <si>
    <t>UWMC.N</t>
  </si>
  <si>
    <t>LIN.OQ</t>
  </si>
  <si>
    <t>NOC.N</t>
  </si>
  <si>
    <t>TRS.OQ</t>
  </si>
  <si>
    <t>MKSI.OQ</t>
  </si>
  <si>
    <t>BNED.N</t>
  </si>
  <si>
    <t>TRU.N</t>
  </si>
  <si>
    <t>MOGa.N</t>
  </si>
  <si>
    <t>NEN.A</t>
  </si>
  <si>
    <t>ZBRA.OQ</t>
  </si>
  <si>
    <t>BURL.N</t>
  </si>
  <si>
    <t>FCFS.OQ</t>
  </si>
  <si>
    <t>CAT.N</t>
  </si>
  <si>
    <t>BNGO.OQ</t>
  </si>
  <si>
    <t>SEMUF.PK</t>
  </si>
  <si>
    <t>CRK.N</t>
  </si>
  <si>
    <t>CHD.N</t>
  </si>
  <si>
    <t>EGHT.OQ</t>
  </si>
  <si>
    <t>ASTH.OQ</t>
  </si>
  <si>
    <t>WY.N</t>
  </si>
  <si>
    <t>XPO.N</t>
  </si>
  <si>
    <t>RH.N</t>
  </si>
  <si>
    <t>PENN.OQ</t>
  </si>
  <si>
    <t>FOA.N</t>
  </si>
  <si>
    <t>AVNW.OQ</t>
  </si>
  <si>
    <t>CAPL.N</t>
  </si>
  <si>
    <t>FLX.OQ</t>
  </si>
  <si>
    <t>BROGF.PK</t>
  </si>
  <si>
    <t>ALLE.N</t>
  </si>
  <si>
    <t>ADP.OQ</t>
  </si>
  <si>
    <t>MZTI.OQ</t>
  </si>
  <si>
    <t>NCNA.OQ</t>
  </si>
  <si>
    <t>CHEF.OQ</t>
  </si>
  <si>
    <t>AWK.N</t>
  </si>
  <si>
    <t>HAYW.N</t>
  </si>
  <si>
    <t>SPG.N</t>
  </si>
  <si>
    <t>GLAD.OQ</t>
  </si>
  <si>
    <t>AIRI.A</t>
  </si>
  <si>
    <t>VECO.OQ</t>
  </si>
  <si>
    <t>ISSC.OQ</t>
  </si>
  <si>
    <t>EVC.N</t>
  </si>
  <si>
    <t>IEX.N</t>
  </si>
  <si>
    <t>QGEN.N</t>
  </si>
  <si>
    <t>ILPT.OQ</t>
  </si>
  <si>
    <t>MYND.A</t>
  </si>
  <si>
    <t>NHC.A</t>
  </si>
  <si>
    <t>RYN.N</t>
  </si>
  <si>
    <t>VOIS.PK</t>
  </si>
  <si>
    <t>BIAF.OQ</t>
  </si>
  <si>
    <t>FLS.N</t>
  </si>
  <si>
    <t>MPW.N</t>
  </si>
  <si>
    <t>SBRA.OQ</t>
  </si>
  <si>
    <t>AON.N</t>
  </si>
  <si>
    <t>ADIL.OQ</t>
  </si>
  <si>
    <t>LFUS.OQ</t>
  </si>
  <si>
    <t>WEC.N</t>
  </si>
  <si>
    <t>SRAD.OQ</t>
  </si>
  <si>
    <t>RNG.N</t>
  </si>
  <si>
    <t>TRIN.OQ</t>
  </si>
  <si>
    <t>FERG.N</t>
  </si>
  <si>
    <t>LECO.OQ</t>
  </si>
  <si>
    <t>EXPL.PK</t>
  </si>
  <si>
    <t>DSP.OQ</t>
  </si>
  <si>
    <t>MTNB.A</t>
  </si>
  <si>
    <t>CACI.N</t>
  </si>
  <si>
    <t>BCSF.N</t>
  </si>
  <si>
    <t>LNT.OQ</t>
  </si>
  <si>
    <t>MAA.N</t>
  </si>
  <si>
    <t>CPT.N</t>
  </si>
  <si>
    <t>ELAN.N</t>
  </si>
  <si>
    <t>BODI.OQ</t>
  </si>
  <si>
    <t>LOW.N</t>
  </si>
  <si>
    <t>FSLR.OQ</t>
  </si>
  <si>
    <t>CIK.A</t>
  </si>
  <si>
    <t>FNCH.PK</t>
  </si>
  <si>
    <t>AWR.N</t>
  </si>
  <si>
    <t>MOVE.OQ</t>
  </si>
  <si>
    <t>YMAT.OQ</t>
  </si>
  <si>
    <t>ACM.N</t>
  </si>
  <si>
    <t>BLCO.N</t>
  </si>
  <si>
    <t>AIOT.OQ</t>
  </si>
  <si>
    <t>CWH.N</t>
  </si>
  <si>
    <t>TCMD.OQ</t>
  </si>
  <si>
    <t>USPH.N</t>
  </si>
  <si>
    <t>LUNA.PK</t>
  </si>
  <si>
    <t>XLO.OQ</t>
  </si>
  <si>
    <t>PAYX.OQ</t>
  </si>
  <si>
    <t>SCCO.N</t>
  </si>
  <si>
    <t>FRHC.OQ</t>
  </si>
  <si>
    <t>JBLU.OQ</t>
  </si>
  <si>
    <t>YORW.OQ</t>
  </si>
  <si>
    <t>HPQ.N</t>
  </si>
  <si>
    <t>PYPD.OQ</t>
  </si>
  <si>
    <t>SSRM.OQ</t>
  </si>
  <si>
    <t>CUBE.N</t>
  </si>
  <si>
    <t>MKC.N</t>
  </si>
  <si>
    <t>NRXS.A</t>
  </si>
  <si>
    <t>REVB.OQ</t>
  </si>
  <si>
    <t>PJT.N</t>
  </si>
  <si>
    <t>SN.N</t>
  </si>
  <si>
    <t>XAIR.OQ</t>
  </si>
  <si>
    <t>FIVE.OQ</t>
  </si>
  <si>
    <t>UTI.N</t>
  </si>
  <si>
    <t>CLW.N</t>
  </si>
  <si>
    <t>MSEX.OQ</t>
  </si>
  <si>
    <t>OMCL.OQ</t>
  </si>
  <si>
    <t>CSWC.OQ</t>
  </si>
  <si>
    <t>PEG.N</t>
  </si>
  <si>
    <t>FRT.N</t>
  </si>
  <si>
    <t>CMG.N</t>
  </si>
  <si>
    <t>CVI.N</t>
  </si>
  <si>
    <t>RYOJ.OQ</t>
  </si>
  <si>
    <t>CLPR.N</t>
  </si>
  <si>
    <t>DCO.N</t>
  </si>
  <si>
    <t>CSW.N</t>
  </si>
  <si>
    <t>EMR.N</t>
  </si>
  <si>
    <t>BRBR.N</t>
  </si>
  <si>
    <t>WTRG.N</t>
  </si>
  <si>
    <t>CNS.N</t>
  </si>
  <si>
    <t>O.N</t>
  </si>
  <si>
    <t>GHLD.N</t>
  </si>
  <si>
    <t>PDCC.N</t>
  </si>
  <si>
    <t>INVH.N</t>
  </si>
  <si>
    <t>PSA.N</t>
  </si>
  <si>
    <t>DY.N</t>
  </si>
  <si>
    <t>NIO.N</t>
  </si>
  <si>
    <t>EFX.N</t>
  </si>
  <si>
    <t>SITE.N</t>
  </si>
  <si>
    <t>CARG.OQ</t>
  </si>
  <si>
    <t>SGHC.N</t>
  </si>
  <si>
    <t>DLB.N</t>
  </si>
  <si>
    <t>MTVA.OQ</t>
  </si>
  <si>
    <t>PSN.N</t>
  </si>
  <si>
    <t>CGBD.OQ</t>
  </si>
  <si>
    <t>ARDC.N</t>
  </si>
  <si>
    <t>PTGX.OQ</t>
  </si>
  <si>
    <t>SUPN.OQ</t>
  </si>
  <si>
    <t>HXL.N</t>
  </si>
  <si>
    <t>ARTL.OQ</t>
  </si>
  <si>
    <t>EQR.N</t>
  </si>
  <si>
    <t>WMB.N</t>
  </si>
  <si>
    <t>BWTL.PK</t>
  </si>
  <si>
    <t>DBX.OQ</t>
  </si>
  <si>
    <t>FMYR.PK</t>
  </si>
  <si>
    <t>DGII.OQ</t>
  </si>
  <si>
    <t>MBRX.OQ</t>
  </si>
  <si>
    <t>NFLX.OQ</t>
  </si>
  <si>
    <t>BFAM.N</t>
  </si>
  <si>
    <t>DAKT.OQ</t>
  </si>
  <si>
    <t>LXP.N</t>
  </si>
  <si>
    <t>VTSI.OQ</t>
  </si>
  <si>
    <t>MSW.OQ</t>
  </si>
  <si>
    <t>AIT.N</t>
  </si>
  <si>
    <t>FLL.OQ</t>
  </si>
  <si>
    <t>XYZ.N</t>
  </si>
  <si>
    <t>HWKN.OQ</t>
  </si>
  <si>
    <t>BR.N</t>
  </si>
  <si>
    <t>WSO.N</t>
  </si>
  <si>
    <t>NRSN.OQ</t>
  </si>
  <si>
    <t>BTSG.OQ</t>
  </si>
  <si>
    <t>ICE.N</t>
  </si>
  <si>
    <t>GD.N</t>
  </si>
  <si>
    <t>PCH.OQ</t>
  </si>
  <si>
    <t>WPC.N</t>
  </si>
  <si>
    <t>AJG.N</t>
  </si>
  <si>
    <t>BRO.N</t>
  </si>
  <si>
    <t>CASY.OQ</t>
  </si>
  <si>
    <t>ETSY.N</t>
  </si>
  <si>
    <t>ELMD.A</t>
  </si>
  <si>
    <t>PCYO.OQ</t>
  </si>
  <si>
    <t>KIM.N</t>
  </si>
  <si>
    <t>J.N</t>
  </si>
  <si>
    <t>ATO.N</t>
  </si>
  <si>
    <t>PRIM.N</t>
  </si>
  <si>
    <t>LVPR.PK</t>
  </si>
  <si>
    <t>GWRS.OQ</t>
  </si>
  <si>
    <t>TREE.OQ</t>
  </si>
  <si>
    <t>META.OQ</t>
  </si>
  <si>
    <t>HPP.N</t>
  </si>
  <si>
    <t>SRE.N</t>
  </si>
  <si>
    <t>UMH.N</t>
  </si>
  <si>
    <t>INSG.OQ</t>
  </si>
  <si>
    <t>SANM.OQ</t>
  </si>
  <si>
    <t>BWG.N</t>
  </si>
  <si>
    <t>STE.N</t>
  </si>
  <si>
    <t>EYE.OQ</t>
  </si>
  <si>
    <t>UDR.N</t>
  </si>
  <si>
    <t>IR.N</t>
  </si>
  <si>
    <t>HII.N</t>
  </si>
  <si>
    <t>IDCC.OQ</t>
  </si>
  <si>
    <t>FREVS.PK</t>
  </si>
  <si>
    <t>SKT.N</t>
  </si>
  <si>
    <t>DOC.N</t>
  </si>
  <si>
    <t>VNOM.OQ</t>
  </si>
  <si>
    <t>OHI.N</t>
  </si>
  <si>
    <t>DHC.OQ</t>
  </si>
  <si>
    <t>JOYY.OQ</t>
  </si>
  <si>
    <t>IMAX.N</t>
  </si>
  <si>
    <t>BXSL.N</t>
  </si>
  <si>
    <t>WAB.N</t>
  </si>
  <si>
    <t>EXFY.OQ</t>
  </si>
  <si>
    <t>DH.OQ</t>
  </si>
  <si>
    <t>BBDC.N</t>
  </si>
  <si>
    <t>IVT.N</t>
  </si>
  <si>
    <t>XXII.OQ</t>
  </si>
  <si>
    <t>SAR.N</t>
  </si>
  <si>
    <t>DYSL.PK</t>
  </si>
  <si>
    <t>PSX.N</t>
  </si>
  <si>
    <t>MTZ.N</t>
  </si>
  <si>
    <t>NXRT.N</t>
  </si>
  <si>
    <t>ARAY.OQ</t>
  </si>
  <si>
    <t>ADGM.OQ</t>
  </si>
  <si>
    <t>RMD.N</t>
  </si>
  <si>
    <t>MRCC.OQ</t>
  </si>
  <si>
    <t>MAAS.OQ</t>
  </si>
  <si>
    <t>LVVR.PK</t>
  </si>
  <si>
    <t>CVCO.OQ</t>
  </si>
  <si>
    <t>EQT.N</t>
  </si>
  <si>
    <t>COMM.OQ</t>
  </si>
  <si>
    <t>SXT.N</t>
  </si>
  <si>
    <t>PLXS.OQ</t>
  </si>
  <si>
    <t>LHX.N</t>
  </si>
  <si>
    <t>IRIX.OQ</t>
  </si>
  <si>
    <t>PNR.N</t>
  </si>
  <si>
    <t>PRLB.N</t>
  </si>
  <si>
    <t>RBCL.PK</t>
  </si>
  <si>
    <t>PCTY.OQ</t>
  </si>
  <si>
    <t>IRT.N</t>
  </si>
  <si>
    <t>JBGS.N</t>
  </si>
  <si>
    <t>NPKI.N</t>
  </si>
  <si>
    <t>TEL.N</t>
  </si>
  <si>
    <t>FCPT.N</t>
  </si>
  <si>
    <t>KNSL.N</t>
  </si>
  <si>
    <t>CLF.N</t>
  </si>
  <si>
    <t>NHI.N</t>
  </si>
  <si>
    <t>EAD.A</t>
  </si>
  <si>
    <t>QPRC.PK</t>
  </si>
  <si>
    <t>INTJ.OQ</t>
  </si>
  <si>
    <t>CTLP.OQ</t>
  </si>
  <si>
    <t>OFS.OQ</t>
  </si>
  <si>
    <t>SAFE.N</t>
  </si>
  <si>
    <t>PRPL.OQ</t>
  </si>
  <si>
    <t>APGI.PK</t>
  </si>
  <si>
    <t>GILT.OQ</t>
  </si>
  <si>
    <t>SMCI.OQ</t>
  </si>
  <si>
    <t>SLRX.OQ</t>
  </si>
  <si>
    <t>EME.N</t>
  </si>
  <si>
    <t>BW.N</t>
  </si>
  <si>
    <t>BOOT.N</t>
  </si>
  <si>
    <t>CCRN.OQ</t>
  </si>
  <si>
    <t>STAG.N</t>
  </si>
  <si>
    <t>BRCC.N</t>
  </si>
  <si>
    <t>FRBP.PK</t>
  </si>
  <si>
    <t>ENTG.OQ</t>
  </si>
  <si>
    <t>NDSN.OQ</t>
  </si>
  <si>
    <t>VITL.OQ</t>
  </si>
  <si>
    <t>NMRK.OQ</t>
  </si>
  <si>
    <t>LMB.OQ</t>
  </si>
  <si>
    <t>SNDL.OQ</t>
  </si>
  <si>
    <t>SHW.N</t>
  </si>
  <si>
    <t>BGC.OQ</t>
  </si>
  <si>
    <t>MAZE.OQ</t>
  </si>
  <si>
    <t>LVLU.OQ</t>
  </si>
  <si>
    <t>ITT.N</t>
  </si>
  <si>
    <t>ELME.N</t>
  </si>
  <si>
    <t>KNTK.N</t>
  </si>
  <si>
    <t>NTST.N</t>
  </si>
  <si>
    <t>AVB.N</t>
  </si>
  <si>
    <t>FBLG.OQ</t>
  </si>
  <si>
    <t>MDXG.OQ</t>
  </si>
  <si>
    <t>ARCC.OQ</t>
  </si>
  <si>
    <t>NVEC.OQ</t>
  </si>
  <si>
    <t>REG.OQ</t>
  </si>
  <si>
    <t>SMHI.N</t>
  </si>
  <si>
    <t>MANU.N</t>
  </si>
  <si>
    <t>EXR.N</t>
  </si>
  <si>
    <t>CAH.N</t>
  </si>
  <si>
    <t>KG.OQ</t>
  </si>
  <si>
    <t>OTIS.N</t>
  </si>
  <si>
    <t>BFRI.OQ</t>
  </si>
  <si>
    <t>III.OQ</t>
  </si>
  <si>
    <t>BBN.N</t>
  </si>
  <si>
    <t>HUBB.N</t>
  </si>
  <si>
    <t>RELL.OQ</t>
  </si>
  <si>
    <t>KN.N</t>
  </si>
  <si>
    <t>PIPR.N</t>
  </si>
  <si>
    <t>VLTO.N</t>
  </si>
  <si>
    <t>TJX.N</t>
  </si>
  <si>
    <t>MSI.N</t>
  </si>
  <si>
    <t>HLI.N</t>
  </si>
  <si>
    <t>INTG.OQ</t>
  </si>
  <si>
    <t>AMH.N</t>
  </si>
  <si>
    <t>ALNT.OQ</t>
  </si>
  <si>
    <t>GGG.N</t>
  </si>
  <si>
    <t>CSCO.OQ</t>
  </si>
  <si>
    <t>INDP.OQ</t>
  </si>
  <si>
    <t>NMFC.OQ</t>
  </si>
  <si>
    <t>PSBD.N</t>
  </si>
  <si>
    <t>TXO.N</t>
  </si>
  <si>
    <t>PRSI.PK</t>
  </si>
  <si>
    <t>FRTN.PK</t>
  </si>
  <si>
    <t>ERIE.OQ</t>
  </si>
  <si>
    <t>RTX.N</t>
  </si>
  <si>
    <t>SDM.OQ</t>
  </si>
  <si>
    <t>NEE.N</t>
  </si>
  <si>
    <t>TDY.N</t>
  </si>
  <si>
    <t>USLM.OQ</t>
  </si>
  <si>
    <t>CPRT.OQ</t>
  </si>
  <si>
    <t>ASIC.N</t>
  </si>
  <si>
    <t>NEOG.OQ</t>
  </si>
  <si>
    <t>WMT.N</t>
  </si>
  <si>
    <t>BKD.N</t>
  </si>
  <si>
    <t>CWST.OQ</t>
  </si>
  <si>
    <t>AMCF.PK</t>
  </si>
  <si>
    <t>SGMO.OQ</t>
  </si>
  <si>
    <t>METC.OQ</t>
  </si>
  <si>
    <t>MSIF.N</t>
  </si>
  <si>
    <t>EXLS.OQ</t>
  </si>
  <si>
    <t>FLUT.N</t>
  </si>
  <si>
    <t>LINC.OQ</t>
  </si>
  <si>
    <t>INNV.OQ</t>
  </si>
  <si>
    <t>EPRT.N</t>
  </si>
  <si>
    <t>BLK.N</t>
  </si>
  <si>
    <t>FSS.N</t>
  </si>
  <si>
    <t>OSIS.OQ</t>
  </si>
  <si>
    <t>FENG.N</t>
  </si>
  <si>
    <t>NGVT.N</t>
  </si>
  <si>
    <t>NATH.OQ</t>
  </si>
  <si>
    <t>MAIN.N</t>
  </si>
  <si>
    <t>APG.N</t>
  </si>
  <si>
    <t>HTGMQ.PK</t>
  </si>
  <si>
    <t>FUTL.PK</t>
  </si>
  <si>
    <t>SBAC.OQ</t>
  </si>
  <si>
    <t>RYDE.A</t>
  </si>
  <si>
    <t>ROP.OQ</t>
  </si>
  <si>
    <t>MMSI.OQ</t>
  </si>
  <si>
    <t>UFPT.OQ</t>
  </si>
  <si>
    <t>TAOP.OQ</t>
  </si>
  <si>
    <t>MLM.N</t>
  </si>
  <si>
    <t>TCBPY.PK</t>
  </si>
  <si>
    <t>BHa.N</t>
  </si>
  <si>
    <t>PACK.N</t>
  </si>
  <si>
    <t>NXUR.PK</t>
  </si>
  <si>
    <t>PNNT.N</t>
  </si>
  <si>
    <t>AVAH.OQ</t>
  </si>
  <si>
    <t>DPZ.OQ</t>
  </si>
  <si>
    <t>NYT.N</t>
  </si>
  <si>
    <t>EVI.A</t>
  </si>
  <si>
    <t>NKE.N</t>
  </si>
  <si>
    <t>WTS.N</t>
  </si>
  <si>
    <t>OM.OQ</t>
  </si>
  <si>
    <t>CBRE.N</t>
  </si>
  <si>
    <t>JSDA.PK</t>
  </si>
  <si>
    <t>H.N</t>
  </si>
  <si>
    <t>CBOE.Z</t>
  </si>
  <si>
    <t>ASUR.OQ</t>
  </si>
  <si>
    <t>TIGR.OQ</t>
  </si>
  <si>
    <t>VMRI.PK</t>
  </si>
  <si>
    <t>PGNY.OQ</t>
  </si>
  <si>
    <t>PH.N</t>
  </si>
  <si>
    <t>FRMO.PK</t>
  </si>
  <si>
    <t>VG.N</t>
  </si>
  <si>
    <t>SUI.N</t>
  </si>
  <si>
    <t>SF.N</t>
  </si>
  <si>
    <t>MA.N</t>
  </si>
  <si>
    <t>NPO.N</t>
  </si>
  <si>
    <t>VIRT.N</t>
  </si>
  <si>
    <t>SPNS.OQ</t>
  </si>
  <si>
    <t>YUM.N</t>
  </si>
  <si>
    <t>HLNE.OQ</t>
  </si>
  <si>
    <t>FA.OQ</t>
  </si>
  <si>
    <t>CHKP.OQ</t>
  </si>
  <si>
    <t>ATLC.OQ</t>
  </si>
  <si>
    <t>LADR.N</t>
  </si>
  <si>
    <t>REXR.N</t>
  </si>
  <si>
    <t>AZO.N</t>
  </si>
  <si>
    <t>FR.N</t>
  </si>
  <si>
    <t>XCOMQ.PK</t>
  </si>
  <si>
    <t>JG.OQ</t>
  </si>
  <si>
    <t>COHR.N</t>
  </si>
  <si>
    <t>VAXX.PK</t>
  </si>
  <si>
    <t>AKR.N</t>
  </si>
  <si>
    <t>KMRK.OQ</t>
  </si>
  <si>
    <t>HCSG.OQ</t>
  </si>
  <si>
    <t>AMRC.N</t>
  </si>
  <si>
    <t>ORA.N</t>
  </si>
  <si>
    <t>SPGZ.PK</t>
  </si>
  <si>
    <t>MOD.N</t>
  </si>
  <si>
    <t>SMA.N</t>
  </si>
  <si>
    <t>EL.N</t>
  </si>
  <si>
    <t>GRMN.N</t>
  </si>
  <si>
    <t>SCM.N</t>
  </si>
  <si>
    <t>PM.N</t>
  </si>
  <si>
    <t>MAC.N</t>
  </si>
  <si>
    <t>PHIL.PK</t>
  </si>
  <si>
    <t>SUNS.OQ</t>
  </si>
  <si>
    <t>EVR.N</t>
  </si>
  <si>
    <t>EQX.A</t>
  </si>
  <si>
    <t>GRND.N</t>
  </si>
  <si>
    <t>CEG.OQ</t>
  </si>
  <si>
    <t>ABT.N</t>
  </si>
  <si>
    <t>ATEN.N</t>
  </si>
  <si>
    <t>VMC.N</t>
  </si>
  <si>
    <t>SGI.N</t>
  </si>
  <si>
    <t>SXI.N</t>
  </si>
  <si>
    <t>VNO.N</t>
  </si>
  <si>
    <t>NTRR.PK</t>
  </si>
  <si>
    <t>DTST.OQ</t>
  </si>
  <si>
    <t>BSTT.PK</t>
  </si>
  <si>
    <t>QDMI.PK</t>
  </si>
  <si>
    <t>EVER.OQ</t>
  </si>
  <si>
    <t>DTM.N</t>
  </si>
  <si>
    <t>WFCF.OQ</t>
  </si>
  <si>
    <t>PSIX.OQ</t>
  </si>
  <si>
    <t>HIMX.OQ</t>
  </si>
  <si>
    <t>SODI.PK</t>
  </si>
  <si>
    <t>PDX.N</t>
  </si>
  <si>
    <t>AMTM.N</t>
  </si>
  <si>
    <t>BRT.N</t>
  </si>
  <si>
    <t>TR.N</t>
  </si>
  <si>
    <t>CLMT.OQ</t>
  </si>
  <si>
    <t>LWAY.OQ</t>
  </si>
  <si>
    <t>GSUN.OQ</t>
  </si>
  <si>
    <t>PVL.N</t>
  </si>
  <si>
    <t>MFIC.OQ</t>
  </si>
  <si>
    <t>ATXI.PK</t>
  </si>
  <si>
    <t>IMNN.OQ</t>
  </si>
  <si>
    <t>TTGT.OQ</t>
  </si>
  <si>
    <t>TSEM.OQ</t>
  </si>
  <si>
    <t>SALM.PK</t>
  </si>
  <si>
    <t>AAPL.OQ</t>
  </si>
  <si>
    <t>EOLS.OQ</t>
  </si>
  <si>
    <t>BAND.OQ</t>
  </si>
  <si>
    <t>BWIN.OQ</t>
  </si>
  <si>
    <t>WAT.N</t>
  </si>
  <si>
    <t>SBUX.OQ</t>
  </si>
  <si>
    <t>SPSC.OQ</t>
  </si>
  <si>
    <t>NCEW.OQ</t>
  </si>
  <si>
    <t>CDRE.N</t>
  </si>
  <si>
    <t>GBDC.OQ</t>
  </si>
  <si>
    <t>CRM.N</t>
  </si>
  <si>
    <t>AME.N</t>
  </si>
  <si>
    <t>OPXS.OQ</t>
  </si>
  <si>
    <t>FVR.N</t>
  </si>
  <si>
    <t>ECL.N</t>
  </si>
  <si>
    <t>ESS.N</t>
  </si>
  <si>
    <t>DHR.N</t>
  </si>
  <si>
    <t>STSR.PK</t>
  </si>
  <si>
    <t>LIFS.PK</t>
  </si>
  <si>
    <t>CHRW.OQ</t>
  </si>
  <si>
    <t>ACFN.OQ</t>
  </si>
  <si>
    <t>AMAT.OQ</t>
  </si>
  <si>
    <t>PTON.OQ</t>
  </si>
  <si>
    <t>BCPC.OQ</t>
  </si>
  <si>
    <t>AWI.N</t>
  </si>
  <si>
    <t>XYL.N</t>
  </si>
  <si>
    <t>ECG.N</t>
  </si>
  <si>
    <t>HCA.N</t>
  </si>
  <si>
    <t>RVLV.N</t>
  </si>
  <si>
    <t>BRSP.N</t>
  </si>
  <si>
    <t>BIO.N</t>
  </si>
  <si>
    <t>NDAQ.OQ</t>
  </si>
  <si>
    <t>LVVP.PK</t>
  </si>
  <si>
    <t>IBO.A</t>
  </si>
  <si>
    <t>KC.OQ</t>
  </si>
  <si>
    <t>TMO.N</t>
  </si>
  <si>
    <t>WDC.OQ</t>
  </si>
  <si>
    <t>RYAN.N</t>
  </si>
  <si>
    <t>TXN.OQ</t>
  </si>
  <si>
    <t>ILMN.OQ</t>
  </si>
  <si>
    <t>FEIM.OQ</t>
  </si>
  <si>
    <t>BRQSF.PK</t>
  </si>
  <si>
    <t>PINC.OQ</t>
  </si>
  <si>
    <t>ADC.N</t>
  </si>
  <si>
    <t>SLG.N</t>
  </si>
  <si>
    <t>MGNI.OQ</t>
  </si>
  <si>
    <t>ADMA.OQ</t>
  </si>
  <si>
    <t>BELFA.OQ</t>
  </si>
  <si>
    <t>SEVN.OQ</t>
  </si>
  <si>
    <t>FRPH.OQ</t>
  </si>
  <si>
    <t>MSFT.OQ</t>
  </si>
  <si>
    <t>SHCO.N</t>
  </si>
  <si>
    <t>IRM.N</t>
  </si>
  <si>
    <t>TW.OQ</t>
  </si>
  <si>
    <t>GSIH.PK</t>
  </si>
  <si>
    <t>WDFC.OQ</t>
  </si>
  <si>
    <t>IESC.OQ</t>
  </si>
  <si>
    <t>VRTX.OQ</t>
  </si>
  <si>
    <t>A.N</t>
  </si>
  <si>
    <t>WYNN.OQ</t>
  </si>
  <si>
    <t>SMX.OQ</t>
  </si>
  <si>
    <t>GWOX.PK</t>
  </si>
  <si>
    <t>GECC.OQ</t>
  </si>
  <si>
    <t>AMEN.PK</t>
  </si>
  <si>
    <t>ONCY.OQ</t>
  </si>
  <si>
    <t>SPGI.N</t>
  </si>
  <si>
    <t>ONTO.N</t>
  </si>
  <si>
    <t>NIQ.N</t>
  </si>
  <si>
    <t>MITK.OQ</t>
  </si>
  <si>
    <t>TRNR.OQ</t>
  </si>
  <si>
    <t>POWL.OQ</t>
  </si>
  <si>
    <t>DLO.OQ</t>
  </si>
  <si>
    <t>WBBA.PK</t>
  </si>
  <si>
    <t>OSW.OQ</t>
  </si>
  <si>
    <t>SOS.N</t>
  </si>
  <si>
    <t>QLYS.OQ</t>
  </si>
  <si>
    <t>JCI.N</t>
  </si>
  <si>
    <t>RPRX.OQ</t>
  </si>
  <si>
    <t>VSME.OQ</t>
  </si>
  <si>
    <t>REE.OQ</t>
  </si>
  <si>
    <t>ENSG.OQ</t>
  </si>
  <si>
    <t>PDNLB.PK</t>
  </si>
  <si>
    <t>BLKB.OQ</t>
  </si>
  <si>
    <t>PLNT.N</t>
  </si>
  <si>
    <t>MOTS.PK</t>
  </si>
  <si>
    <t>CRVL.OQ</t>
  </si>
  <si>
    <t>DEWY.PK</t>
  </si>
  <si>
    <t>QNST.OQ</t>
  </si>
  <si>
    <t>SEZL.OQ</t>
  </si>
  <si>
    <t>SIMO.OQ</t>
  </si>
  <si>
    <t>CRS.N</t>
  </si>
  <si>
    <t>DRS.OQ</t>
  </si>
  <si>
    <t>TRMB.OQ</t>
  </si>
  <si>
    <t>VTR.N</t>
  </si>
  <si>
    <t>SYK.N</t>
  </si>
  <si>
    <t>LDI.N</t>
  </si>
  <si>
    <t>BCAB.OQ</t>
  </si>
  <si>
    <t>ICHR.OQ</t>
  </si>
  <si>
    <t>MC.N</t>
  </si>
  <si>
    <t>RRTS.PK</t>
  </si>
  <si>
    <t>FHRT.PK</t>
  </si>
  <si>
    <t>COSO.N</t>
  </si>
  <si>
    <t>IOTR.OQ</t>
  </si>
  <si>
    <t>CURB.N</t>
  </si>
  <si>
    <t>SCPX.PK</t>
  </si>
  <si>
    <t>OLED.OQ</t>
  </si>
  <si>
    <t>ZWS.N</t>
  </si>
  <si>
    <t>GOVX.OQ</t>
  </si>
  <si>
    <t>VRSN.OQ</t>
  </si>
  <si>
    <t>ALVO.OQ</t>
  </si>
  <si>
    <t>DOCN.N</t>
  </si>
  <si>
    <t>IIIV.OQ</t>
  </si>
  <si>
    <t>TDG.N</t>
  </si>
  <si>
    <t>YOU.N</t>
  </si>
  <si>
    <t>TT.N</t>
  </si>
  <si>
    <t>EBS.N</t>
  </si>
  <si>
    <t>HQY.OQ</t>
  </si>
  <si>
    <t>NBIX.OQ</t>
  </si>
  <si>
    <t>MCO.N</t>
  </si>
  <si>
    <t>IBM.N</t>
  </si>
  <si>
    <t>BX.N</t>
  </si>
  <si>
    <t>APVO.OQ</t>
  </si>
  <si>
    <t>OPAL.OQ</t>
  </si>
  <si>
    <t>NBBK.OQ</t>
  </si>
  <si>
    <t>GIPR.OQ</t>
  </si>
  <si>
    <t>XTIA.OQ</t>
  </si>
  <si>
    <t>TTMI.OQ</t>
  </si>
  <si>
    <t>STRO.OQ</t>
  </si>
  <si>
    <t>QRON.PK</t>
  </si>
  <si>
    <t>PFLT.N</t>
  </si>
  <si>
    <t>RGLD.OQ</t>
  </si>
  <si>
    <t>OLLI.OQ</t>
  </si>
  <si>
    <t>KEYS.N</t>
  </si>
  <si>
    <t>FPF.N</t>
  </si>
  <si>
    <t>JBTM.N</t>
  </si>
  <si>
    <t>XPON.OQ</t>
  </si>
  <si>
    <t>HNRG.OQ</t>
  </si>
  <si>
    <t>ZM.OQ</t>
  </si>
  <si>
    <t>ELA.A</t>
  </si>
  <si>
    <t>WAY.OQ</t>
  </si>
  <si>
    <t>CERT.OQ</t>
  </si>
  <si>
    <t>GOOGL.OQ</t>
  </si>
  <si>
    <t>CCC.OQ</t>
  </si>
  <si>
    <t>HFUS.PK</t>
  </si>
  <si>
    <t>GDOT.N</t>
  </si>
  <si>
    <t>TECH.OQ</t>
  </si>
  <si>
    <t>ANIK.OQ</t>
  </si>
  <si>
    <t>KO.N</t>
  </si>
  <si>
    <t>PLD.N</t>
  </si>
  <si>
    <t>RDNT.OQ</t>
  </si>
  <si>
    <t>CTAS.OQ</t>
  </si>
  <si>
    <t>SMIT.PK</t>
  </si>
  <si>
    <t>WHG.N</t>
  </si>
  <si>
    <t>RSSS.OQ</t>
  </si>
  <si>
    <t>AMZN.OQ</t>
  </si>
  <si>
    <t>SONX.PK</t>
  </si>
  <si>
    <t>VRE.N</t>
  </si>
  <si>
    <t>BKNG.OQ</t>
  </si>
  <si>
    <t>SATS.OQ</t>
  </si>
  <si>
    <t>ZGM.OQ</t>
  </si>
  <si>
    <t>HL.N</t>
  </si>
  <si>
    <t>EA.OQ</t>
  </si>
  <si>
    <t>SQFT.OQ</t>
  </si>
  <si>
    <t>INTS.OQ</t>
  </si>
  <si>
    <t>RSPI.PK</t>
  </si>
  <si>
    <t>GRAN.OQ</t>
  </si>
  <si>
    <t>ABNB.OQ</t>
  </si>
  <si>
    <t>MCK.N</t>
  </si>
  <si>
    <t>SHMD.OQ</t>
  </si>
  <si>
    <t>CBZ.N</t>
  </si>
  <si>
    <t>IMUX.OQ</t>
  </si>
  <si>
    <t>ILLR.OQ</t>
  </si>
  <si>
    <t>FRPT.OQ</t>
  </si>
  <si>
    <t>YDDL.OQ</t>
  </si>
  <si>
    <t>UPWK.OQ</t>
  </si>
  <si>
    <t>BIMI.PK</t>
  </si>
  <si>
    <t>CR.N</t>
  </si>
  <si>
    <t>WST.N</t>
  </si>
  <si>
    <t>ULS.N</t>
  </si>
  <si>
    <t>EQIX.OQ</t>
  </si>
  <si>
    <t>MAR.OQ</t>
  </si>
  <si>
    <t>KLAC.OQ</t>
  </si>
  <si>
    <t>BMI.N</t>
  </si>
  <si>
    <t>BKTI.A</t>
  </si>
  <si>
    <t>GLRI.PK</t>
  </si>
  <si>
    <t>EW.N</t>
  </si>
  <si>
    <t>DELL.N</t>
  </si>
  <si>
    <t>GLW.N</t>
  </si>
  <si>
    <t>RAFI.PK</t>
  </si>
  <si>
    <t>FAST.OQ</t>
  </si>
  <si>
    <t>OMF.N</t>
  </si>
  <si>
    <t>MSGE.N</t>
  </si>
  <si>
    <t>NXDT.N</t>
  </si>
  <si>
    <t>ONCSQ.PK</t>
  </si>
  <si>
    <t>ACMTA.PK</t>
  </si>
  <si>
    <t>ROK.N</t>
  </si>
  <si>
    <t>EXPO.OQ</t>
  </si>
  <si>
    <t>TWO.N</t>
  </si>
  <si>
    <t>FTNT.OQ</t>
  </si>
  <si>
    <t>STVN.N</t>
  </si>
  <si>
    <t>DXCM.OQ</t>
  </si>
  <si>
    <t>AXP.N</t>
  </si>
  <si>
    <t>WWD.OQ</t>
  </si>
  <si>
    <t>KW.N</t>
  </si>
  <si>
    <t>JOE.N</t>
  </si>
  <si>
    <t>TPTW.PK</t>
  </si>
  <si>
    <t>EXTR.OQ</t>
  </si>
  <si>
    <t>HVCW.PK</t>
  </si>
  <si>
    <t>NOVT.OQ</t>
  </si>
  <si>
    <t>ACA.N</t>
  </si>
  <si>
    <t>AAON.OQ</t>
  </si>
  <si>
    <t>CELU.OQ</t>
  </si>
  <si>
    <t>SHAK.N</t>
  </si>
  <si>
    <t>DZSIQ.PK</t>
  </si>
  <si>
    <t>TRNO.N</t>
  </si>
  <si>
    <t>BOC.N</t>
  </si>
  <si>
    <t>MNKD.OQ</t>
  </si>
  <si>
    <t>OWL.N</t>
  </si>
  <si>
    <t>GOLQ.PK</t>
  </si>
  <si>
    <t>SPXC.N</t>
  </si>
  <si>
    <t>JEF.N</t>
  </si>
  <si>
    <t>RXO.N</t>
  </si>
  <si>
    <t>NVT.N</t>
  </si>
  <si>
    <t>WOR.N</t>
  </si>
  <si>
    <t>PTRN.OQ</t>
  </si>
  <si>
    <t>RITM.N</t>
  </si>
  <si>
    <t>ESE.N</t>
  </si>
  <si>
    <t>COCO.OQ</t>
  </si>
  <si>
    <t>HUNTF.PK</t>
  </si>
  <si>
    <t>FMCC.PK</t>
  </si>
  <si>
    <t>SLP.OQ</t>
  </si>
  <si>
    <t>LGN.OQ</t>
  </si>
  <si>
    <t>VIAV.OQ</t>
  </si>
  <si>
    <t>ADAPY.PK</t>
  </si>
  <si>
    <t>HLT.N</t>
  </si>
  <si>
    <t>ASPS.OQ</t>
  </si>
  <si>
    <t>WLDN.OQ</t>
  </si>
  <si>
    <t>MNST.OQ</t>
  </si>
  <si>
    <t>TATT.OQ</t>
  </si>
  <si>
    <t>RBC.N</t>
  </si>
  <si>
    <t>MCD.N</t>
  </si>
  <si>
    <t>CBIO.OQ</t>
  </si>
  <si>
    <t>ENPH.OQ</t>
  </si>
  <si>
    <t>GNE.N</t>
  </si>
  <si>
    <t>VIAOY.PK</t>
  </si>
  <si>
    <t>FLST.PK</t>
  </si>
  <si>
    <t>FLSS.PK</t>
  </si>
  <si>
    <t>HNST.OQ</t>
  </si>
  <si>
    <t>DLR.N</t>
  </si>
  <si>
    <t>CRNC.OQ</t>
  </si>
  <si>
    <t>NSSC.OQ</t>
  </si>
  <si>
    <t>CDE.N</t>
  </si>
  <si>
    <t>LRCX.OQ</t>
  </si>
  <si>
    <t>ORCL.N</t>
  </si>
  <si>
    <t>INFA.N</t>
  </si>
  <si>
    <t>SWWI.PK</t>
  </si>
  <si>
    <t>FWRD.OQ</t>
  </si>
  <si>
    <t>ENDI.PK</t>
  </si>
  <si>
    <t>RENT.OQ</t>
  </si>
  <si>
    <t>AHR.N</t>
  </si>
  <si>
    <t>YJGJ.PK</t>
  </si>
  <si>
    <t>COST.OQ</t>
  </si>
  <si>
    <t>BBIG.PK</t>
  </si>
  <si>
    <t>GRPN.OQ</t>
  </si>
  <si>
    <t>SKYT.OQ</t>
  </si>
  <si>
    <t>AGILQ.PK</t>
  </si>
  <si>
    <t>CHGG.N</t>
  </si>
  <si>
    <t>ORLY.OQ</t>
  </si>
  <si>
    <t>MQ.OQ</t>
  </si>
  <si>
    <t>SCOO.PK</t>
  </si>
  <si>
    <t>INEO.OQ</t>
  </si>
  <si>
    <t>BSX.N</t>
  </si>
  <si>
    <t>INTU.OQ</t>
  </si>
  <si>
    <t>GSHD.OQ</t>
  </si>
  <si>
    <t>FLWS.OQ</t>
  </si>
  <si>
    <t>TYGO.OQ</t>
  </si>
  <si>
    <t>MEDP.OQ</t>
  </si>
  <si>
    <t>PFX.OQ</t>
  </si>
  <si>
    <t>XNET.OQ</t>
  </si>
  <si>
    <t>TGRO.PK</t>
  </si>
  <si>
    <t>WINA.OQ</t>
  </si>
  <si>
    <t>RDCM.OQ</t>
  </si>
  <si>
    <t>GHM.N</t>
  </si>
  <si>
    <t>ENZN.PK</t>
  </si>
  <si>
    <t>PLX.A</t>
  </si>
  <si>
    <t>PKE.N</t>
  </si>
  <si>
    <t>LHSW.OQ</t>
  </si>
  <si>
    <t>CPRI.N</t>
  </si>
  <si>
    <t>PCSA.OQ</t>
  </si>
  <si>
    <t>CTRE.N</t>
  </si>
  <si>
    <t>MSCI.N</t>
  </si>
  <si>
    <t>ELF.N</t>
  </si>
  <si>
    <t>ACAD.OQ</t>
  </si>
  <si>
    <t>MYRG.OQ</t>
  </si>
  <si>
    <t>CQP.N</t>
  </si>
  <si>
    <t>LZ.OQ</t>
  </si>
  <si>
    <t>BWMN.OQ</t>
  </si>
  <si>
    <t>PRPH.OQ</t>
  </si>
  <si>
    <t>TKO.N</t>
  </si>
  <si>
    <t>LMAT.OQ</t>
  </si>
  <si>
    <t>MALG.PK</t>
  </si>
  <si>
    <t>ROAD.OQ</t>
  </si>
  <si>
    <t>ACNT.OQ</t>
  </si>
  <si>
    <t>ERII.OQ</t>
  </si>
  <si>
    <t>GCMG.OQ</t>
  </si>
  <si>
    <t>COIN.OQ</t>
  </si>
  <si>
    <t>DAY.N</t>
  </si>
  <si>
    <t>MCHP.OQ</t>
  </si>
  <si>
    <t>GENNQ.PK</t>
  </si>
  <si>
    <t>SSUP.PK</t>
  </si>
  <si>
    <t>PWR.N</t>
  </si>
  <si>
    <t>ACON.OQ</t>
  </si>
  <si>
    <t>EXE.OQ</t>
  </si>
  <si>
    <t>CW.N</t>
  </si>
  <si>
    <t>SNEX.OQ</t>
  </si>
  <si>
    <t>JEWL.PK</t>
  </si>
  <si>
    <t>HBIO.OQ</t>
  </si>
  <si>
    <t>FWONA.OQ</t>
  </si>
  <si>
    <t>CGEH.PK</t>
  </si>
  <si>
    <t>FBRT.N</t>
  </si>
  <si>
    <t>JZXN.OQ</t>
  </si>
  <si>
    <t>MMMM.PK</t>
  </si>
  <si>
    <t>INTC.OQ</t>
  </si>
  <si>
    <t>IBKR.OQ</t>
  </si>
  <si>
    <t>ALTO.OQ</t>
  </si>
  <si>
    <t>MELI.OQ</t>
  </si>
  <si>
    <t>NNI.N</t>
  </si>
  <si>
    <t>TPL.N</t>
  </si>
  <si>
    <t>CSTL.OQ</t>
  </si>
  <si>
    <t>VSEC.OQ</t>
  </si>
  <si>
    <t>SKPI.PK</t>
  </si>
  <si>
    <t>CPBI.OQ</t>
  </si>
  <si>
    <t>CCOI.OQ</t>
  </si>
  <si>
    <t>STRL.OQ</t>
  </si>
  <si>
    <t>OSCR.N</t>
  </si>
  <si>
    <t>PTC.OQ</t>
  </si>
  <si>
    <t>MO.N</t>
  </si>
  <si>
    <t>IVFH.PK</t>
  </si>
  <si>
    <t>MANH.OQ</t>
  </si>
  <si>
    <t>GYRE.OQ</t>
  </si>
  <si>
    <t>ONON.N</t>
  </si>
  <si>
    <t>ROL.N</t>
  </si>
  <si>
    <t>WWOK.PK</t>
  </si>
  <si>
    <t>ANIP.OQ</t>
  </si>
  <si>
    <t>CXM.N</t>
  </si>
  <si>
    <t>LDDD.PK</t>
  </si>
  <si>
    <t>ATRO.OQ</t>
  </si>
  <si>
    <t>SYEV.PK</t>
  </si>
  <si>
    <t>TEM.OQ</t>
  </si>
  <si>
    <t>HGTY.N</t>
  </si>
  <si>
    <t>NU.N</t>
  </si>
  <si>
    <t>FIX.N</t>
  </si>
  <si>
    <t>PCOK.PK</t>
  </si>
  <si>
    <t>CXDO.OQ</t>
  </si>
  <si>
    <t>FZMD.PK</t>
  </si>
  <si>
    <t>DOCU.OQ</t>
  </si>
  <si>
    <t>BOX.N</t>
  </si>
  <si>
    <t>DCAC.PK</t>
  </si>
  <si>
    <t>LBRDA.OQ</t>
  </si>
  <si>
    <t>SLSN.OQ</t>
  </si>
  <si>
    <t>SRBK.OQ</t>
  </si>
  <si>
    <t>AIRS.OQ</t>
  </si>
  <si>
    <t>ABR.N</t>
  </si>
  <si>
    <t>AORT.N</t>
  </si>
  <si>
    <t>TLN.OQ</t>
  </si>
  <si>
    <t>SRRE.PK</t>
  </si>
  <si>
    <t>TIC.N</t>
  </si>
  <si>
    <t>BIOQ.PK</t>
  </si>
  <si>
    <t>MULG.PK</t>
  </si>
  <si>
    <t>AVBC.N</t>
  </si>
  <si>
    <t>CECO.OQ</t>
  </si>
  <si>
    <t>MSWV.PK</t>
  </si>
  <si>
    <t>UNIR.PK</t>
  </si>
  <si>
    <t>FIP.OQ</t>
  </si>
  <si>
    <t>PRFX.OQ</t>
  </si>
  <si>
    <t>SNPS.OQ</t>
  </si>
  <si>
    <t>KODK.N</t>
  </si>
  <si>
    <t>LYRA.OQ</t>
  </si>
  <si>
    <t>FTK.N</t>
  </si>
  <si>
    <t>ADSK.OQ</t>
  </si>
  <si>
    <t>LZMH.OQ</t>
  </si>
  <si>
    <t>LFT.N</t>
  </si>
  <si>
    <t>SOTK.OQ</t>
  </si>
  <si>
    <t>SHLS.OQ</t>
  </si>
  <si>
    <t>VERX.OQ</t>
  </si>
  <si>
    <t>MS.N</t>
  </si>
  <si>
    <t>UBER.N</t>
  </si>
  <si>
    <t>MDLM.PK</t>
  </si>
  <si>
    <t>HEI.N</t>
  </si>
  <si>
    <t>SVUHF.PK</t>
  </si>
  <si>
    <t>PMNT.A</t>
  </si>
  <si>
    <t>BOMO.PK</t>
  </si>
  <si>
    <t>USIO.OQ</t>
  </si>
  <si>
    <t>HPMM.PK</t>
  </si>
  <si>
    <t>QTTB.OQ</t>
  </si>
  <si>
    <t>SYNA.OQ</t>
  </si>
  <si>
    <t>CASS.OQ</t>
  </si>
  <si>
    <t>SPDC.PK</t>
  </si>
  <si>
    <t>JYNT.OQ</t>
  </si>
  <si>
    <t>IVP.OQ</t>
  </si>
  <si>
    <t>KLDO.PK</t>
  </si>
  <si>
    <t>RDVT.OQ</t>
  </si>
  <si>
    <t>FTAI.OQ</t>
  </si>
  <si>
    <t>RKT.N</t>
  </si>
  <si>
    <t>SNDA.N</t>
  </si>
  <si>
    <t>PRPS.PK</t>
  </si>
  <si>
    <t>POWI.OQ</t>
  </si>
  <si>
    <t>BGMD.PK</t>
  </si>
  <si>
    <t>BSY.OQ</t>
  </si>
  <si>
    <t>MIR.N</t>
  </si>
  <si>
    <t>ESGH.PK</t>
  </si>
  <si>
    <t>CHH.N</t>
  </si>
  <si>
    <t>WYGC.PK</t>
  </si>
  <si>
    <t>ASYS.OQ</t>
  </si>
  <si>
    <t>RNGE.PK</t>
  </si>
  <si>
    <t>IPGP.OQ</t>
  </si>
  <si>
    <t>DWSN.OQ</t>
  </si>
  <si>
    <t>TER.OQ</t>
  </si>
  <si>
    <t>NKLAQ.PK</t>
  </si>
  <si>
    <t>TTD.OQ</t>
  </si>
  <si>
    <t>CGNT.OQ</t>
  </si>
  <si>
    <t>ALH.N</t>
  </si>
  <si>
    <t>ARQ.OQ</t>
  </si>
  <si>
    <t>CLNE.OQ</t>
  </si>
  <si>
    <t>IDR.A</t>
  </si>
  <si>
    <t>ACCL.OQ</t>
  </si>
  <si>
    <t>VMEO.OQ</t>
  </si>
  <si>
    <t>HWM.N</t>
  </si>
  <si>
    <t>IDXX.OQ</t>
  </si>
  <si>
    <t>WING.OQ</t>
  </si>
  <si>
    <t>BCDA.OQ</t>
  </si>
  <si>
    <t>BROS.N</t>
  </si>
  <si>
    <t>OSTX.A</t>
  </si>
  <si>
    <t>EDHL.OQ</t>
  </si>
  <si>
    <t>APH.N</t>
  </si>
  <si>
    <t>CHYL.PK</t>
  </si>
  <si>
    <t>NYC.N</t>
  </si>
  <si>
    <t>BRCB.OQ</t>
  </si>
  <si>
    <t>STX.OQ</t>
  </si>
  <si>
    <t>TYL.N</t>
  </si>
  <si>
    <t>IRMD.OQ</t>
  </si>
  <si>
    <t>SEMR.N</t>
  </si>
  <si>
    <t>NEXI.PK</t>
  </si>
  <si>
    <t>BCAL.OQ</t>
  </si>
  <si>
    <t>AQB.OQ</t>
  </si>
  <si>
    <t>SJT.N</t>
  </si>
  <si>
    <t>LLY.N</t>
  </si>
  <si>
    <t>CAMT.OQ</t>
  </si>
  <si>
    <t>BWXT.N</t>
  </si>
  <si>
    <t>FN.N</t>
  </si>
  <si>
    <t>BYRN.OQ</t>
  </si>
  <si>
    <t>RAMP.N</t>
  </si>
  <si>
    <t>GE.N</t>
  </si>
  <si>
    <t>BKV.N</t>
  </si>
  <si>
    <t>CGNX.OQ</t>
  </si>
  <si>
    <t>SCHW.N</t>
  </si>
  <si>
    <t>VALU.OQ</t>
  </si>
  <si>
    <t>WYY.A</t>
  </si>
  <si>
    <t>OFIX.OQ</t>
  </si>
  <si>
    <t>LFST.OQ</t>
  </si>
  <si>
    <t>GDYN.OQ</t>
  </si>
  <si>
    <t>ACCS.A</t>
  </si>
  <si>
    <t>DTRK.PK</t>
  </si>
  <si>
    <t>ZDGE.A</t>
  </si>
  <si>
    <t>AGX.N</t>
  </si>
  <si>
    <t>HTCO.OQ</t>
  </si>
  <si>
    <t>TSSI.OQ</t>
  </si>
  <si>
    <t>SYRS.PK</t>
  </si>
  <si>
    <t>LNZA.OQ</t>
  </si>
  <si>
    <t>CDRO.OQ</t>
  </si>
  <si>
    <t>KMX.N</t>
  </si>
  <si>
    <t>DXYN.PK</t>
  </si>
  <si>
    <t>BL.OQ</t>
  </si>
  <si>
    <t>DOCS.N</t>
  </si>
  <si>
    <t>PBF.N</t>
  </si>
  <si>
    <t>MAYS.OQ</t>
  </si>
  <si>
    <t>CHWY.N</t>
  </si>
  <si>
    <t>AZTA.OQ</t>
  </si>
  <si>
    <t>NVMI.OQ</t>
  </si>
  <si>
    <t>TRVG.OQ</t>
  </si>
  <si>
    <t>SNDK.OQ</t>
  </si>
  <si>
    <t>WELL.N</t>
  </si>
  <si>
    <t>ARES.N</t>
  </si>
  <si>
    <t>BSET.OQ</t>
  </si>
  <si>
    <t>BIOLQ.PK</t>
  </si>
  <si>
    <t>EXPI.OQ</t>
  </si>
  <si>
    <t>MSBB.PK</t>
  </si>
  <si>
    <t>CAVA.N</t>
  </si>
  <si>
    <t>KRYS.OQ</t>
  </si>
  <si>
    <t>GLNG.OQ</t>
  </si>
  <si>
    <t>MYRX.PK</t>
  </si>
  <si>
    <t>UI.N</t>
  </si>
  <si>
    <t>KLDI.PK</t>
  </si>
  <si>
    <t>AUPH.OQ</t>
  </si>
  <si>
    <t>STUB.N</t>
  </si>
  <si>
    <t>ETCIA.PK</t>
  </si>
  <si>
    <t>RMBS.OQ</t>
  </si>
  <si>
    <t>MTCH.OQ</t>
  </si>
  <si>
    <t>CCJ.N</t>
  </si>
  <si>
    <t>PAY.N</t>
  </si>
  <si>
    <t>NVDA.OQ</t>
  </si>
  <si>
    <t>LOAR.N</t>
  </si>
  <si>
    <t>INSP.N</t>
  </si>
  <si>
    <t>NP.N</t>
  </si>
  <si>
    <t>FORM.OQ</t>
  </si>
  <si>
    <t>APLM.OQ</t>
  </si>
  <si>
    <t>VINC.PK</t>
  </si>
  <si>
    <t>HBI.N</t>
  </si>
  <si>
    <t>AFRM.OQ</t>
  </si>
  <si>
    <t>MAMA.OQ</t>
  </si>
  <si>
    <t>MUX.N</t>
  </si>
  <si>
    <t>QTTOY.PK</t>
  </si>
  <si>
    <t>CVLT.OQ</t>
  </si>
  <si>
    <t>CVNA.N</t>
  </si>
  <si>
    <t>GS.N</t>
  </si>
  <si>
    <t>VNTG.A</t>
  </si>
  <si>
    <t>CDNS.OQ</t>
  </si>
  <si>
    <t>SNAX.PK</t>
  </si>
  <si>
    <t>GFOO.PK</t>
  </si>
  <si>
    <t>SKBL.OQ</t>
  </si>
  <si>
    <t>HGPI.PK</t>
  </si>
  <si>
    <t>MRCY.OQ</t>
  </si>
  <si>
    <t>CRWV.OQ</t>
  </si>
  <si>
    <t>ANET.N</t>
  </si>
  <si>
    <t>PODD.OQ</t>
  </si>
  <si>
    <t>PEGA.OQ</t>
  </si>
  <si>
    <t>AEIS.OQ</t>
  </si>
  <si>
    <t>CORT.OQ</t>
  </si>
  <si>
    <t>CZOOF.PK</t>
  </si>
  <si>
    <t>MTD.N</t>
  </si>
  <si>
    <t>APPF.OQ</t>
  </si>
  <si>
    <t>DT.N</t>
  </si>
  <si>
    <t>SRDX.OQ</t>
  </si>
  <si>
    <t>WYFI.OQ</t>
  </si>
  <si>
    <t>MASI.OQ</t>
  </si>
  <si>
    <t>ELLO.A</t>
  </si>
  <si>
    <t>BNAI.OQ</t>
  </si>
  <si>
    <t>CLBT.OQ</t>
  </si>
  <si>
    <t>RSI.N</t>
  </si>
  <si>
    <t>CORZ.OQ</t>
  </si>
  <si>
    <t>RELV.PK</t>
  </si>
  <si>
    <t>ABL.OQ</t>
  </si>
  <si>
    <t>WFF.OQ</t>
  </si>
  <si>
    <t>HOUR.OQ</t>
  </si>
  <si>
    <t>VRT.N</t>
  </si>
  <si>
    <t>OVIT.PK</t>
  </si>
  <si>
    <t>TLRY.OQ</t>
  </si>
  <si>
    <t>PRM.N</t>
  </si>
  <si>
    <t>SHPH.OQ</t>
  </si>
  <si>
    <t>ICCC.OQ</t>
  </si>
  <si>
    <t>YEXT.N</t>
  </si>
  <si>
    <t>FLNC.OQ</t>
  </si>
  <si>
    <t>CPNG.N</t>
  </si>
  <si>
    <t>PMEC.OQ</t>
  </si>
  <si>
    <t>EWSB.PK</t>
  </si>
  <si>
    <t>RCEL.OQ</t>
  </si>
  <si>
    <t>OPGN.PK</t>
  </si>
  <si>
    <t>LGND.OQ</t>
  </si>
  <si>
    <t>VEEV.N</t>
  </si>
  <si>
    <t>RMTG.PK</t>
  </si>
  <si>
    <t>RANI.OQ</t>
  </si>
  <si>
    <t>UPIN.PK</t>
  </si>
  <si>
    <t>INOD.OQ</t>
  </si>
  <si>
    <t>WIX.OQ</t>
  </si>
  <si>
    <t>SMTC.OQ</t>
  </si>
  <si>
    <t>HROW.OQ</t>
  </si>
  <si>
    <t>ISRG.OQ</t>
  </si>
  <si>
    <t>PINS.N</t>
  </si>
  <si>
    <t>AERG.PK</t>
  </si>
  <si>
    <t>CIM.N</t>
  </si>
  <si>
    <t>MI.A</t>
  </si>
  <si>
    <t>ACR.N</t>
  </si>
  <si>
    <t>AVGO.OQ</t>
  </si>
  <si>
    <t>GEV.N</t>
  </si>
  <si>
    <t>EGAN.OQ</t>
  </si>
  <si>
    <t>FOLD.OQ</t>
  </si>
  <si>
    <t>NOTV.OQ</t>
  </si>
  <si>
    <t>INIS.PK</t>
  </si>
  <si>
    <t>PAVM.OQ</t>
  </si>
  <si>
    <t>ONEG.OQ</t>
  </si>
  <si>
    <t>PEN.N</t>
  </si>
  <si>
    <t>TAL.N</t>
  </si>
  <si>
    <t>ELSE.OQ</t>
  </si>
  <si>
    <t>WDAY.OQ</t>
  </si>
  <si>
    <t>FTWS.PK</t>
  </si>
  <si>
    <t>GSAT.OQ</t>
  </si>
  <si>
    <t>LVO.OQ</t>
  </si>
  <si>
    <t>LSCC.OQ</t>
  </si>
  <si>
    <t>PRVA.OQ</t>
  </si>
  <si>
    <t>TMDX.OQ</t>
  </si>
  <si>
    <t>DAVE.OQ</t>
  </si>
  <si>
    <t>CHMI.N</t>
  </si>
  <si>
    <t>OOMA.N</t>
  </si>
  <si>
    <t>ARL.N</t>
  </si>
  <si>
    <t>VCYT.OQ</t>
  </si>
  <si>
    <t>SER.A</t>
  </si>
  <si>
    <t>TTWO.OQ</t>
  </si>
  <si>
    <t>SPRU.N</t>
  </si>
  <si>
    <t>NTNX.OQ</t>
  </si>
  <si>
    <t>MPWR.OQ</t>
  </si>
  <si>
    <t>AMD.OQ</t>
  </si>
  <si>
    <t>SPOT.N</t>
  </si>
  <si>
    <t>MTSI.OQ</t>
  </si>
  <si>
    <t>MFA.N</t>
  </si>
  <si>
    <t>MRVL.OQ</t>
  </si>
  <si>
    <t>NBRVF.PK</t>
  </si>
  <si>
    <t>TPCS.OQ</t>
  </si>
  <si>
    <t>LC.N</t>
  </si>
  <si>
    <t>APP.OQ</t>
  </si>
  <si>
    <t>BMNM.PK</t>
  </si>
  <si>
    <t>HRSR.PK</t>
  </si>
  <si>
    <t>NMTRQ.PK</t>
  </si>
  <si>
    <t>ADTN.OQ</t>
  </si>
  <si>
    <t>ESGL.OQ</t>
  </si>
  <si>
    <t>FENC.OQ</t>
  </si>
  <si>
    <t>CIEN.N</t>
  </si>
  <si>
    <t>TCI.N</t>
  </si>
  <si>
    <t>DK.N</t>
  </si>
  <si>
    <t>PANW.OQ</t>
  </si>
  <si>
    <t>ALLT.OQ</t>
  </si>
  <si>
    <t>KRUS.OQ</t>
  </si>
  <si>
    <t>VERO.OQ</t>
  </si>
  <si>
    <t>NOW.N</t>
  </si>
  <si>
    <t>SE.N</t>
  </si>
  <si>
    <t>FIGR.OQ</t>
  </si>
  <si>
    <t>SONO.OQ</t>
  </si>
  <si>
    <t>RGEN.OQ</t>
  </si>
  <si>
    <t>HTZ.OQ</t>
  </si>
  <si>
    <t>EUBG.PK</t>
  </si>
  <si>
    <t>TDF.N</t>
  </si>
  <si>
    <t>BALY.N</t>
  </si>
  <si>
    <t>INCY.OQ</t>
  </si>
  <si>
    <t>GPRE.OQ</t>
  </si>
  <si>
    <t>CISO.OQ</t>
  </si>
  <si>
    <t>NLY.N</t>
  </si>
  <si>
    <t>RITE.PK</t>
  </si>
  <si>
    <t>AFRI.OQ</t>
  </si>
  <si>
    <t>LEU.A</t>
  </si>
  <si>
    <t>AGYS.OQ</t>
  </si>
  <si>
    <t>AHMA.OQ</t>
  </si>
  <si>
    <t>GRF.A</t>
  </si>
  <si>
    <t>RDI.OQ</t>
  </si>
  <si>
    <t>TENB.OQ</t>
  </si>
  <si>
    <t>NCNO.OQ</t>
  </si>
  <si>
    <t>CASI.OQ</t>
  </si>
  <si>
    <t>HIT.OQ</t>
  </si>
  <si>
    <t>WRAP.OQ</t>
  </si>
  <si>
    <t>AGNC.OQ</t>
  </si>
  <si>
    <t>CTEV.N</t>
  </si>
  <si>
    <t>CMRF.PK</t>
  </si>
  <si>
    <t>KRMN.N</t>
  </si>
  <si>
    <t>GHI.N</t>
  </si>
  <si>
    <t>QTWO.N</t>
  </si>
  <si>
    <t>VICR.OQ</t>
  </si>
  <si>
    <t>CNF.N</t>
  </si>
  <si>
    <t>FLYW.OQ</t>
  </si>
  <si>
    <t>AOMR.N</t>
  </si>
  <si>
    <t>NEOM.PK</t>
  </si>
  <si>
    <t>KFS.N</t>
  </si>
  <si>
    <t>TWLO.N</t>
  </si>
  <si>
    <t>TISI.N</t>
  </si>
  <si>
    <t>HIMS.N</t>
  </si>
  <si>
    <t>HOOD.OQ</t>
  </si>
  <si>
    <t>CRCL.N</t>
  </si>
  <si>
    <t>RDWR.OQ</t>
  </si>
  <si>
    <t>TGTX.OQ</t>
  </si>
  <si>
    <t>FRLI.PK</t>
  </si>
  <si>
    <t>TSLA.OQ</t>
  </si>
  <si>
    <t>ALGM.OQ</t>
  </si>
  <si>
    <t>AGM.N</t>
  </si>
  <si>
    <t>GREE.OQ</t>
  </si>
  <si>
    <t>PTAM.PK</t>
  </si>
  <si>
    <t>BOTY.PK</t>
  </si>
  <si>
    <t>NREF.N</t>
  </si>
  <si>
    <t>GAM.N</t>
  </si>
  <si>
    <t>SAGD.PK</t>
  </si>
  <si>
    <t>DASH.OQ</t>
  </si>
  <si>
    <t>NOVAQ.PK</t>
  </si>
  <si>
    <t>TPG.OQ</t>
  </si>
  <si>
    <t>HDII.PK</t>
  </si>
  <si>
    <t>NPT.OQ</t>
  </si>
  <si>
    <t>FIGS.N</t>
  </si>
  <si>
    <t>APLD.OQ</t>
  </si>
  <si>
    <t>MNTN.N</t>
  </si>
  <si>
    <t>PDFS.OQ</t>
  </si>
  <si>
    <t>DJCO.OQ</t>
  </si>
  <si>
    <t>WRBY.N</t>
  </si>
  <si>
    <t>ARAT.PK</t>
  </si>
  <si>
    <t>PSTG.N</t>
  </si>
  <si>
    <t>VSBC.PK</t>
  </si>
  <si>
    <t>TAIT.OQ</t>
  </si>
  <si>
    <t>BATRA.OQ</t>
  </si>
  <si>
    <t>MLKKF.PK</t>
  </si>
  <si>
    <t>TZOO.OQ</t>
  </si>
  <si>
    <t>TRUP.OQ</t>
  </si>
  <si>
    <t>KKR.N</t>
  </si>
  <si>
    <t>DUOL.OQ</t>
  </si>
  <si>
    <t>LHAI.OQ</t>
  </si>
  <si>
    <t>CWAN.N</t>
  </si>
  <si>
    <t>BRID.OQ</t>
  </si>
  <si>
    <t>KREF.N</t>
  </si>
  <si>
    <t>MGRT.OQ</t>
  </si>
  <si>
    <t>RWT.N</t>
  </si>
  <si>
    <t>ORC.N</t>
  </si>
  <si>
    <t>CTNR.PK</t>
  </si>
  <si>
    <t>ARM.OQ</t>
  </si>
  <si>
    <t>ENRT.PK</t>
  </si>
  <si>
    <t>CSGP.OQ</t>
  </si>
  <si>
    <t>GETR.PK</t>
  </si>
  <si>
    <t>MIAX.N</t>
  </si>
  <si>
    <t>AVAV.OQ</t>
  </si>
  <si>
    <t>LOOP.OQ</t>
  </si>
  <si>
    <t>KTOS.OQ</t>
  </si>
  <si>
    <t>LUD.A</t>
  </si>
  <si>
    <t>VCEL.OQ</t>
  </si>
  <si>
    <t>FIVN.OQ</t>
  </si>
  <si>
    <t>STRS.OQ</t>
  </si>
  <si>
    <t>ERINQ.PK</t>
  </si>
  <si>
    <t>BTBT.OQ</t>
  </si>
  <si>
    <t>MITT.N</t>
  </si>
  <si>
    <t>SHOP.OQ</t>
  </si>
  <si>
    <t>TOST.N</t>
  </si>
  <si>
    <t>CDIIQ.PK</t>
  </si>
  <si>
    <t>CMLS.PK</t>
  </si>
  <si>
    <t>AOREF.PK</t>
  </si>
  <si>
    <t>HSCS.OQ</t>
  </si>
  <si>
    <t>BHM.A</t>
  </si>
  <si>
    <t>STPJF.PK</t>
  </si>
  <si>
    <t>ANTA.OQ</t>
  </si>
  <si>
    <t>HKD.N</t>
  </si>
  <si>
    <t>JAMF.OQ</t>
  </si>
  <si>
    <t>FNMA.PK</t>
  </si>
  <si>
    <t>CSHEF.PK</t>
  </si>
  <si>
    <t>LITE.OQ</t>
  </si>
  <si>
    <t>CANN.PK</t>
  </si>
  <si>
    <t>ACMB.PK</t>
  </si>
  <si>
    <t>AVPT.OQ</t>
  </si>
  <si>
    <t>SPGX.PK</t>
  </si>
  <si>
    <t>CNCK.OQ</t>
  </si>
  <si>
    <t>AONC.PK</t>
  </si>
  <si>
    <t>NEO.OQ</t>
  </si>
  <si>
    <t>ADSV.PK</t>
  </si>
  <si>
    <t>GME.N</t>
  </si>
  <si>
    <t>ACV.N</t>
  </si>
  <si>
    <t>SMWB.N</t>
  </si>
  <si>
    <t>SAIL.OQ</t>
  </si>
  <si>
    <t>NBND.PK</t>
  </si>
  <si>
    <t>VHLD.PK</t>
  </si>
  <si>
    <t>ITNF.PK</t>
  </si>
  <si>
    <t>CALIQ.PK</t>
  </si>
  <si>
    <t>WEST.OQ</t>
  </si>
  <si>
    <t>GWRE.N</t>
  </si>
  <si>
    <t>EFTY.OQ</t>
  </si>
  <si>
    <t>SRSG.PK</t>
  </si>
  <si>
    <t>MSGS.N</t>
  </si>
  <si>
    <t>HASI.N</t>
  </si>
  <si>
    <t>IVR.N</t>
  </si>
  <si>
    <t>ANGO.OQ</t>
  </si>
  <si>
    <t>LYFT.OQ</t>
  </si>
  <si>
    <t>UPYY.PK</t>
  </si>
  <si>
    <t>AXGN.OQ</t>
  </si>
  <si>
    <t>BSAI.PK</t>
  </si>
  <si>
    <t>EPSM.OQ</t>
  </si>
  <si>
    <t>DVAX.OQ</t>
  </si>
  <si>
    <t>Z.OQ</t>
  </si>
  <si>
    <t>BZYR.PK</t>
  </si>
  <si>
    <t>CTMX.OQ</t>
  </si>
  <si>
    <t>AXON.OQ</t>
  </si>
  <si>
    <t>W.N</t>
  </si>
  <si>
    <t>MVST.OQ</t>
  </si>
  <si>
    <t>PLTS.OQ</t>
  </si>
  <si>
    <t>MVCO.PK</t>
  </si>
  <si>
    <t>BRVO.PK</t>
  </si>
  <si>
    <t>BE.N</t>
  </si>
  <si>
    <t>EXAS.OQ</t>
  </si>
  <si>
    <t>SKKY.PK</t>
  </si>
  <si>
    <t>OKTA.OQ</t>
  </si>
  <si>
    <t>CPSS.OQ</t>
  </si>
  <si>
    <t>SCGY.PK</t>
  </si>
  <si>
    <t>RDAR.PK</t>
  </si>
  <si>
    <t>AMSC.OQ</t>
  </si>
  <si>
    <t>LINUF.PK</t>
  </si>
  <si>
    <t>NNNN.OQ</t>
  </si>
  <si>
    <t>NXMH.PK</t>
  </si>
  <si>
    <t>HUBS.N</t>
  </si>
  <si>
    <t>CRDO.OQ</t>
  </si>
  <si>
    <t>BHIC.PK</t>
  </si>
  <si>
    <t>NAVI.OQ</t>
  </si>
  <si>
    <t>DDOG.OQ</t>
  </si>
  <si>
    <t>STWD.N</t>
  </si>
  <si>
    <t>MNDY.OQ</t>
  </si>
  <si>
    <t>BILL.N</t>
  </si>
  <si>
    <t>QUIK.OQ</t>
  </si>
  <si>
    <t>PI.OQ</t>
  </si>
  <si>
    <t>TGRR.PK</t>
  </si>
  <si>
    <t>BLFS.OQ</t>
  </si>
  <si>
    <t>PNPL.PK</t>
  </si>
  <si>
    <t>CRCW.PK</t>
  </si>
  <si>
    <t>NXGB.PK</t>
  </si>
  <si>
    <t>ACTU.OQ</t>
  </si>
  <si>
    <t>PLTR.OQ</t>
  </si>
  <si>
    <t>CRWD.OQ</t>
  </si>
  <si>
    <t>TACI.PK</t>
  </si>
  <si>
    <t>RAJAF.PK</t>
  </si>
  <si>
    <t>BKSY.N</t>
  </si>
  <si>
    <t>LGCB.OQ</t>
  </si>
  <si>
    <t>GDSI.PK</t>
  </si>
  <si>
    <t>GIPL.PK</t>
  </si>
  <si>
    <t>KGHI.PK</t>
  </si>
  <si>
    <t>GWIN.PK</t>
  </si>
  <si>
    <t>PASW.OQ</t>
  </si>
  <si>
    <t>BTGN.PK</t>
  </si>
  <si>
    <t>LB.N</t>
  </si>
  <si>
    <t>NUTR.OQ</t>
  </si>
  <si>
    <t>LIF.OQ</t>
  </si>
  <si>
    <t>AGH.OQ</t>
  </si>
  <si>
    <t>VGES.PK</t>
  </si>
  <si>
    <t>WULF.OQ</t>
  </si>
  <si>
    <t>TEUFF.PK</t>
  </si>
  <si>
    <t>BCRX.OQ</t>
  </si>
  <si>
    <t>PXED.N</t>
  </si>
  <si>
    <t>WGS.OQ</t>
  </si>
  <si>
    <t>AMMJ.PK</t>
  </si>
  <si>
    <t>CIFR.OQ</t>
  </si>
  <si>
    <t>Executive Summary</t>
  </si>
  <si>
    <t>ASSUMPTIONS</t>
  </si>
  <si>
    <t>Universe (tickers)</t>
  </si>
  <si>
    <t>Market cap covered (USD Trn)</t>
  </si>
  <si>
    <t>Median EV/EBITDA</t>
  </si>
  <si>
    <t>Top 10 (Composite Score)</t>
  </si>
  <si>
    <t>Bottom 10 (Composite Score)</t>
  </si>
  <si>
    <t>Instrument Viewer</t>
  </si>
  <si>
    <t>Select Instrument (RIC)</t>
  </si>
  <si>
    <t>WACC — Weighted Average Cost of Capital</t>
  </si>
  <si>
    <t>Risk-free rate (Rf)</t>
  </si>
  <si>
    <t>Equity risk premium (ERP)</t>
  </si>
  <si>
    <t>Beta</t>
  </si>
  <si>
    <t>Pre-tax cost of debt (Kd)</t>
  </si>
  <si>
    <t>Tax rate (T)</t>
  </si>
  <si>
    <t>Market Cap (Equity)</t>
  </si>
  <si>
    <t>Net Debt</t>
  </si>
  <si>
    <t>Total Capital</t>
  </si>
  <si>
    <t>Equity weight (We)</t>
  </si>
  <si>
    <t>Debt weight (Wd)</t>
  </si>
  <si>
    <t>Cost of Equity (Ke)</t>
  </si>
  <si>
    <t>After-tax Cost of Debt</t>
  </si>
  <si>
    <t>WACC</t>
  </si>
  <si>
    <t>Discounted Cash Flow (FCFF) — 5 Year + Terminal</t>
  </si>
  <si>
    <t>Base Revenue (Y0)</t>
  </si>
  <si>
    <t>Annual Revenue Growth</t>
  </si>
  <si>
    <t>Base EBITDA (Y0)</t>
  </si>
  <si>
    <t>EBITDA Margin (if blank, derive)</t>
  </si>
  <si>
    <t>Capex % of Revenue</t>
  </si>
  <si>
    <t>ΔNWC % of Revenue</t>
  </si>
  <si>
    <t>Terminal Growth (g)</t>
  </si>
  <si>
    <t>Tax Rate</t>
  </si>
  <si>
    <t>Year</t>
  </si>
  <si>
    <t>FCFF</t>
  </si>
  <si>
    <t>Disc.Factor</t>
  </si>
  <si>
    <t>PV FCFF</t>
  </si>
  <si>
    <t>Year 1</t>
  </si>
  <si>
    <t>Year 2</t>
  </si>
  <si>
    <t>Year 3</t>
  </si>
  <si>
    <t>Year 4</t>
  </si>
  <si>
    <t>Year 5</t>
  </si>
  <si>
    <t>Terminal Value (end of Y5)</t>
  </si>
  <si>
    <t>PV of Terminal</t>
  </si>
  <si>
    <t>Enterprise Value (DCF)</t>
  </si>
  <si>
    <t>Equity Value (DCF)</t>
  </si>
  <si>
    <t>Ranks &amp; Screen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</si>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</sst>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0.000"/>
    <numFmt numFmtId="167" formatCode="_([$$-409]* #,##0.00_);_([$$-409]* \(#,##0.00\);_([$$-409]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1F4E78"/>
      <name val="Calibri"/>
      <family val="2"/>
    </font>
    <font>
      <b/>
      <sz val="11"/>
      <color rgb="FFC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0F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1"/>
    <xf numFmtId="2" fontId="1" fillId="0" borderId="1"/>
    <xf numFmtId="44" fontId="7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0" borderId="2" xfId="0" applyBorder="1"/>
    <xf numFmtId="2" fontId="1" fillId="0" borderId="1" xfId="2"/>
    <xf numFmtId="164" fontId="1" fillId="0" borderId="1" xfId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0" fillId="3" borderId="2" xfId="0" applyFill="1" applyBorder="1"/>
    <xf numFmtId="0" fontId="0" fillId="4" borderId="2" xfId="0" applyFill="1" applyBorder="1"/>
    <xf numFmtId="164" fontId="0" fillId="4" borderId="2" xfId="0" applyNumberFormat="1" applyFill="1" applyBorder="1"/>
    <xf numFmtId="2" fontId="0" fillId="4" borderId="2" xfId="0" applyNumberFormat="1" applyFill="1" applyBorder="1"/>
    <xf numFmtId="10" fontId="0" fillId="4" borderId="2" xfId="0" applyNumberFormat="1" applyFill="1" applyBorder="1"/>
    <xf numFmtId="164" fontId="0" fillId="4" borderId="0" xfId="0" applyNumberFormat="1" applyFill="1"/>
    <xf numFmtId="10" fontId="0" fillId="4" borderId="0" xfId="0" applyNumberFormat="1" applyFill="1"/>
    <xf numFmtId="10" fontId="0" fillId="6" borderId="0" xfId="0" applyNumberFormat="1" applyFill="1"/>
    <xf numFmtId="0" fontId="0" fillId="6" borderId="0" xfId="0" applyFill="1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167" fontId="0" fillId="0" borderId="2" xfId="0" applyNumberFormat="1" applyBorder="1"/>
    <xf numFmtId="44" fontId="0" fillId="0" borderId="0" xfId="3" applyFont="1"/>
    <xf numFmtId="10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4" borderId="0" xfId="0" applyNumberFormat="1" applyFill="1" applyAlignment="1">
      <alignment horizontal="center"/>
    </xf>
    <xf numFmtId="10" fontId="0" fillId="4" borderId="0" xfId="0" applyNumberFormat="1" applyFill="1" applyAlignment="1">
      <alignment horizontal="center"/>
    </xf>
    <xf numFmtId="10" fontId="8" fillId="7" borderId="3" xfId="0" applyNumberFormat="1" applyFont="1" applyFill="1" applyBorder="1" applyAlignment="1">
      <alignment horizontal="center"/>
    </xf>
  </cellXfs>
  <cellStyles count="4">
    <cellStyle name="Currency" xfId="3" builtinId="4"/>
    <cellStyle name="Normal" xfId="0" builtinId="0"/>
    <cellStyle name="rat2" xfId="2" xr:uid="{00000000-0005-0000-0000-000002000000}"/>
    <cellStyle name="usd0" xfId="1" xr:uid="{00000000-0005-0000-0000-000001000000}"/>
  </cellStyles>
  <dxfs count="1">
    <dxf>
      <fill>
        <patternFill patternType="solid">
          <fgColor rgb="FFFFF0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88"/>
  <sheetViews>
    <sheetView showGridLines="0" workbookViewId="0">
      <pane ySplit="2" topLeftCell="A3" activePane="bottomLeft" state="frozen"/>
      <selection pane="bottomLeft" activeCell="N9" sqref="N9"/>
    </sheetView>
  </sheetViews>
  <sheetFormatPr defaultRowHeight="15" x14ac:dyDescent="0.25"/>
  <cols>
    <col min="1" max="14" width="16" customWidth="1"/>
  </cols>
  <sheetData>
    <row r="1" spans="1:14" ht="17.25" x14ac:dyDescent="0.3">
      <c r="A1" s="1" t="s">
        <v>5045</v>
      </c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 t="s">
        <v>14</v>
      </c>
      <c r="B3" s="4">
        <v>-31506.52</v>
      </c>
      <c r="C3" s="4">
        <v>0.95</v>
      </c>
      <c r="D3" s="4">
        <v>-4.25</v>
      </c>
      <c r="E3" s="4">
        <v>19.491539441808222</v>
      </c>
      <c r="F3" s="3">
        <v>1</v>
      </c>
      <c r="G3" s="3">
        <v>1</v>
      </c>
      <c r="H3" s="5">
        <v>68054363.650000006</v>
      </c>
      <c r="I3" s="5">
        <v>68054083.650000006</v>
      </c>
      <c r="J3" s="5">
        <v>0</v>
      </c>
      <c r="K3" s="5">
        <v>280</v>
      </c>
      <c r="L3" s="5">
        <v>0</v>
      </c>
      <c r="M3" s="5">
        <v>-2160</v>
      </c>
      <c r="N3" s="5">
        <v>-3060</v>
      </c>
    </row>
    <row r="4" spans="1:14" x14ac:dyDescent="0.25">
      <c r="A4" s="3" t="s">
        <v>15</v>
      </c>
      <c r="B4" s="4">
        <v>-21813.43</v>
      </c>
      <c r="C4" s="4">
        <v>-0.02</v>
      </c>
      <c r="D4" s="4">
        <v>-0.01</v>
      </c>
      <c r="E4" s="4">
        <v>13.49030188416824</v>
      </c>
      <c r="F4" s="3">
        <v>2</v>
      </c>
      <c r="G4" s="3">
        <v>1</v>
      </c>
      <c r="H4" s="5">
        <v>51273636569.699997</v>
      </c>
      <c r="I4" s="5">
        <v>50585340569.699997</v>
      </c>
      <c r="J4" s="5">
        <v>1700727000</v>
      </c>
      <c r="K4" s="5">
        <v>2389023000</v>
      </c>
      <c r="L4" s="5">
        <v>2673115000</v>
      </c>
      <c r="M4" s="5">
        <v>-2319000</v>
      </c>
      <c r="N4" s="5">
        <v>-41478000</v>
      </c>
    </row>
    <row r="5" spans="1:14" x14ac:dyDescent="0.25">
      <c r="A5" s="3" t="s">
        <v>16</v>
      </c>
      <c r="B5" s="4">
        <v>-20000.98</v>
      </c>
      <c r="C5" s="4">
        <v>-0.45</v>
      </c>
      <c r="D5" s="4">
        <v>-0.06</v>
      </c>
      <c r="E5" s="4">
        <v>12.367287227366919</v>
      </c>
      <c r="F5" s="3">
        <v>3</v>
      </c>
      <c r="G5" s="3">
        <v>1</v>
      </c>
      <c r="H5" s="5">
        <v>154207531.25</v>
      </c>
      <c r="I5" s="5">
        <v>154207531.25</v>
      </c>
      <c r="J5" s="5">
        <v>0</v>
      </c>
      <c r="K5" s="5">
        <v>0</v>
      </c>
      <c r="L5" s="5">
        <v>0</v>
      </c>
      <c r="M5" s="5">
        <v>-7710</v>
      </c>
      <c r="N5" s="5">
        <v>-7710</v>
      </c>
    </row>
    <row r="6" spans="1:14" x14ac:dyDescent="0.25">
      <c r="A6" s="3" t="s">
        <v>17</v>
      </c>
      <c r="B6" s="4">
        <v>-12025.77</v>
      </c>
      <c r="C6" s="4">
        <v>1</v>
      </c>
      <c r="D6" s="4">
        <v>-0.64</v>
      </c>
      <c r="E6" s="4">
        <v>7.4353434001036227</v>
      </c>
      <c r="F6" s="3">
        <v>4</v>
      </c>
      <c r="G6" s="3">
        <v>1</v>
      </c>
      <c r="H6" s="5">
        <v>274416670</v>
      </c>
      <c r="I6" s="5">
        <v>274428060</v>
      </c>
      <c r="J6" s="5">
        <v>11390</v>
      </c>
      <c r="K6" s="5">
        <v>0</v>
      </c>
      <c r="L6" s="5">
        <v>0</v>
      </c>
      <c r="M6" s="5">
        <v>-22820</v>
      </c>
      <c r="N6" s="5">
        <v>-22820</v>
      </c>
    </row>
    <row r="7" spans="1:14" x14ac:dyDescent="0.25">
      <c r="A7" s="3" t="s">
        <v>18</v>
      </c>
      <c r="B7" s="4">
        <v>-11530.93</v>
      </c>
      <c r="C7" s="4">
        <v>4.1100000000000003</v>
      </c>
      <c r="D7" s="4">
        <v>-1.86</v>
      </c>
      <c r="E7" s="4">
        <v>7.1378273159284831</v>
      </c>
      <c r="F7" s="3">
        <v>5</v>
      </c>
      <c r="G7" s="3">
        <v>1</v>
      </c>
      <c r="H7" s="5">
        <v>445450000</v>
      </c>
      <c r="I7" s="5">
        <v>445439660</v>
      </c>
      <c r="J7" s="5">
        <v>0</v>
      </c>
      <c r="K7" s="5">
        <v>10340</v>
      </c>
      <c r="L7" s="5">
        <v>25700</v>
      </c>
      <c r="M7" s="5">
        <v>-38630</v>
      </c>
      <c r="N7" s="5">
        <v>-39220</v>
      </c>
    </row>
    <row r="8" spans="1:14" x14ac:dyDescent="0.25">
      <c r="A8" s="3" t="s">
        <v>19</v>
      </c>
      <c r="B8" s="4">
        <v>-11439.7</v>
      </c>
      <c r="C8" s="4">
        <v>-0.69</v>
      </c>
      <c r="D8" s="4">
        <v>-0.02</v>
      </c>
      <c r="E8" s="4">
        <v>7.0678492018773671</v>
      </c>
      <c r="F8" s="3">
        <v>6</v>
      </c>
      <c r="G8" s="3">
        <v>1</v>
      </c>
      <c r="H8" s="5">
        <v>116152782</v>
      </c>
      <c r="I8" s="5">
        <v>116341782</v>
      </c>
      <c r="J8" s="5">
        <v>500000</v>
      </c>
      <c r="K8" s="5">
        <v>311000</v>
      </c>
      <c r="L8" s="5">
        <v>0</v>
      </c>
      <c r="M8" s="5">
        <v>-10170</v>
      </c>
      <c r="N8" s="5">
        <v>-10170</v>
      </c>
    </row>
    <row r="9" spans="1:14" x14ac:dyDescent="0.25">
      <c r="A9" s="3" t="s">
        <v>20</v>
      </c>
      <c r="B9" s="4">
        <v>-9616.94</v>
      </c>
      <c r="C9" s="4">
        <v>-0.23</v>
      </c>
      <c r="D9" s="4">
        <v>-0.08</v>
      </c>
      <c r="E9" s="4">
        <v>5.9410230760000804</v>
      </c>
      <c r="F9" s="3">
        <v>7</v>
      </c>
      <c r="G9" s="3">
        <v>1</v>
      </c>
      <c r="H9" s="5">
        <v>319496142.75999999</v>
      </c>
      <c r="I9" s="5">
        <v>605867142.75999999</v>
      </c>
      <c r="J9" s="5">
        <v>336229000</v>
      </c>
      <c r="K9" s="5">
        <v>49858000</v>
      </c>
      <c r="L9" s="5">
        <v>1195401000</v>
      </c>
      <c r="M9" s="5">
        <v>-63000</v>
      </c>
      <c r="N9" s="5">
        <v>-98255000</v>
      </c>
    </row>
    <row r="10" spans="1:14" x14ac:dyDescent="0.25">
      <c r="A10" s="3" t="s">
        <v>21</v>
      </c>
      <c r="B10" s="4">
        <v>-8401.4599999999991</v>
      </c>
      <c r="C10" s="4">
        <v>-0.81</v>
      </c>
      <c r="D10" s="4">
        <v>-0.45</v>
      </c>
      <c r="E10" s="4">
        <v>5.1869902987415024</v>
      </c>
      <c r="F10" s="3">
        <v>8</v>
      </c>
      <c r="G10" s="3">
        <v>1</v>
      </c>
      <c r="H10" s="5">
        <v>11794026770.139999</v>
      </c>
      <c r="I10" s="5">
        <v>11795152500.139999</v>
      </c>
      <c r="J10" s="5">
        <v>1625000</v>
      </c>
      <c r="K10" s="5">
        <v>499270</v>
      </c>
      <c r="L10" s="5">
        <v>3310350</v>
      </c>
      <c r="M10" s="5">
        <v>-1403940</v>
      </c>
      <c r="N10" s="5">
        <v>-3292500</v>
      </c>
    </row>
    <row r="11" spans="1:14" x14ac:dyDescent="0.25">
      <c r="A11" s="3" t="s">
        <v>22</v>
      </c>
      <c r="B11" s="4">
        <v>-7906.72</v>
      </c>
      <c r="C11" s="4">
        <v>1.37</v>
      </c>
      <c r="D11" s="4">
        <v>-8.27</v>
      </c>
      <c r="E11" s="4">
        <v>4.8855758436298364</v>
      </c>
      <c r="F11" s="3">
        <v>9</v>
      </c>
      <c r="G11" s="3">
        <v>1</v>
      </c>
      <c r="H11" s="5">
        <v>147697550</v>
      </c>
      <c r="I11" s="5">
        <v>147697550</v>
      </c>
      <c r="J11" s="5">
        <v>0</v>
      </c>
      <c r="K11" s="5">
        <v>0</v>
      </c>
      <c r="L11" s="5">
        <v>0</v>
      </c>
      <c r="M11" s="5">
        <v>-18680</v>
      </c>
      <c r="N11" s="5">
        <v>-18680</v>
      </c>
    </row>
    <row r="12" spans="1:14" x14ac:dyDescent="0.25">
      <c r="A12" s="3" t="s">
        <v>23</v>
      </c>
      <c r="B12" s="4">
        <v>-7402.72</v>
      </c>
      <c r="C12" s="4">
        <v>2.27</v>
      </c>
      <c r="D12" s="4">
        <v>-0.18</v>
      </c>
      <c r="E12" s="4">
        <v>4.5778008836296351</v>
      </c>
      <c r="F12" s="3">
        <v>10</v>
      </c>
      <c r="G12" s="3">
        <v>1</v>
      </c>
      <c r="H12" s="5">
        <v>331200000</v>
      </c>
      <c r="I12" s="5">
        <v>331197770</v>
      </c>
      <c r="J12" s="5">
        <v>0</v>
      </c>
      <c r="K12" s="5">
        <v>2230</v>
      </c>
      <c r="L12" s="5">
        <v>0</v>
      </c>
      <c r="M12" s="5">
        <v>-44740</v>
      </c>
      <c r="N12" s="5">
        <v>-44740</v>
      </c>
    </row>
    <row r="13" spans="1:14" x14ac:dyDescent="0.25">
      <c r="A13" s="3" t="s">
        <v>24</v>
      </c>
      <c r="B13" s="4">
        <v>-7160.83</v>
      </c>
      <c r="C13" s="4">
        <v>-0.08</v>
      </c>
      <c r="D13" s="4">
        <v>-0.02</v>
      </c>
      <c r="E13" s="4">
        <v>4.4213310537998716</v>
      </c>
      <c r="F13" s="3">
        <v>11</v>
      </c>
      <c r="G13" s="3">
        <v>1</v>
      </c>
      <c r="H13" s="5">
        <v>80042749014.149994</v>
      </c>
      <c r="I13" s="5">
        <v>81182379014.149994</v>
      </c>
      <c r="J13" s="5">
        <v>1287321000</v>
      </c>
      <c r="K13" s="5">
        <v>147691000</v>
      </c>
      <c r="L13" s="5">
        <v>1669626000</v>
      </c>
      <c r="M13" s="5">
        <v>-11337000</v>
      </c>
      <c r="N13" s="5">
        <v>-78800000</v>
      </c>
    </row>
    <row r="14" spans="1:14" x14ac:dyDescent="0.25">
      <c r="A14" s="3" t="s">
        <v>25</v>
      </c>
      <c r="B14" s="4">
        <v>-5787.54</v>
      </c>
      <c r="C14" s="4">
        <v>1.83</v>
      </c>
      <c r="D14" s="4">
        <v>-0.28000000000000003</v>
      </c>
      <c r="E14" s="4">
        <v>3.5768421488746691</v>
      </c>
      <c r="F14" s="3">
        <v>12</v>
      </c>
      <c r="G14" s="3">
        <v>1</v>
      </c>
      <c r="H14" s="5">
        <v>319728750</v>
      </c>
      <c r="I14" s="5">
        <v>319703660</v>
      </c>
      <c r="J14" s="5">
        <v>0</v>
      </c>
      <c r="K14" s="5">
        <v>25090</v>
      </c>
      <c r="L14" s="5">
        <v>0</v>
      </c>
      <c r="M14" s="5">
        <v>-55240</v>
      </c>
      <c r="N14" s="5">
        <v>-55150</v>
      </c>
    </row>
    <row r="15" spans="1:14" x14ac:dyDescent="0.25">
      <c r="A15" s="3" t="s">
        <v>26</v>
      </c>
      <c r="B15" s="4">
        <v>-4700.59</v>
      </c>
      <c r="C15" s="4">
        <v>-0.38</v>
      </c>
      <c r="D15" s="4">
        <v>-0.13</v>
      </c>
      <c r="E15" s="4">
        <v>2.8977498838793032</v>
      </c>
      <c r="F15" s="3">
        <v>13</v>
      </c>
      <c r="G15" s="3">
        <v>1</v>
      </c>
      <c r="H15" s="5">
        <v>4900788642.3000002</v>
      </c>
      <c r="I15" s="5">
        <v>4700588642.3000002</v>
      </c>
      <c r="J15" s="5">
        <v>23600000</v>
      </c>
      <c r="K15" s="5">
        <v>223800000</v>
      </c>
      <c r="L15" s="5">
        <v>5629100000</v>
      </c>
      <c r="M15" s="5">
        <v>-1000000</v>
      </c>
      <c r="N15" s="5">
        <v>-154400000</v>
      </c>
    </row>
    <row r="16" spans="1:14" x14ac:dyDescent="0.25">
      <c r="A16" s="3" t="s">
        <v>27</v>
      </c>
      <c r="B16" s="4">
        <v>-4461.9799999999996</v>
      </c>
      <c r="C16" s="4">
        <v>-0.3</v>
      </c>
      <c r="D16" s="4">
        <v>-0.26</v>
      </c>
      <c r="E16" s="4">
        <v>2.7502753182519459</v>
      </c>
      <c r="F16" s="3">
        <v>14</v>
      </c>
      <c r="G16" s="3">
        <v>1</v>
      </c>
      <c r="H16" s="5">
        <v>6830401414.8000002</v>
      </c>
      <c r="I16" s="5">
        <v>6829903424.8000002</v>
      </c>
      <c r="J16" s="5">
        <v>0</v>
      </c>
      <c r="K16" s="5">
        <v>497990</v>
      </c>
      <c r="L16" s="5">
        <v>2698230</v>
      </c>
      <c r="M16" s="5">
        <v>-1530690</v>
      </c>
      <c r="N16" s="5">
        <v>-1580200</v>
      </c>
    </row>
    <row r="17" spans="1:14" x14ac:dyDescent="0.25">
      <c r="A17" s="3" t="s">
        <v>28</v>
      </c>
      <c r="B17" s="4">
        <v>-4090.46</v>
      </c>
      <c r="C17" s="4">
        <v>-0.83</v>
      </c>
      <c r="D17" s="4">
        <v>-0.08</v>
      </c>
      <c r="E17" s="4">
        <v>2.518837309500753</v>
      </c>
      <c r="F17" s="3">
        <v>15</v>
      </c>
      <c r="G17" s="3">
        <v>1</v>
      </c>
      <c r="H17" s="5">
        <v>19082442.43</v>
      </c>
      <c r="I17" s="5">
        <v>24624572.43</v>
      </c>
      <c r="J17" s="5">
        <v>8052490</v>
      </c>
      <c r="K17" s="5">
        <v>2510360</v>
      </c>
      <c r="L17" s="5">
        <v>283220440</v>
      </c>
      <c r="M17" s="5">
        <v>-6020</v>
      </c>
      <c r="N17" s="5">
        <v>-5991570</v>
      </c>
    </row>
    <row r="18" spans="1:14" x14ac:dyDescent="0.25">
      <c r="A18" s="3" t="s">
        <v>29</v>
      </c>
      <c r="B18" s="4">
        <v>-3868.52</v>
      </c>
      <c r="C18" s="4">
        <v>-0.18</v>
      </c>
      <c r="D18" s="4">
        <v>-0.18</v>
      </c>
      <c r="E18" s="4">
        <v>2.3833328724499818</v>
      </c>
      <c r="F18" s="3">
        <v>16</v>
      </c>
      <c r="G18" s="3">
        <v>1</v>
      </c>
      <c r="H18" s="5">
        <v>54000000</v>
      </c>
      <c r="I18" s="5">
        <v>53927110</v>
      </c>
      <c r="J18" s="5">
        <v>0</v>
      </c>
      <c r="K18" s="5">
        <v>72890</v>
      </c>
      <c r="L18" s="5">
        <v>0</v>
      </c>
      <c r="M18" s="5">
        <v>-13940</v>
      </c>
      <c r="N18" s="5">
        <v>-13940</v>
      </c>
    </row>
    <row r="19" spans="1:14" x14ac:dyDescent="0.25">
      <c r="A19" s="3" t="s">
        <v>30</v>
      </c>
      <c r="B19" s="4">
        <v>-3809.16</v>
      </c>
      <c r="C19" s="4">
        <v>1.38</v>
      </c>
      <c r="D19" s="4">
        <v>-0.9</v>
      </c>
      <c r="E19" s="4">
        <v>2.3509622602128051</v>
      </c>
      <c r="F19" s="3">
        <v>17</v>
      </c>
      <c r="G19" s="3">
        <v>1</v>
      </c>
      <c r="H19" s="5">
        <v>348021663.25</v>
      </c>
      <c r="I19" s="5">
        <v>348119573.25</v>
      </c>
      <c r="J19" s="5">
        <v>123300</v>
      </c>
      <c r="K19" s="5">
        <v>25390</v>
      </c>
      <c r="L19" s="5">
        <v>0</v>
      </c>
      <c r="M19" s="5">
        <v>-91390</v>
      </c>
      <c r="N19" s="5">
        <v>-90830</v>
      </c>
    </row>
    <row r="20" spans="1:14" x14ac:dyDescent="0.25">
      <c r="A20" s="3" t="s">
        <v>31</v>
      </c>
      <c r="B20" s="4">
        <v>-3660.79</v>
      </c>
      <c r="C20" s="4">
        <v>0.21</v>
      </c>
      <c r="D20" s="4">
        <v>-0.43</v>
      </c>
      <c r="E20" s="4">
        <v>2.2558431275137178</v>
      </c>
      <c r="F20" s="3">
        <v>18</v>
      </c>
      <c r="G20" s="3">
        <v>1</v>
      </c>
      <c r="H20" s="5">
        <v>172380000</v>
      </c>
      <c r="I20" s="5">
        <v>172350170</v>
      </c>
      <c r="J20" s="5">
        <v>0</v>
      </c>
      <c r="K20" s="5">
        <v>29830</v>
      </c>
      <c r="L20" s="5">
        <v>246470</v>
      </c>
      <c r="M20" s="5">
        <v>-47080</v>
      </c>
      <c r="N20" s="5">
        <v>-59280</v>
      </c>
    </row>
    <row r="21" spans="1:14" x14ac:dyDescent="0.25">
      <c r="A21" s="3" t="s">
        <v>32</v>
      </c>
      <c r="B21" s="4">
        <v>-3564.9</v>
      </c>
      <c r="C21" s="4">
        <v>0.05</v>
      </c>
      <c r="D21" s="4">
        <v>0.02</v>
      </c>
      <c r="E21" s="4">
        <v>2.1961193425681991</v>
      </c>
      <c r="F21" s="3">
        <v>19</v>
      </c>
      <c r="G21" s="3">
        <v>1</v>
      </c>
      <c r="H21" s="5">
        <v>759340485.67999995</v>
      </c>
      <c r="I21" s="5">
        <v>1083728485.6800001</v>
      </c>
      <c r="J21" s="5">
        <v>457860000</v>
      </c>
      <c r="K21" s="5">
        <v>133472000</v>
      </c>
      <c r="L21" s="5">
        <v>391481000</v>
      </c>
      <c r="M21" s="5">
        <v>-304000</v>
      </c>
      <c r="N21" s="5">
        <v>18246000</v>
      </c>
    </row>
    <row r="22" spans="1:14" x14ac:dyDescent="0.25">
      <c r="A22" s="3" t="s">
        <v>33</v>
      </c>
      <c r="B22" s="4">
        <v>-2733.83</v>
      </c>
      <c r="C22" s="4">
        <v>0.26</v>
      </c>
      <c r="D22" s="4">
        <v>0.23</v>
      </c>
      <c r="E22" s="4">
        <v>1.682400300006615</v>
      </c>
      <c r="F22" s="3">
        <v>20</v>
      </c>
      <c r="G22" s="3">
        <v>1</v>
      </c>
      <c r="H22" s="5">
        <v>46596769.799999997</v>
      </c>
      <c r="I22" s="5">
        <v>45928379.799999997</v>
      </c>
      <c r="J22" s="5">
        <v>0</v>
      </c>
      <c r="K22" s="5">
        <v>668390</v>
      </c>
      <c r="L22" s="5">
        <v>1800000</v>
      </c>
      <c r="M22" s="5">
        <v>-16800</v>
      </c>
      <c r="N22" s="5">
        <v>21549550</v>
      </c>
    </row>
    <row r="23" spans="1:14" x14ac:dyDescent="0.25">
      <c r="A23" s="3" t="s">
        <v>34</v>
      </c>
      <c r="B23" s="4">
        <v>-2727.23</v>
      </c>
      <c r="C23" s="4">
        <v>0.11</v>
      </c>
      <c r="D23" s="4">
        <v>-10.72</v>
      </c>
      <c r="E23" s="4">
        <v>1.6757697360389581</v>
      </c>
      <c r="F23" s="3">
        <v>21</v>
      </c>
      <c r="G23" s="3">
        <v>1</v>
      </c>
      <c r="H23" s="5">
        <v>100256350</v>
      </c>
      <c r="I23" s="5">
        <v>100252920</v>
      </c>
      <c r="J23" s="5">
        <v>0</v>
      </c>
      <c r="K23" s="5">
        <v>3430</v>
      </c>
      <c r="L23" s="5">
        <v>0</v>
      </c>
      <c r="M23" s="5">
        <v>-36760</v>
      </c>
      <c r="N23" s="5">
        <v>-36760</v>
      </c>
    </row>
    <row r="24" spans="1:14" x14ac:dyDescent="0.25">
      <c r="A24" s="3" t="s">
        <v>35</v>
      </c>
      <c r="B24" s="4">
        <v>-2485.8200000000002</v>
      </c>
      <c r="C24" s="4">
        <v>0.68</v>
      </c>
      <c r="D24" s="4">
        <v>-17.55</v>
      </c>
      <c r="E24" s="4">
        <v>1.5266855317531991</v>
      </c>
      <c r="F24" s="3">
        <v>22</v>
      </c>
      <c r="G24" s="3">
        <v>1</v>
      </c>
      <c r="H24" s="5">
        <v>154394750</v>
      </c>
      <c r="I24" s="5">
        <v>154394180</v>
      </c>
      <c r="J24" s="5">
        <v>0</v>
      </c>
      <c r="K24" s="5">
        <v>570</v>
      </c>
      <c r="L24" s="5">
        <v>39130</v>
      </c>
      <c r="M24" s="5">
        <v>-62110</v>
      </c>
      <c r="N24" s="5">
        <v>-62110</v>
      </c>
    </row>
    <row r="25" spans="1:14" x14ac:dyDescent="0.25">
      <c r="A25" s="3" t="s">
        <v>36</v>
      </c>
      <c r="B25" s="4">
        <v>-2332.65</v>
      </c>
      <c r="C25" s="4">
        <v>-0.1</v>
      </c>
      <c r="D25" s="4">
        <v>-0.06</v>
      </c>
      <c r="E25" s="4">
        <v>1.433005634227994</v>
      </c>
      <c r="F25" s="3">
        <v>23</v>
      </c>
      <c r="G25" s="3">
        <v>1</v>
      </c>
      <c r="H25" s="5">
        <v>4746533193.0799999</v>
      </c>
      <c r="I25" s="5">
        <v>4576664193.0799999</v>
      </c>
      <c r="J25" s="5">
        <v>196288000</v>
      </c>
      <c r="K25" s="5">
        <v>366157000</v>
      </c>
      <c r="L25" s="5">
        <v>1005754000</v>
      </c>
      <c r="M25" s="5">
        <v>-1962000</v>
      </c>
      <c r="N25" s="5">
        <v>-69771000</v>
      </c>
    </row>
    <row r="26" spans="1:14" x14ac:dyDescent="0.25">
      <c r="A26" s="3" t="s">
        <v>37</v>
      </c>
      <c r="B26" s="4">
        <v>-2183.61</v>
      </c>
      <c r="C26" s="4">
        <v>-0.06</v>
      </c>
      <c r="D26" s="4">
        <v>-0.05</v>
      </c>
      <c r="E26" s="4">
        <v>1.3408792159733871</v>
      </c>
      <c r="F26" s="3">
        <v>24</v>
      </c>
      <c r="G26" s="3">
        <v>1</v>
      </c>
      <c r="H26" s="5">
        <v>73275202425</v>
      </c>
      <c r="I26" s="5">
        <v>80428760425</v>
      </c>
      <c r="J26" s="5">
        <v>7191675000</v>
      </c>
      <c r="K26" s="5">
        <v>38117000</v>
      </c>
      <c r="L26" s="5">
        <v>463456000</v>
      </c>
      <c r="M26" s="5">
        <v>-36833000</v>
      </c>
      <c r="N26" s="5">
        <v>-1166661000</v>
      </c>
    </row>
    <row r="27" spans="1:14" x14ac:dyDescent="0.25">
      <c r="A27" s="3" t="s">
        <v>38</v>
      </c>
      <c r="B27" s="4">
        <v>-2128.1799999999998</v>
      </c>
      <c r="C27" s="4">
        <v>-0.01</v>
      </c>
      <c r="D27" s="4">
        <v>0</v>
      </c>
      <c r="E27" s="4">
        <v>1.306726561962446</v>
      </c>
      <c r="F27" s="3">
        <v>25</v>
      </c>
      <c r="G27" s="3">
        <v>1</v>
      </c>
      <c r="H27" s="5">
        <v>577951909.71000004</v>
      </c>
      <c r="I27" s="5">
        <v>625683909.71000004</v>
      </c>
      <c r="J27" s="5">
        <v>49999000</v>
      </c>
      <c r="K27" s="5">
        <v>2267000</v>
      </c>
      <c r="L27" s="5">
        <v>10103000</v>
      </c>
      <c r="M27" s="5">
        <v>-294000</v>
      </c>
      <c r="N27" s="5">
        <v>-3411000</v>
      </c>
    </row>
    <row r="28" spans="1:14" x14ac:dyDescent="0.25">
      <c r="A28" s="3" t="s">
        <v>39</v>
      </c>
      <c r="B28" s="4">
        <v>-1922.94</v>
      </c>
      <c r="C28" s="4">
        <v>0.19</v>
      </c>
      <c r="D28" s="4">
        <v>-0.04</v>
      </c>
      <c r="E28" s="4">
        <v>1.180269460269608</v>
      </c>
      <c r="F28" s="3">
        <v>26</v>
      </c>
      <c r="G28" s="3">
        <v>1</v>
      </c>
      <c r="H28" s="5">
        <v>55718863.920000002</v>
      </c>
      <c r="I28" s="5">
        <v>38458863.920000002</v>
      </c>
      <c r="J28" s="5">
        <v>685000</v>
      </c>
      <c r="K28" s="5">
        <v>17945000</v>
      </c>
      <c r="L28" s="5">
        <v>255287000</v>
      </c>
      <c r="M28" s="5">
        <v>-20000</v>
      </c>
      <c r="N28" s="5">
        <v>-2489000</v>
      </c>
    </row>
    <row r="29" spans="1:14" x14ac:dyDescent="0.25">
      <c r="A29" s="3" t="s">
        <v>40</v>
      </c>
      <c r="B29" s="4">
        <v>-1877.42</v>
      </c>
      <c r="C29" s="4">
        <v>0.55000000000000004</v>
      </c>
      <c r="D29" s="4">
        <v>-0.13</v>
      </c>
      <c r="E29" s="4">
        <v>1.153119004549835</v>
      </c>
      <c r="F29" s="3">
        <v>27</v>
      </c>
      <c r="G29" s="3">
        <v>1</v>
      </c>
      <c r="H29" s="5">
        <v>174597649.19999999</v>
      </c>
      <c r="I29" s="5">
        <v>182240709.19999999</v>
      </c>
      <c r="J29" s="5">
        <v>7903780</v>
      </c>
      <c r="K29" s="5">
        <v>260720</v>
      </c>
      <c r="L29" s="5">
        <v>9601470</v>
      </c>
      <c r="M29" s="5">
        <v>-97070</v>
      </c>
      <c r="N29" s="5">
        <v>-1109010</v>
      </c>
    </row>
    <row r="30" spans="1:14" x14ac:dyDescent="0.25">
      <c r="A30" s="3" t="s">
        <v>41</v>
      </c>
      <c r="B30" s="4">
        <v>-1526.79</v>
      </c>
      <c r="C30" s="4">
        <v>-0.03</v>
      </c>
      <c r="D30" s="4">
        <v>-0.02</v>
      </c>
      <c r="E30" s="4">
        <v>0.93445227527872188</v>
      </c>
      <c r="F30" s="3">
        <v>28</v>
      </c>
      <c r="G30" s="3">
        <v>1</v>
      </c>
      <c r="H30" s="5">
        <v>21373748.780000001</v>
      </c>
      <c r="I30" s="5">
        <v>21298768.780000001</v>
      </c>
      <c r="J30" s="5">
        <v>44930</v>
      </c>
      <c r="K30" s="5">
        <v>119910</v>
      </c>
      <c r="L30" s="5">
        <v>1402510</v>
      </c>
      <c r="M30" s="5">
        <v>-13950</v>
      </c>
      <c r="N30" s="5">
        <v>-13950</v>
      </c>
    </row>
    <row r="31" spans="1:14" x14ac:dyDescent="0.25">
      <c r="A31" s="3" t="s">
        <v>42</v>
      </c>
      <c r="B31" s="4">
        <v>-1415.96</v>
      </c>
      <c r="C31" s="4">
        <v>-0.18</v>
      </c>
      <c r="D31" s="4">
        <v>-0.15</v>
      </c>
      <c r="E31" s="4">
        <v>0.8653988270872881</v>
      </c>
      <c r="F31" s="3">
        <v>29</v>
      </c>
      <c r="G31" s="3">
        <v>1</v>
      </c>
      <c r="H31" s="5">
        <v>433559400</v>
      </c>
      <c r="I31" s="5">
        <v>431671040</v>
      </c>
      <c r="J31" s="5">
        <v>0</v>
      </c>
      <c r="K31" s="5">
        <v>1888360</v>
      </c>
      <c r="L31" s="5">
        <v>1483230</v>
      </c>
      <c r="M31" s="5">
        <v>-304860</v>
      </c>
      <c r="N31" s="5">
        <v>-334400</v>
      </c>
    </row>
    <row r="32" spans="1:14" x14ac:dyDescent="0.25">
      <c r="A32" s="3" t="s">
        <v>43</v>
      </c>
      <c r="B32" s="4">
        <v>-10.53</v>
      </c>
      <c r="C32" s="4">
        <v>291.52</v>
      </c>
      <c r="D32" s="4">
        <v>-1.23</v>
      </c>
      <c r="E32" s="4">
        <v>0.83816747254430091</v>
      </c>
      <c r="F32" s="3">
        <v>30</v>
      </c>
      <c r="G32" s="3">
        <v>1</v>
      </c>
      <c r="H32" s="5">
        <v>30303151.399999999</v>
      </c>
      <c r="I32" s="5">
        <v>30056391.399999999</v>
      </c>
      <c r="J32" s="5">
        <v>0</v>
      </c>
      <c r="K32" s="5">
        <v>246760</v>
      </c>
      <c r="L32" s="5">
        <v>2368500</v>
      </c>
      <c r="M32" s="5">
        <v>-2855330</v>
      </c>
      <c r="N32" s="5">
        <v>-2346750</v>
      </c>
    </row>
    <row r="33" spans="1:14" x14ac:dyDescent="0.25">
      <c r="A33" s="3" t="s">
        <v>44</v>
      </c>
      <c r="B33" s="4">
        <v>-1261.25</v>
      </c>
      <c r="C33" s="4">
        <v>12.49</v>
      </c>
      <c r="D33" s="4">
        <v>-0.94</v>
      </c>
      <c r="E33" s="4">
        <v>0.80610143273549817</v>
      </c>
      <c r="F33" s="3">
        <v>31</v>
      </c>
      <c r="G33" s="3">
        <v>1</v>
      </c>
      <c r="H33" s="5">
        <v>40200000</v>
      </c>
      <c r="I33" s="5">
        <v>40170740</v>
      </c>
      <c r="J33" s="5">
        <v>0</v>
      </c>
      <c r="K33" s="5">
        <v>29260</v>
      </c>
      <c r="L33" s="5">
        <v>43150</v>
      </c>
      <c r="M33" s="5">
        <v>-31850</v>
      </c>
      <c r="N33" s="5">
        <v>-31850</v>
      </c>
    </row>
    <row r="34" spans="1:14" x14ac:dyDescent="0.25">
      <c r="A34" s="3" t="s">
        <v>45</v>
      </c>
      <c r="B34" s="4">
        <v>-1306.69</v>
      </c>
      <c r="C34" s="4">
        <v>0.88</v>
      </c>
      <c r="D34" s="4">
        <v>-0.08</v>
      </c>
      <c r="E34" s="4">
        <v>0.80084560196489796</v>
      </c>
      <c r="F34" s="3">
        <v>32</v>
      </c>
      <c r="G34" s="3">
        <v>1</v>
      </c>
      <c r="H34" s="5">
        <v>30303763.489999998</v>
      </c>
      <c r="I34" s="5">
        <v>30119163.489999998</v>
      </c>
      <c r="J34" s="5">
        <v>0</v>
      </c>
      <c r="K34" s="5">
        <v>184600</v>
      </c>
      <c r="L34" s="5">
        <v>1705230</v>
      </c>
      <c r="M34" s="5">
        <v>-23050</v>
      </c>
      <c r="N34" s="5">
        <v>-113500</v>
      </c>
    </row>
    <row r="35" spans="1:14" x14ac:dyDescent="0.25">
      <c r="A35" s="3" t="s">
        <v>46</v>
      </c>
      <c r="B35" s="4">
        <v>-0.02</v>
      </c>
      <c r="C35" s="4">
        <v>1112.6199999999999</v>
      </c>
      <c r="D35" s="4">
        <v>-12795.17</v>
      </c>
      <c r="E35" s="4">
        <v>0.73613166021227538</v>
      </c>
      <c r="F35" s="3">
        <v>33</v>
      </c>
      <c r="G35" s="3">
        <v>1</v>
      </c>
      <c r="H35" s="5">
        <v>30463.904399999999</v>
      </c>
      <c r="I35" s="5">
        <v>30343.904399999999</v>
      </c>
      <c r="J35" s="5">
        <v>0</v>
      </c>
      <c r="K35" s="5">
        <v>120</v>
      </c>
      <c r="L35" s="5">
        <v>0</v>
      </c>
      <c r="M35" s="5">
        <v>-1535380</v>
      </c>
      <c r="N35" s="5">
        <v>-1535420</v>
      </c>
    </row>
    <row r="36" spans="1:14" x14ac:dyDescent="0.25">
      <c r="A36" s="3" t="s">
        <v>47</v>
      </c>
      <c r="B36" s="4">
        <v>-1137.06</v>
      </c>
      <c r="C36" s="4">
        <v>4.6100000000000003</v>
      </c>
      <c r="D36" s="4">
        <v>-0.03</v>
      </c>
      <c r="E36" s="4">
        <v>0.70664506627465351</v>
      </c>
      <c r="F36" s="3">
        <v>34</v>
      </c>
      <c r="G36" s="3">
        <v>1</v>
      </c>
      <c r="H36" s="5">
        <v>1503390000</v>
      </c>
      <c r="I36" s="5">
        <v>1505556500</v>
      </c>
      <c r="J36" s="5">
        <v>2218050</v>
      </c>
      <c r="K36" s="5">
        <v>51550</v>
      </c>
      <c r="L36" s="5">
        <v>3830</v>
      </c>
      <c r="M36" s="5">
        <v>-1324080</v>
      </c>
      <c r="N36" s="5">
        <v>-1507570</v>
      </c>
    </row>
    <row r="37" spans="1:14" x14ac:dyDescent="0.25">
      <c r="A37" s="3" t="s">
        <v>48</v>
      </c>
      <c r="B37" s="4">
        <v>-1116.6300000000001</v>
      </c>
      <c r="C37" s="4">
        <v>7.0000000000000007E-2</v>
      </c>
      <c r="D37" s="4">
        <v>-1.04</v>
      </c>
      <c r="E37" s="4">
        <v>0.68068798976663236</v>
      </c>
      <c r="F37" s="3">
        <v>35</v>
      </c>
      <c r="G37" s="3">
        <v>1</v>
      </c>
      <c r="H37" s="5">
        <v>55237817.519999899</v>
      </c>
      <c r="I37" s="5">
        <v>55943297.519999899</v>
      </c>
      <c r="J37" s="5">
        <v>705880</v>
      </c>
      <c r="K37" s="5">
        <v>400</v>
      </c>
      <c r="L37" s="5">
        <v>0</v>
      </c>
      <c r="M37" s="5">
        <v>-50100</v>
      </c>
      <c r="N37" s="5">
        <v>-65180</v>
      </c>
    </row>
    <row r="38" spans="1:14" x14ac:dyDescent="0.25">
      <c r="A38" s="3" t="s">
        <v>49</v>
      </c>
      <c r="B38" s="4">
        <v>-1103.5</v>
      </c>
      <c r="C38" s="4">
        <v>0.24</v>
      </c>
      <c r="D38" s="4">
        <v>-0.68</v>
      </c>
      <c r="E38" s="4">
        <v>0.67312219896240566</v>
      </c>
      <c r="F38" s="3">
        <v>36</v>
      </c>
      <c r="G38" s="3">
        <v>1</v>
      </c>
      <c r="H38" s="5">
        <v>44861685.899999999</v>
      </c>
      <c r="I38" s="5">
        <v>45055805.899999999</v>
      </c>
      <c r="J38" s="5">
        <v>228930</v>
      </c>
      <c r="K38" s="5">
        <v>34810</v>
      </c>
      <c r="L38" s="5">
        <v>3920</v>
      </c>
      <c r="M38" s="5">
        <v>-40830</v>
      </c>
      <c r="N38" s="5">
        <v>-40830</v>
      </c>
    </row>
    <row r="39" spans="1:14" x14ac:dyDescent="0.25">
      <c r="A39" s="3" t="s">
        <v>50</v>
      </c>
      <c r="B39" s="4">
        <v>-1078.52</v>
      </c>
      <c r="C39" s="4">
        <v>-0.19</v>
      </c>
      <c r="D39" s="4">
        <v>-0.04</v>
      </c>
      <c r="E39" s="4">
        <v>0.65654259573044493</v>
      </c>
      <c r="F39" s="3">
        <v>37</v>
      </c>
      <c r="G39" s="3">
        <v>1</v>
      </c>
      <c r="H39" s="5">
        <v>42481917883.080002</v>
      </c>
      <c r="I39" s="5">
        <v>40956727883.080002</v>
      </c>
      <c r="J39" s="5">
        <v>987684000</v>
      </c>
      <c r="K39" s="5">
        <v>2512874000</v>
      </c>
      <c r="L39" s="5">
        <v>5215304000</v>
      </c>
      <c r="M39" s="5">
        <v>-37975000</v>
      </c>
      <c r="N39" s="5">
        <v>-256687000</v>
      </c>
    </row>
    <row r="40" spans="1:14" x14ac:dyDescent="0.25">
      <c r="A40" s="3" t="s">
        <v>51</v>
      </c>
      <c r="B40" s="4">
        <v>-1033.52</v>
      </c>
      <c r="C40" s="4">
        <v>-2.57</v>
      </c>
      <c r="D40" s="4">
        <v>-0.74</v>
      </c>
      <c r="E40" s="4">
        <v>0.62167945976372985</v>
      </c>
      <c r="F40" s="3">
        <v>38</v>
      </c>
      <c r="G40" s="3">
        <v>1</v>
      </c>
      <c r="H40" s="5">
        <v>63276363.200000003</v>
      </c>
      <c r="I40" s="5">
        <v>71271363.200000003</v>
      </c>
      <c r="J40" s="5">
        <v>8385810</v>
      </c>
      <c r="K40" s="5">
        <v>390810</v>
      </c>
      <c r="L40" s="5">
        <v>104702440</v>
      </c>
      <c r="M40" s="5">
        <v>-68960</v>
      </c>
      <c r="N40" s="5">
        <v>-12301410</v>
      </c>
    </row>
    <row r="41" spans="1:14" x14ac:dyDescent="0.25">
      <c r="A41" s="3" t="s">
        <v>52</v>
      </c>
      <c r="B41" s="4">
        <v>-0.93</v>
      </c>
      <c r="C41" s="4">
        <v>210.88</v>
      </c>
      <c r="D41" s="4">
        <v>-0.44</v>
      </c>
      <c r="E41" s="4">
        <v>0.59938018121014058</v>
      </c>
      <c r="F41" s="3">
        <v>39</v>
      </c>
      <c r="G41" s="3">
        <v>1</v>
      </c>
      <c r="H41" s="5">
        <v>570440</v>
      </c>
      <c r="I41" s="5">
        <v>4212700</v>
      </c>
      <c r="J41" s="5">
        <v>5600000</v>
      </c>
      <c r="K41" s="5">
        <v>1957740</v>
      </c>
      <c r="L41" s="5">
        <v>27733370</v>
      </c>
      <c r="M41" s="5">
        <v>-4526660</v>
      </c>
      <c r="N41" s="5">
        <v>-5409150</v>
      </c>
    </row>
    <row r="42" spans="1:14" x14ac:dyDescent="0.25">
      <c r="A42" s="3" t="s">
        <v>53</v>
      </c>
      <c r="B42" s="4">
        <v>-980.2</v>
      </c>
      <c r="C42" s="4">
        <v>-0.06</v>
      </c>
      <c r="D42" s="4">
        <v>1.31</v>
      </c>
      <c r="E42" s="4">
        <v>0.59632636079593071</v>
      </c>
      <c r="F42" s="3">
        <v>40</v>
      </c>
      <c r="G42" s="3">
        <v>1</v>
      </c>
      <c r="H42" s="5">
        <v>85388795.099999994</v>
      </c>
      <c r="I42" s="5">
        <v>85669105.099999994</v>
      </c>
      <c r="J42" s="5">
        <v>280750</v>
      </c>
      <c r="K42" s="5">
        <v>440</v>
      </c>
      <c r="L42" s="5">
        <v>0</v>
      </c>
      <c r="M42" s="5">
        <v>-87400</v>
      </c>
      <c r="N42" s="5">
        <v>29440</v>
      </c>
    </row>
    <row r="43" spans="1:14" x14ac:dyDescent="0.25">
      <c r="A43" s="3" t="s">
        <v>54</v>
      </c>
      <c r="B43" s="4">
        <v>-920.63</v>
      </c>
      <c r="C43" s="4">
        <v>-0.65</v>
      </c>
      <c r="D43" s="4">
        <v>-0.48</v>
      </c>
      <c r="E43" s="4">
        <v>0.55740724388721374</v>
      </c>
      <c r="F43" s="3">
        <v>41</v>
      </c>
      <c r="G43" s="3">
        <v>1</v>
      </c>
      <c r="H43" s="5">
        <v>399749855</v>
      </c>
      <c r="I43" s="5">
        <v>399315505</v>
      </c>
      <c r="J43" s="5">
        <v>0</v>
      </c>
      <c r="K43" s="5">
        <v>434350</v>
      </c>
      <c r="L43" s="5">
        <v>1232330</v>
      </c>
      <c r="M43" s="5">
        <v>-433740</v>
      </c>
      <c r="N43" s="5">
        <v>-437780</v>
      </c>
    </row>
    <row r="44" spans="1:14" x14ac:dyDescent="0.25">
      <c r="A44" s="3" t="s">
        <v>55</v>
      </c>
      <c r="B44" s="4">
        <v>-896.98</v>
      </c>
      <c r="C44" s="4">
        <v>0.4</v>
      </c>
      <c r="D44" s="4">
        <v>-10.72</v>
      </c>
      <c r="E44" s="4">
        <v>0.54382827793477762</v>
      </c>
      <c r="F44" s="3">
        <v>42</v>
      </c>
      <c r="G44" s="3">
        <v>1</v>
      </c>
      <c r="H44" s="5">
        <v>29711000</v>
      </c>
      <c r="I44" s="5">
        <v>29707910</v>
      </c>
      <c r="J44" s="5">
        <v>0</v>
      </c>
      <c r="K44" s="5">
        <v>3090</v>
      </c>
      <c r="L44" s="5">
        <v>15080</v>
      </c>
      <c r="M44" s="5">
        <v>-33120</v>
      </c>
      <c r="N44" s="5">
        <v>-33120</v>
      </c>
    </row>
    <row r="45" spans="1:14" x14ac:dyDescent="0.25">
      <c r="A45" s="3" t="s">
        <v>56</v>
      </c>
      <c r="B45" s="4">
        <v>-876.68</v>
      </c>
      <c r="C45" s="4">
        <v>0</v>
      </c>
      <c r="D45" s="4">
        <v>-0.01</v>
      </c>
      <c r="E45" s="4">
        <v>0.5321744335536408</v>
      </c>
      <c r="F45" s="3">
        <v>43</v>
      </c>
      <c r="G45" s="3">
        <v>1</v>
      </c>
      <c r="H45" s="5">
        <v>812976000</v>
      </c>
      <c r="I45" s="5">
        <v>812944800</v>
      </c>
      <c r="J45" s="5">
        <v>0</v>
      </c>
      <c r="K45" s="5">
        <v>31200</v>
      </c>
      <c r="L45" s="5">
        <v>111060</v>
      </c>
      <c r="M45" s="5">
        <v>-927300</v>
      </c>
      <c r="N45" s="5">
        <v>-9180</v>
      </c>
    </row>
    <row r="46" spans="1:14" x14ac:dyDescent="0.25">
      <c r="A46" s="3" t="s">
        <v>57</v>
      </c>
      <c r="B46" s="4">
        <v>-811.31</v>
      </c>
      <c r="C46" s="4">
        <v>-0.04</v>
      </c>
      <c r="D46" s="4">
        <v>-0.03</v>
      </c>
      <c r="E46" s="4">
        <v>0.49159616343063273</v>
      </c>
      <c r="F46" s="3">
        <v>44</v>
      </c>
      <c r="G46" s="3">
        <v>1</v>
      </c>
      <c r="H46" s="5">
        <v>25531747091.119999</v>
      </c>
      <c r="I46" s="5">
        <v>25005280091.119999</v>
      </c>
      <c r="J46" s="5">
        <v>0</v>
      </c>
      <c r="K46" s="5">
        <v>526467000</v>
      </c>
      <c r="L46" s="5">
        <v>1000742000</v>
      </c>
      <c r="M46" s="5">
        <v>-30821000</v>
      </c>
      <c r="N46" s="5">
        <v>-93461000</v>
      </c>
    </row>
    <row r="47" spans="1:14" x14ac:dyDescent="0.25">
      <c r="A47" s="3" t="s">
        <v>58</v>
      </c>
      <c r="B47" s="4">
        <v>-799.17</v>
      </c>
      <c r="C47" s="4">
        <v>0.09</v>
      </c>
      <c r="D47" s="4">
        <v>-0.03</v>
      </c>
      <c r="E47" s="4">
        <v>0.48445808460556872</v>
      </c>
      <c r="F47" s="3">
        <v>45</v>
      </c>
      <c r="G47" s="3">
        <v>1</v>
      </c>
      <c r="H47" s="5">
        <v>7559825703.4899998</v>
      </c>
      <c r="I47" s="5">
        <v>8790825703.4899998</v>
      </c>
      <c r="J47" s="5">
        <v>1556000000</v>
      </c>
      <c r="K47" s="5">
        <v>325000000</v>
      </c>
      <c r="L47" s="5">
        <v>0</v>
      </c>
      <c r="M47" s="5">
        <v>-11000000</v>
      </c>
      <c r="N47" s="5">
        <v>-31000000</v>
      </c>
    </row>
    <row r="48" spans="1:14" x14ac:dyDescent="0.25">
      <c r="A48" s="3" t="s">
        <v>59</v>
      </c>
      <c r="B48" s="4">
        <v>-795.88</v>
      </c>
      <c r="C48" s="4">
        <v>0.36</v>
      </c>
      <c r="D48" s="4">
        <v>-0.7</v>
      </c>
      <c r="E48" s="4">
        <v>0.48307271853992773</v>
      </c>
      <c r="F48" s="3">
        <v>46</v>
      </c>
      <c r="G48" s="3">
        <v>1</v>
      </c>
      <c r="H48" s="5">
        <v>36378032.321400002</v>
      </c>
      <c r="I48" s="5">
        <v>36554852.321400002</v>
      </c>
      <c r="J48" s="5">
        <v>176860</v>
      </c>
      <c r="K48" s="5">
        <v>40</v>
      </c>
      <c r="L48" s="5">
        <v>0</v>
      </c>
      <c r="M48" s="5">
        <v>-45930</v>
      </c>
      <c r="N48" s="5">
        <v>-56930</v>
      </c>
    </row>
    <row r="49" spans="1:14" x14ac:dyDescent="0.25">
      <c r="A49" s="3" t="s">
        <v>60</v>
      </c>
      <c r="B49" s="4">
        <v>-790.82</v>
      </c>
      <c r="C49" s="4">
        <v>0</v>
      </c>
      <c r="D49" s="4">
        <v>-0.65</v>
      </c>
      <c r="E49" s="4">
        <v>0.47891045573757363</v>
      </c>
      <c r="F49" s="3">
        <v>47</v>
      </c>
      <c r="G49" s="3">
        <v>1</v>
      </c>
      <c r="H49" s="5">
        <v>654753.05960000004</v>
      </c>
      <c r="I49" s="5">
        <v>1162503.0596</v>
      </c>
      <c r="J49" s="5">
        <v>510000</v>
      </c>
      <c r="K49" s="5">
        <v>2250</v>
      </c>
      <c r="L49" s="5">
        <v>0</v>
      </c>
      <c r="M49" s="5">
        <v>-1470</v>
      </c>
      <c r="N49" s="5">
        <v>-1470</v>
      </c>
    </row>
    <row r="50" spans="1:14" x14ac:dyDescent="0.25">
      <c r="A50" s="3" t="s">
        <v>61</v>
      </c>
      <c r="B50" s="4">
        <v>-739.46</v>
      </c>
      <c r="C50" s="4">
        <v>-0.18</v>
      </c>
      <c r="D50" s="4">
        <v>-0.04</v>
      </c>
      <c r="E50" s="4">
        <v>0.44672028097235139</v>
      </c>
      <c r="F50" s="3">
        <v>48</v>
      </c>
      <c r="G50" s="3">
        <v>1</v>
      </c>
      <c r="H50" s="5">
        <v>558474.41</v>
      </c>
      <c r="I50" s="5">
        <v>510224.41</v>
      </c>
      <c r="J50" s="5">
        <v>22360</v>
      </c>
      <c r="K50" s="5">
        <v>70610</v>
      </c>
      <c r="L50" s="5">
        <v>164620</v>
      </c>
      <c r="M50" s="5">
        <v>-690</v>
      </c>
      <c r="N50" s="5">
        <v>-2940</v>
      </c>
    </row>
    <row r="51" spans="1:14" x14ac:dyDescent="0.25">
      <c r="A51" s="3" t="s">
        <v>62</v>
      </c>
      <c r="B51" s="4">
        <v>-708</v>
      </c>
      <c r="C51" s="4">
        <v>0.02</v>
      </c>
      <c r="D51" s="4">
        <v>0.02</v>
      </c>
      <c r="E51" s="4">
        <v>0.42783848614909992</v>
      </c>
      <c r="F51" s="3">
        <v>49</v>
      </c>
      <c r="G51" s="3">
        <v>1</v>
      </c>
      <c r="H51" s="5">
        <v>465782625</v>
      </c>
      <c r="I51" s="5">
        <v>464809145</v>
      </c>
      <c r="J51" s="5">
        <v>0</v>
      </c>
      <c r="K51" s="5">
        <v>973480</v>
      </c>
      <c r="L51" s="5">
        <v>0</v>
      </c>
      <c r="M51" s="5">
        <v>-656510</v>
      </c>
      <c r="N51" s="5">
        <v>6856420</v>
      </c>
    </row>
    <row r="52" spans="1:14" x14ac:dyDescent="0.25">
      <c r="A52" s="3" t="s">
        <v>63</v>
      </c>
      <c r="B52" s="4">
        <v>32.67</v>
      </c>
      <c r="C52" s="4">
        <v>154.59</v>
      </c>
      <c r="D52" s="4">
        <v>11.11</v>
      </c>
      <c r="E52" s="4">
        <v>0.41817036188059559</v>
      </c>
      <c r="F52" s="3">
        <v>50</v>
      </c>
      <c r="G52" s="3">
        <v>1</v>
      </c>
      <c r="H52" s="5">
        <v>832433096.55999994</v>
      </c>
      <c r="I52" s="5">
        <v>830310506.55999994</v>
      </c>
      <c r="J52" s="5">
        <v>0</v>
      </c>
      <c r="K52" s="5">
        <v>2122590</v>
      </c>
      <c r="L52" s="5">
        <v>27114140</v>
      </c>
      <c r="M52" s="5">
        <v>25415360</v>
      </c>
      <c r="N52" s="5">
        <v>25415370</v>
      </c>
    </row>
    <row r="53" spans="1:14" x14ac:dyDescent="0.25">
      <c r="A53" s="3" t="s">
        <v>64</v>
      </c>
      <c r="B53" s="4">
        <v>-668.82</v>
      </c>
      <c r="C53" s="4">
        <v>-0.06</v>
      </c>
      <c r="D53" s="4">
        <v>-0.05</v>
      </c>
      <c r="E53" s="4">
        <v>0.40334452618579242</v>
      </c>
      <c r="F53" s="3">
        <v>51</v>
      </c>
      <c r="G53" s="3">
        <v>1</v>
      </c>
      <c r="H53" s="5">
        <v>883266693.96000004</v>
      </c>
      <c r="I53" s="5">
        <v>865422253.96000004</v>
      </c>
      <c r="J53" s="5">
        <v>327680</v>
      </c>
      <c r="K53" s="5">
        <v>18172120</v>
      </c>
      <c r="L53" s="5">
        <v>14937960</v>
      </c>
      <c r="M53" s="5">
        <v>-1293960</v>
      </c>
      <c r="N53" s="5">
        <v>-1730400</v>
      </c>
    </row>
    <row r="54" spans="1:14" x14ac:dyDescent="0.25">
      <c r="A54" s="3" t="s">
        <v>65</v>
      </c>
      <c r="B54" s="4">
        <v>-663.52</v>
      </c>
      <c r="C54" s="4">
        <v>-0.06</v>
      </c>
      <c r="D54" s="4">
        <v>-0.01</v>
      </c>
      <c r="E54" s="4">
        <v>0.40007196327265132</v>
      </c>
      <c r="F54" s="3">
        <v>52</v>
      </c>
      <c r="G54" s="3">
        <v>1</v>
      </c>
      <c r="H54" s="5">
        <v>46099812321.349998</v>
      </c>
      <c r="I54" s="5">
        <v>45372502321.349998</v>
      </c>
      <c r="J54" s="5">
        <v>0</v>
      </c>
      <c r="K54" s="5">
        <v>727310000</v>
      </c>
      <c r="L54" s="5">
        <v>1788179000</v>
      </c>
      <c r="M54" s="5">
        <v>-68381000</v>
      </c>
      <c r="N54" s="5">
        <v>-12713000</v>
      </c>
    </row>
    <row r="55" spans="1:14" x14ac:dyDescent="0.25">
      <c r="A55" s="3" t="s">
        <v>66</v>
      </c>
      <c r="B55" s="4">
        <v>-643.49</v>
      </c>
      <c r="C55" s="4">
        <v>-0.31</v>
      </c>
      <c r="D55" s="4">
        <v>-0.1</v>
      </c>
      <c r="E55" s="4">
        <v>0.3869352828468462</v>
      </c>
      <c r="F55" s="3">
        <v>53</v>
      </c>
      <c r="G55" s="3">
        <v>1</v>
      </c>
      <c r="H55" s="5">
        <v>13274863</v>
      </c>
      <c r="I55" s="5">
        <v>23847783</v>
      </c>
      <c r="J55" s="5">
        <v>10665670</v>
      </c>
      <c r="K55" s="5">
        <v>92750</v>
      </c>
      <c r="L55" s="5">
        <v>7593520</v>
      </c>
      <c r="M55" s="5">
        <v>-37060</v>
      </c>
      <c r="N55" s="5">
        <v>-1391040</v>
      </c>
    </row>
    <row r="56" spans="1:14" x14ac:dyDescent="0.25">
      <c r="A56" s="3" t="s">
        <v>67</v>
      </c>
      <c r="B56" s="4">
        <v>-629.45000000000005</v>
      </c>
      <c r="C56" s="4">
        <v>0.84</v>
      </c>
      <c r="D56" s="4">
        <v>-5.47</v>
      </c>
      <c r="E56" s="4">
        <v>0.38053251558269152</v>
      </c>
      <c r="F56" s="3">
        <v>54</v>
      </c>
      <c r="G56" s="3">
        <v>1</v>
      </c>
      <c r="H56" s="5">
        <v>16982834.25</v>
      </c>
      <c r="I56" s="5">
        <v>17007854.25</v>
      </c>
      <c r="J56" s="5">
        <v>27130</v>
      </c>
      <c r="K56" s="5">
        <v>2110</v>
      </c>
      <c r="L56" s="5">
        <v>33560</v>
      </c>
      <c r="M56" s="5">
        <v>-27020</v>
      </c>
      <c r="N56" s="5">
        <v>-27440</v>
      </c>
    </row>
    <row r="57" spans="1:14" x14ac:dyDescent="0.25">
      <c r="A57" s="3" t="s">
        <v>68</v>
      </c>
      <c r="B57" s="4">
        <v>0.05</v>
      </c>
      <c r="C57" s="4">
        <v>132.38999999999999</v>
      </c>
      <c r="D57" s="4">
        <v>-4.04</v>
      </c>
      <c r="E57" s="4">
        <v>0.37129326802744411</v>
      </c>
      <c r="F57" s="3">
        <v>55</v>
      </c>
      <c r="G57" s="3">
        <v>1</v>
      </c>
      <c r="H57" s="5">
        <v>9377.7271999999994</v>
      </c>
      <c r="I57" s="5">
        <v>-659792.27280000004</v>
      </c>
      <c r="J57" s="5">
        <v>230000</v>
      </c>
      <c r="K57" s="5">
        <v>899170</v>
      </c>
      <c r="L57" s="5">
        <v>88150</v>
      </c>
      <c r="M57" s="5">
        <v>-12638940</v>
      </c>
      <c r="N57" s="5">
        <v>-12231500</v>
      </c>
    </row>
    <row r="58" spans="1:14" x14ac:dyDescent="0.25">
      <c r="A58" s="3" t="s">
        <v>69</v>
      </c>
      <c r="B58" s="4">
        <v>-604.01</v>
      </c>
      <c r="C58" s="4">
        <v>0</v>
      </c>
      <c r="D58" s="4">
        <v>0</v>
      </c>
      <c r="E58" s="4">
        <v>0.36341529083800761</v>
      </c>
      <c r="F58" s="3">
        <v>56</v>
      </c>
      <c r="G58" s="3">
        <v>1</v>
      </c>
      <c r="H58" s="5">
        <v>228415996.56</v>
      </c>
      <c r="I58" s="5">
        <v>226872426.56</v>
      </c>
      <c r="J58" s="5">
        <v>0</v>
      </c>
      <c r="K58" s="5">
        <v>1543570</v>
      </c>
      <c r="L58" s="5">
        <v>0</v>
      </c>
      <c r="M58" s="5">
        <v>-375610</v>
      </c>
      <c r="N58" s="5">
        <v>-135570</v>
      </c>
    </row>
    <row r="59" spans="1:14" x14ac:dyDescent="0.25">
      <c r="A59" s="3" t="s">
        <v>70</v>
      </c>
      <c r="B59" s="4">
        <v>-0.05</v>
      </c>
      <c r="C59" s="4">
        <v>137.71</v>
      </c>
      <c r="D59" s="4">
        <v>-171.51</v>
      </c>
      <c r="E59" s="4">
        <v>0.35442115092261578</v>
      </c>
      <c r="F59" s="3">
        <v>57</v>
      </c>
      <c r="G59" s="3">
        <v>1</v>
      </c>
      <c r="H59" s="5">
        <v>90566.850900000005</v>
      </c>
      <c r="I59" s="5">
        <v>80546.850900000005</v>
      </c>
      <c r="J59" s="5">
        <v>0</v>
      </c>
      <c r="K59" s="5">
        <v>10020</v>
      </c>
      <c r="L59" s="5">
        <v>0</v>
      </c>
      <c r="M59" s="5">
        <v>-1718580</v>
      </c>
      <c r="N59" s="5">
        <v>-1718580</v>
      </c>
    </row>
    <row r="60" spans="1:14" x14ac:dyDescent="0.25">
      <c r="A60" s="3" t="s">
        <v>71</v>
      </c>
      <c r="B60" s="4">
        <v>-589.26</v>
      </c>
      <c r="C60" s="4">
        <v>2.96</v>
      </c>
      <c r="D60" s="4">
        <v>-94.67</v>
      </c>
      <c r="E60" s="4">
        <v>0.34457662550184992</v>
      </c>
      <c r="F60" s="3">
        <v>58</v>
      </c>
      <c r="G60" s="3">
        <v>1</v>
      </c>
      <c r="H60" s="5">
        <v>1389567154.04</v>
      </c>
      <c r="I60" s="5">
        <v>1389567054.04</v>
      </c>
      <c r="J60" s="5">
        <v>0</v>
      </c>
      <c r="K60" s="5">
        <v>100</v>
      </c>
      <c r="L60" s="5">
        <v>0</v>
      </c>
      <c r="M60" s="5">
        <v>-2358170</v>
      </c>
      <c r="N60" s="5">
        <v>-2333620</v>
      </c>
    </row>
    <row r="61" spans="1:14" x14ac:dyDescent="0.25">
      <c r="A61" s="3" t="s">
        <v>72</v>
      </c>
      <c r="B61" s="4">
        <v>-560.23</v>
      </c>
      <c r="C61" s="4">
        <v>0.02</v>
      </c>
      <c r="D61" s="4">
        <v>0.02</v>
      </c>
      <c r="E61" s="4">
        <v>0.33638059356338651</v>
      </c>
      <c r="F61" s="3">
        <v>59</v>
      </c>
      <c r="G61" s="3">
        <v>1</v>
      </c>
      <c r="H61" s="5">
        <v>323226670.18000001</v>
      </c>
      <c r="I61" s="5">
        <v>322529580.18000001</v>
      </c>
      <c r="J61" s="5">
        <v>0</v>
      </c>
      <c r="K61" s="5">
        <v>697090</v>
      </c>
      <c r="L61" s="5">
        <v>0</v>
      </c>
      <c r="M61" s="5">
        <v>-575710</v>
      </c>
      <c r="N61" s="5">
        <v>4747100</v>
      </c>
    </row>
    <row r="62" spans="1:14" x14ac:dyDescent="0.25">
      <c r="A62" s="3" t="s">
        <v>73</v>
      </c>
      <c r="B62" s="4">
        <v>-559.05999999999995</v>
      </c>
      <c r="C62" s="4">
        <v>0.26</v>
      </c>
      <c r="D62" s="4">
        <v>-0.45</v>
      </c>
      <c r="E62" s="4">
        <v>0.33625923881603259</v>
      </c>
      <c r="F62" s="3">
        <v>60</v>
      </c>
      <c r="G62" s="3">
        <v>1</v>
      </c>
      <c r="H62" s="5">
        <v>5033628</v>
      </c>
      <c r="I62" s="5">
        <v>5065048</v>
      </c>
      <c r="J62" s="5">
        <v>51490</v>
      </c>
      <c r="K62" s="5">
        <v>20070</v>
      </c>
      <c r="L62" s="5">
        <v>30980</v>
      </c>
      <c r="M62" s="5">
        <v>-9060</v>
      </c>
      <c r="N62" s="5">
        <v>-9060</v>
      </c>
    </row>
    <row r="63" spans="1:14" x14ac:dyDescent="0.25">
      <c r="A63" s="3" t="s">
        <v>74</v>
      </c>
      <c r="B63" s="4">
        <v>-535.65</v>
      </c>
      <c r="C63" s="4">
        <v>3.04</v>
      </c>
      <c r="D63" s="4">
        <v>-2.79</v>
      </c>
      <c r="E63" s="4">
        <v>0.32935133881005729</v>
      </c>
      <c r="F63" s="3">
        <v>61</v>
      </c>
      <c r="G63" s="3">
        <v>1</v>
      </c>
      <c r="H63" s="5">
        <v>4352137190.6000004</v>
      </c>
      <c r="I63" s="5">
        <v>4356999190.6000004</v>
      </c>
      <c r="J63" s="5">
        <v>5597000</v>
      </c>
      <c r="K63" s="5">
        <v>735000</v>
      </c>
      <c r="L63" s="5">
        <v>20539000</v>
      </c>
      <c r="M63" s="5">
        <v>-8134000</v>
      </c>
      <c r="N63" s="5">
        <v>-21300000</v>
      </c>
    </row>
    <row r="64" spans="1:14" x14ac:dyDescent="0.25">
      <c r="A64" s="3" t="s">
        <v>75</v>
      </c>
      <c r="B64" s="4">
        <v>-501.9</v>
      </c>
      <c r="C64" s="4">
        <v>4.8499999999999996</v>
      </c>
      <c r="D64" s="4">
        <v>3.93</v>
      </c>
      <c r="E64" s="4">
        <v>0.31498881831212178</v>
      </c>
      <c r="F64" s="3">
        <v>62</v>
      </c>
      <c r="G64" s="3">
        <v>1</v>
      </c>
      <c r="H64" s="5">
        <v>2385888406.8299999</v>
      </c>
      <c r="I64" s="5">
        <v>2384451676.8299999</v>
      </c>
      <c r="J64" s="5">
        <v>0</v>
      </c>
      <c r="K64" s="5">
        <v>1436730</v>
      </c>
      <c r="L64" s="5">
        <v>3662350</v>
      </c>
      <c r="M64" s="5">
        <v>-4750870</v>
      </c>
      <c r="N64" s="5">
        <v>10099620</v>
      </c>
    </row>
    <row r="65" spans="1:14" x14ac:dyDescent="0.25">
      <c r="A65" s="3" t="s">
        <v>76</v>
      </c>
      <c r="B65" s="4">
        <v>-512.66</v>
      </c>
      <c r="C65" s="4">
        <v>-0.16</v>
      </c>
      <c r="D65" s="4">
        <v>-0.05</v>
      </c>
      <c r="E65" s="4">
        <v>0.30640495395008632</v>
      </c>
      <c r="F65" s="3">
        <v>63</v>
      </c>
      <c r="G65" s="3">
        <v>1</v>
      </c>
      <c r="H65" s="5">
        <v>516237548.75</v>
      </c>
      <c r="I65" s="5">
        <v>531112548.75</v>
      </c>
      <c r="J65" s="5">
        <v>29811000</v>
      </c>
      <c r="K65" s="5">
        <v>14936000</v>
      </c>
      <c r="L65" s="5">
        <v>39011000</v>
      </c>
      <c r="M65" s="5">
        <v>-1036000</v>
      </c>
      <c r="N65" s="5">
        <v>-3823000</v>
      </c>
    </row>
    <row r="66" spans="1:14" x14ac:dyDescent="0.25">
      <c r="A66" s="3" t="s">
        <v>77</v>
      </c>
      <c r="B66" s="4">
        <v>-483.28</v>
      </c>
      <c r="C66" s="4">
        <v>2.29</v>
      </c>
      <c r="D66" s="4">
        <v>-0.67</v>
      </c>
      <c r="E66" s="4">
        <v>0.29518040168280962</v>
      </c>
      <c r="F66" s="3">
        <v>64</v>
      </c>
      <c r="G66" s="3">
        <v>1</v>
      </c>
      <c r="H66" s="5">
        <v>573269713.03999996</v>
      </c>
      <c r="I66" s="5">
        <v>590081713.03999996</v>
      </c>
      <c r="J66" s="5">
        <v>16813000</v>
      </c>
      <c r="K66" s="5">
        <v>1000</v>
      </c>
      <c r="L66" s="5">
        <v>110013000</v>
      </c>
      <c r="M66" s="5">
        <v>-1221000</v>
      </c>
      <c r="N66" s="5">
        <v>-97958000</v>
      </c>
    </row>
    <row r="67" spans="1:14" x14ac:dyDescent="0.25">
      <c r="A67" s="3" t="s">
        <v>78</v>
      </c>
      <c r="B67" s="4">
        <v>-492.68</v>
      </c>
      <c r="C67" s="4">
        <v>0.01</v>
      </c>
      <c r="D67" s="4">
        <v>0.01</v>
      </c>
      <c r="E67" s="4">
        <v>0.29454168644603651</v>
      </c>
      <c r="F67" s="3">
        <v>65</v>
      </c>
      <c r="G67" s="3">
        <v>1</v>
      </c>
      <c r="H67" s="5">
        <v>42867783.350000001</v>
      </c>
      <c r="I67" s="5">
        <v>43449363.350000001</v>
      </c>
      <c r="J67" s="5">
        <v>581580</v>
      </c>
      <c r="K67" s="5">
        <v>0</v>
      </c>
      <c r="L67" s="5">
        <v>0</v>
      </c>
      <c r="M67" s="5">
        <v>-88190</v>
      </c>
      <c r="N67" s="5">
        <v>52840</v>
      </c>
    </row>
    <row r="68" spans="1:14" x14ac:dyDescent="0.25">
      <c r="A68" s="3" t="s">
        <v>79</v>
      </c>
      <c r="B68" s="4">
        <v>-113.12</v>
      </c>
      <c r="C68" s="4">
        <v>79.58</v>
      </c>
      <c r="D68" s="4">
        <v>-0.86</v>
      </c>
      <c r="E68" s="4">
        <v>0.28936280070956388</v>
      </c>
      <c r="F68" s="3">
        <v>66</v>
      </c>
      <c r="G68" s="3">
        <v>1</v>
      </c>
      <c r="H68" s="5">
        <v>2675861053.1599998</v>
      </c>
      <c r="I68" s="5">
        <v>2761942053.1599998</v>
      </c>
      <c r="J68" s="5">
        <v>136222000</v>
      </c>
      <c r="K68" s="5">
        <v>50141000</v>
      </c>
      <c r="L68" s="5">
        <v>158236000</v>
      </c>
      <c r="M68" s="5">
        <v>-24415000</v>
      </c>
      <c r="N68" s="5">
        <v>-295547000</v>
      </c>
    </row>
    <row r="69" spans="1:14" x14ac:dyDescent="0.25">
      <c r="A69" s="3" t="s">
        <v>80</v>
      </c>
      <c r="B69" s="4">
        <v>-469.75</v>
      </c>
      <c r="C69" s="4">
        <v>-0.5</v>
      </c>
      <c r="D69" s="4">
        <v>-0.49</v>
      </c>
      <c r="E69" s="4">
        <v>0.27877981249602513</v>
      </c>
      <c r="F69" s="3">
        <v>67</v>
      </c>
      <c r="G69" s="3">
        <v>1</v>
      </c>
      <c r="H69" s="5">
        <v>625154513</v>
      </c>
      <c r="I69" s="5">
        <v>625001523</v>
      </c>
      <c r="J69" s="5">
        <v>0</v>
      </c>
      <c r="K69" s="5">
        <v>152990</v>
      </c>
      <c r="L69" s="5">
        <v>314720</v>
      </c>
      <c r="M69" s="5">
        <v>-1330500</v>
      </c>
      <c r="N69" s="5">
        <v>-25878590</v>
      </c>
    </row>
    <row r="70" spans="1:14" x14ac:dyDescent="0.25">
      <c r="A70" s="3" t="s">
        <v>81</v>
      </c>
      <c r="B70" s="4">
        <v>-463.23</v>
      </c>
      <c r="C70" s="4">
        <v>-0.13</v>
      </c>
      <c r="D70" s="4">
        <v>7.88</v>
      </c>
      <c r="E70" s="4">
        <v>0.277428109086438</v>
      </c>
      <c r="F70" s="3">
        <v>68</v>
      </c>
      <c r="G70" s="3">
        <v>1</v>
      </c>
      <c r="H70" s="5">
        <v>14375000</v>
      </c>
      <c r="I70" s="5">
        <v>14374000</v>
      </c>
      <c r="J70" s="5">
        <v>0</v>
      </c>
      <c r="K70" s="5">
        <v>1000</v>
      </c>
      <c r="L70" s="5">
        <v>5400</v>
      </c>
      <c r="M70" s="5">
        <v>-31030</v>
      </c>
      <c r="N70" s="5">
        <v>9930</v>
      </c>
    </row>
    <row r="71" spans="1:14" x14ac:dyDescent="0.25">
      <c r="A71" s="3" t="s">
        <v>82</v>
      </c>
      <c r="B71" s="4">
        <v>-464.64</v>
      </c>
      <c r="C71" s="4">
        <v>0</v>
      </c>
      <c r="D71" s="4">
        <v>0</v>
      </c>
      <c r="E71" s="4">
        <v>0.27715633103783932</v>
      </c>
      <c r="F71" s="3">
        <v>69</v>
      </c>
      <c r="G71" s="3">
        <v>1</v>
      </c>
      <c r="H71" s="5">
        <v>94341200</v>
      </c>
      <c r="I71" s="5">
        <v>93694480</v>
      </c>
      <c r="J71" s="5">
        <v>0</v>
      </c>
      <c r="K71" s="5">
        <v>646720</v>
      </c>
      <c r="L71" s="5">
        <v>0</v>
      </c>
      <c r="M71" s="5">
        <v>-201650</v>
      </c>
      <c r="N71" s="5">
        <v>142880</v>
      </c>
    </row>
    <row r="72" spans="1:14" x14ac:dyDescent="0.25">
      <c r="A72" s="3" t="s">
        <v>83</v>
      </c>
      <c r="B72" s="4">
        <v>-478.06</v>
      </c>
      <c r="C72" s="4">
        <v>-4.1500000000000004</v>
      </c>
      <c r="D72" s="4">
        <v>-7.0000000000000007E-2</v>
      </c>
      <c r="E72" s="4">
        <v>0.27345789498627471</v>
      </c>
      <c r="F72" s="3">
        <v>70</v>
      </c>
      <c r="G72" s="3">
        <v>1</v>
      </c>
      <c r="H72" s="5">
        <v>57411380750.080002</v>
      </c>
      <c r="I72" s="5">
        <v>57469573750.080002</v>
      </c>
      <c r="J72" s="5">
        <v>1024621000</v>
      </c>
      <c r="K72" s="5">
        <v>966428000</v>
      </c>
      <c r="L72" s="5">
        <v>2248243000</v>
      </c>
      <c r="M72" s="5">
        <v>-120215000</v>
      </c>
      <c r="N72" s="5">
        <v>-278157000</v>
      </c>
    </row>
    <row r="73" spans="1:14" x14ac:dyDescent="0.25">
      <c r="A73" s="3" t="s">
        <v>84</v>
      </c>
      <c r="B73" s="4">
        <v>-449.5</v>
      </c>
      <c r="C73" s="4">
        <v>-1.1399999999999999</v>
      </c>
      <c r="D73" s="4">
        <v>-0.83</v>
      </c>
      <c r="E73" s="4">
        <v>0.26433189320688277</v>
      </c>
      <c r="F73" s="3">
        <v>71</v>
      </c>
      <c r="G73" s="3">
        <v>1</v>
      </c>
      <c r="H73" s="5">
        <v>3679002080</v>
      </c>
      <c r="I73" s="5">
        <v>3676128620</v>
      </c>
      <c r="J73" s="5">
        <v>237680</v>
      </c>
      <c r="K73" s="5">
        <v>3111140</v>
      </c>
      <c r="L73" s="5">
        <v>2040600</v>
      </c>
      <c r="M73" s="5">
        <v>-8178330</v>
      </c>
      <c r="N73" s="5">
        <v>-5212880</v>
      </c>
    </row>
    <row r="74" spans="1:14" x14ac:dyDescent="0.25">
      <c r="A74" s="3" t="s">
        <v>85</v>
      </c>
      <c r="B74" s="4">
        <v>-443.21</v>
      </c>
      <c r="C74" s="4">
        <v>-0.22</v>
      </c>
      <c r="D74" s="4">
        <v>-7.0000000000000007E-2</v>
      </c>
      <c r="E74" s="4">
        <v>0.26324370068864172</v>
      </c>
      <c r="F74" s="3">
        <v>72</v>
      </c>
      <c r="G74" s="3">
        <v>1</v>
      </c>
      <c r="H74" s="5">
        <v>705.11500000000001</v>
      </c>
      <c r="I74" s="5">
        <v>165316705.11500001</v>
      </c>
      <c r="J74" s="5">
        <v>165503000</v>
      </c>
      <c r="K74" s="5">
        <v>187000</v>
      </c>
      <c r="L74" s="5">
        <v>415351000</v>
      </c>
      <c r="M74" s="5">
        <v>-373000</v>
      </c>
      <c r="N74" s="5">
        <v>-33213000</v>
      </c>
    </row>
    <row r="75" spans="1:14" x14ac:dyDescent="0.25">
      <c r="A75" s="3" t="s">
        <v>86</v>
      </c>
      <c r="B75" s="4">
        <v>-428.19</v>
      </c>
      <c r="C75" s="4">
        <v>-0.04</v>
      </c>
      <c r="D75" s="4">
        <v>-0.01</v>
      </c>
      <c r="E75" s="4">
        <v>0.25447917281735671</v>
      </c>
      <c r="F75" s="3">
        <v>73</v>
      </c>
      <c r="G75" s="3">
        <v>1</v>
      </c>
      <c r="H75" s="5">
        <v>4915298897.7399998</v>
      </c>
      <c r="I75" s="5">
        <v>4644570887.7399998</v>
      </c>
      <c r="J75" s="5">
        <v>0</v>
      </c>
      <c r="K75" s="5">
        <v>270728010</v>
      </c>
      <c r="L75" s="5">
        <v>390229670</v>
      </c>
      <c r="M75" s="5">
        <v>-10846870</v>
      </c>
      <c r="N75" s="5">
        <v>-22693650</v>
      </c>
    </row>
    <row r="76" spans="1:14" x14ac:dyDescent="0.25">
      <c r="A76" s="3" t="s">
        <v>87</v>
      </c>
      <c r="B76" s="4">
        <v>-430.83</v>
      </c>
      <c r="C76" s="4">
        <v>-0.68</v>
      </c>
      <c r="D76" s="4">
        <v>-0.63</v>
      </c>
      <c r="E76" s="4">
        <v>0.25414433262465441</v>
      </c>
      <c r="F76" s="3">
        <v>74</v>
      </c>
      <c r="G76" s="3">
        <v>1</v>
      </c>
      <c r="H76" s="5">
        <v>938164000.89999998</v>
      </c>
      <c r="I76" s="5">
        <v>763934130.89999998</v>
      </c>
      <c r="J76" s="5">
        <v>2000000</v>
      </c>
      <c r="K76" s="5">
        <v>176229870</v>
      </c>
      <c r="L76" s="5">
        <v>14777800</v>
      </c>
      <c r="M76" s="5">
        <v>-1773180</v>
      </c>
      <c r="N76" s="5">
        <v>-134977370</v>
      </c>
    </row>
    <row r="77" spans="1:14" x14ac:dyDescent="0.25">
      <c r="A77" s="3" t="s">
        <v>88</v>
      </c>
      <c r="B77" s="4">
        <v>-437.38</v>
      </c>
      <c r="C77" s="4">
        <v>-2.96</v>
      </c>
      <c r="D77" s="4">
        <v>-1.78</v>
      </c>
      <c r="E77" s="4">
        <v>0.25138868190053049</v>
      </c>
      <c r="F77" s="3">
        <v>75</v>
      </c>
      <c r="G77" s="3">
        <v>1</v>
      </c>
      <c r="H77" s="5">
        <v>659872972.5</v>
      </c>
      <c r="I77" s="5">
        <v>660175372.5</v>
      </c>
      <c r="J77" s="5">
        <v>313410</v>
      </c>
      <c r="K77" s="5">
        <v>11010</v>
      </c>
      <c r="L77" s="5">
        <v>0</v>
      </c>
      <c r="M77" s="5">
        <v>-1509390</v>
      </c>
      <c r="N77" s="5">
        <v>-2784840</v>
      </c>
    </row>
    <row r="78" spans="1:14" x14ac:dyDescent="0.25">
      <c r="A78" s="3" t="s">
        <v>89</v>
      </c>
      <c r="B78" s="4">
        <v>-416.64</v>
      </c>
      <c r="C78" s="4">
        <v>0.04</v>
      </c>
      <c r="D78" s="4">
        <v>0.04</v>
      </c>
      <c r="E78" s="4">
        <v>0.2475714342262354</v>
      </c>
      <c r="F78" s="3">
        <v>76</v>
      </c>
      <c r="G78" s="3">
        <v>1</v>
      </c>
      <c r="H78" s="5">
        <v>280955193.75</v>
      </c>
      <c r="I78" s="5">
        <v>279329443.75</v>
      </c>
      <c r="J78" s="5">
        <v>0</v>
      </c>
      <c r="K78" s="5">
        <v>1625750</v>
      </c>
      <c r="L78" s="5">
        <v>0</v>
      </c>
      <c r="M78" s="5">
        <v>-670430</v>
      </c>
      <c r="N78" s="5">
        <v>8216000</v>
      </c>
    </row>
    <row r="79" spans="1:14" x14ac:dyDescent="0.25">
      <c r="A79" s="3" t="s">
        <v>90</v>
      </c>
      <c r="B79" s="4">
        <v>-389.89</v>
      </c>
      <c r="C79" s="4">
        <v>2.09</v>
      </c>
      <c r="D79" s="4">
        <v>-2.6</v>
      </c>
      <c r="E79" s="4">
        <v>0.23642923540805549</v>
      </c>
      <c r="F79" s="3">
        <v>77</v>
      </c>
      <c r="G79" s="3">
        <v>1</v>
      </c>
      <c r="H79" s="5">
        <v>611600000</v>
      </c>
      <c r="I79" s="5">
        <v>611428070</v>
      </c>
      <c r="J79" s="5">
        <v>0</v>
      </c>
      <c r="K79" s="5">
        <v>171930</v>
      </c>
      <c r="L79" s="5">
        <v>11570</v>
      </c>
      <c r="M79" s="5">
        <v>-1568190</v>
      </c>
      <c r="N79" s="5">
        <v>-1608000</v>
      </c>
    </row>
    <row r="80" spans="1:14" x14ac:dyDescent="0.25">
      <c r="A80" s="3" t="s">
        <v>91</v>
      </c>
      <c r="B80" s="4">
        <v>-397.44</v>
      </c>
      <c r="C80" s="4">
        <v>-0.26</v>
      </c>
      <c r="D80" s="4">
        <v>-0.25</v>
      </c>
      <c r="E80" s="4">
        <v>0.23476540930666531</v>
      </c>
      <c r="F80" s="3">
        <v>78</v>
      </c>
      <c r="G80" s="3">
        <v>1</v>
      </c>
      <c r="H80" s="5">
        <v>10489546254.17</v>
      </c>
      <c r="I80" s="5">
        <v>9538546254.1700001</v>
      </c>
      <c r="J80" s="5">
        <v>0</v>
      </c>
      <c r="K80" s="5">
        <v>951000000</v>
      </c>
      <c r="L80" s="5">
        <v>1654000000</v>
      </c>
      <c r="M80" s="5">
        <v>-24000000</v>
      </c>
      <c r="N80" s="5">
        <v>-3090000000</v>
      </c>
    </row>
    <row r="81" spans="1:14" x14ac:dyDescent="0.25">
      <c r="A81" s="3" t="s">
        <v>92</v>
      </c>
      <c r="B81" s="4">
        <v>-390.17</v>
      </c>
      <c r="C81" s="4">
        <v>-0.19</v>
      </c>
      <c r="D81" s="4">
        <v>-0.13</v>
      </c>
      <c r="E81" s="4">
        <v>0.2304912603329213</v>
      </c>
      <c r="F81" s="3">
        <v>79</v>
      </c>
      <c r="G81" s="3">
        <v>1</v>
      </c>
      <c r="H81" s="5">
        <v>757084347.44000006</v>
      </c>
      <c r="I81" s="5">
        <v>740668487.44000006</v>
      </c>
      <c r="J81" s="5">
        <v>7500000</v>
      </c>
      <c r="K81" s="5">
        <v>23915860</v>
      </c>
      <c r="L81" s="5">
        <v>1007430</v>
      </c>
      <c r="M81" s="5">
        <v>-1898340</v>
      </c>
      <c r="N81" s="5">
        <v>-4534400</v>
      </c>
    </row>
    <row r="82" spans="1:14" x14ac:dyDescent="0.25">
      <c r="A82" s="3" t="s">
        <v>93</v>
      </c>
      <c r="B82" s="4">
        <v>-384.22</v>
      </c>
      <c r="C82" s="4">
        <v>-0.04</v>
      </c>
      <c r="D82" s="4">
        <v>-0.01</v>
      </c>
      <c r="E82" s="4">
        <v>0.22726523536730711</v>
      </c>
      <c r="F82" s="3">
        <v>80</v>
      </c>
      <c r="G82" s="3">
        <v>1</v>
      </c>
      <c r="H82" s="5">
        <v>623123654.39999998</v>
      </c>
      <c r="I82" s="5">
        <v>8017172654.3999996</v>
      </c>
      <c r="J82" s="5">
        <v>7561471000</v>
      </c>
      <c r="K82" s="5">
        <v>167422000</v>
      </c>
      <c r="L82" s="5">
        <v>527119000</v>
      </c>
      <c r="M82" s="5">
        <v>-20866000</v>
      </c>
      <c r="N82" s="5">
        <v>-62029000</v>
      </c>
    </row>
    <row r="83" spans="1:14" x14ac:dyDescent="0.25">
      <c r="A83" s="3" t="s">
        <v>94</v>
      </c>
      <c r="B83" s="4">
        <v>-338.79</v>
      </c>
      <c r="C83" s="4">
        <v>-0.28999999999999998</v>
      </c>
      <c r="D83" s="4">
        <v>-0.26</v>
      </c>
      <c r="E83" s="4">
        <v>0.1983771080456852</v>
      </c>
      <c r="F83" s="3">
        <v>81</v>
      </c>
      <c r="G83" s="3">
        <v>1</v>
      </c>
      <c r="H83" s="5">
        <v>17894662588.619999</v>
      </c>
      <c r="I83" s="5">
        <v>17797530588.619999</v>
      </c>
      <c r="J83" s="5">
        <v>0</v>
      </c>
      <c r="K83" s="5">
        <v>97132000</v>
      </c>
      <c r="L83" s="5">
        <v>0</v>
      </c>
      <c r="M83" s="5">
        <v>-52533000</v>
      </c>
      <c r="N83" s="5">
        <v>-73616000</v>
      </c>
    </row>
    <row r="84" spans="1:14" x14ac:dyDescent="0.25">
      <c r="A84" s="3" t="s">
        <v>95</v>
      </c>
      <c r="B84" s="4">
        <v>-317.32</v>
      </c>
      <c r="C84" s="4">
        <v>0.26</v>
      </c>
      <c r="D84" s="4">
        <v>-0.49</v>
      </c>
      <c r="E84" s="4">
        <v>0.1866336641885725</v>
      </c>
      <c r="F84" s="3">
        <v>82</v>
      </c>
      <c r="G84" s="3">
        <v>1</v>
      </c>
      <c r="H84" s="5">
        <v>1304324839.7056</v>
      </c>
      <c r="I84" s="5">
        <v>1328458069.7056</v>
      </c>
      <c r="J84" s="5">
        <v>24238500</v>
      </c>
      <c r="K84" s="5">
        <v>105270</v>
      </c>
      <c r="L84" s="5">
        <v>2141650</v>
      </c>
      <c r="M84" s="5">
        <v>-4186430</v>
      </c>
      <c r="N84" s="5">
        <v>-5992730</v>
      </c>
    </row>
    <row r="85" spans="1:14" x14ac:dyDescent="0.25">
      <c r="A85" s="3" t="s">
        <v>96</v>
      </c>
      <c r="B85" s="4">
        <v>-304.70999999999998</v>
      </c>
      <c r="C85" s="4">
        <v>0.01</v>
      </c>
      <c r="D85" s="4">
        <v>0.01</v>
      </c>
      <c r="E85" s="4">
        <v>0.17820318695807169</v>
      </c>
      <c r="F85" s="3">
        <v>83</v>
      </c>
      <c r="G85" s="3">
        <v>1</v>
      </c>
      <c r="H85" s="5">
        <v>325600007.39999998</v>
      </c>
      <c r="I85" s="5">
        <v>324512007.39999998</v>
      </c>
      <c r="J85" s="5">
        <v>0</v>
      </c>
      <c r="K85" s="5">
        <v>1088000</v>
      </c>
      <c r="L85" s="5">
        <v>0</v>
      </c>
      <c r="M85" s="5">
        <v>-1065000</v>
      </c>
      <c r="N85" s="5">
        <v>2281000</v>
      </c>
    </row>
    <row r="86" spans="1:14" x14ac:dyDescent="0.25">
      <c r="A86" s="3" t="s">
        <v>97</v>
      </c>
      <c r="B86" s="4">
        <v>-305.14999999999998</v>
      </c>
      <c r="C86" s="4">
        <v>-0.19</v>
      </c>
      <c r="D86" s="4">
        <v>-0.09</v>
      </c>
      <c r="E86" s="4">
        <v>0.17787834960267879</v>
      </c>
      <c r="F86" s="3">
        <v>84</v>
      </c>
      <c r="G86" s="3">
        <v>1</v>
      </c>
      <c r="H86" s="5">
        <v>80219201.439999998</v>
      </c>
      <c r="I86" s="5">
        <v>87577201.439999998</v>
      </c>
      <c r="J86" s="5">
        <v>8197000</v>
      </c>
      <c r="K86" s="5">
        <v>839000</v>
      </c>
      <c r="L86" s="5">
        <v>64857000</v>
      </c>
      <c r="M86" s="5">
        <v>-287000</v>
      </c>
      <c r="N86" s="5">
        <v>-6599000</v>
      </c>
    </row>
    <row r="87" spans="1:14" x14ac:dyDescent="0.25">
      <c r="A87" s="3" t="s">
        <v>98</v>
      </c>
      <c r="B87" s="4">
        <v>-0.45</v>
      </c>
      <c r="C87" s="4">
        <v>64.95</v>
      </c>
      <c r="D87" s="4">
        <v>-4.8099999999999996</v>
      </c>
      <c r="E87" s="4">
        <v>0.17659570756032561</v>
      </c>
      <c r="F87" s="3">
        <v>85</v>
      </c>
      <c r="G87" s="3">
        <v>1</v>
      </c>
      <c r="H87" s="5">
        <v>7141.6037999999999</v>
      </c>
      <c r="I87" s="5">
        <v>13362411.603800001</v>
      </c>
      <c r="J87" s="5">
        <v>15200000</v>
      </c>
      <c r="K87" s="5">
        <v>1844730</v>
      </c>
      <c r="L87" s="5">
        <v>1487040</v>
      </c>
      <c r="M87" s="5">
        <v>-29687370</v>
      </c>
      <c r="N87" s="5">
        <v>-101850820</v>
      </c>
    </row>
    <row r="88" spans="1:14" x14ac:dyDescent="0.25">
      <c r="A88" s="3" t="s">
        <v>99</v>
      </c>
      <c r="B88" s="4">
        <v>-300.27</v>
      </c>
      <c r="C88" s="4">
        <v>-0.04</v>
      </c>
      <c r="D88" s="4">
        <v>-0.02</v>
      </c>
      <c r="E88" s="4">
        <v>0.17530492451376439</v>
      </c>
      <c r="F88" s="3">
        <v>86</v>
      </c>
      <c r="G88" s="3">
        <v>1</v>
      </c>
      <c r="H88" s="5">
        <v>3219141476.1599998</v>
      </c>
      <c r="I88" s="5">
        <v>2906032476.1599998</v>
      </c>
      <c r="J88" s="5">
        <v>0</v>
      </c>
      <c r="K88" s="5">
        <v>313109000</v>
      </c>
      <c r="L88" s="5">
        <v>504120000</v>
      </c>
      <c r="M88" s="5">
        <v>-9678000</v>
      </c>
      <c r="N88" s="5">
        <v>-18217000</v>
      </c>
    </row>
    <row r="89" spans="1:14" x14ac:dyDescent="0.25">
      <c r="A89" s="3" t="s">
        <v>100</v>
      </c>
      <c r="B89" s="4">
        <v>-298.61</v>
      </c>
      <c r="C89" s="4">
        <v>0.09</v>
      </c>
      <c r="D89" s="4">
        <v>0.01</v>
      </c>
      <c r="E89" s="4">
        <v>0.1746589203389701</v>
      </c>
      <c r="F89" s="3">
        <v>87</v>
      </c>
      <c r="G89" s="3">
        <v>1</v>
      </c>
      <c r="H89" s="5">
        <v>1365549530.98</v>
      </c>
      <c r="I89" s="5">
        <v>15377606530.98</v>
      </c>
      <c r="J89" s="5">
        <v>14204444000</v>
      </c>
      <c r="K89" s="5">
        <v>192387000</v>
      </c>
      <c r="L89" s="5">
        <v>416015000</v>
      </c>
      <c r="M89" s="5">
        <v>-51498000</v>
      </c>
      <c r="N89" s="5">
        <v>145861000</v>
      </c>
    </row>
    <row r="90" spans="1:14" x14ac:dyDescent="0.25">
      <c r="A90" s="3" t="s">
        <v>101</v>
      </c>
      <c r="B90" s="4">
        <v>-298.89999999999998</v>
      </c>
      <c r="C90" s="4">
        <v>-0.03</v>
      </c>
      <c r="D90" s="4">
        <v>-0.03</v>
      </c>
      <c r="E90" s="4">
        <v>0.1744839679137018</v>
      </c>
      <c r="F90" s="3">
        <v>88</v>
      </c>
      <c r="G90" s="3">
        <v>1</v>
      </c>
      <c r="H90" s="5">
        <v>772069560.70000005</v>
      </c>
      <c r="I90" s="5">
        <v>747540560.70000005</v>
      </c>
      <c r="J90" s="5">
        <v>0</v>
      </c>
      <c r="K90" s="5">
        <v>24529000</v>
      </c>
      <c r="L90" s="5">
        <v>58968000</v>
      </c>
      <c r="M90" s="5">
        <v>-2501000</v>
      </c>
      <c r="N90" s="5">
        <v>-3910000</v>
      </c>
    </row>
    <row r="91" spans="1:14" x14ac:dyDescent="0.25">
      <c r="A91" s="3" t="s">
        <v>102</v>
      </c>
      <c r="B91" s="4">
        <v>-290.48</v>
      </c>
      <c r="C91" s="4">
        <v>0.03</v>
      </c>
      <c r="D91" s="4">
        <v>0.02</v>
      </c>
      <c r="E91" s="4">
        <v>0.16945566349173691</v>
      </c>
      <c r="F91" s="3">
        <v>89</v>
      </c>
      <c r="G91" s="3">
        <v>1</v>
      </c>
      <c r="H91" s="5">
        <v>894378349.85000002</v>
      </c>
      <c r="I91" s="5">
        <v>843561349.85000002</v>
      </c>
      <c r="J91" s="5">
        <v>0</v>
      </c>
      <c r="K91" s="5">
        <v>50817000</v>
      </c>
      <c r="L91" s="5">
        <v>89149000</v>
      </c>
      <c r="M91" s="5">
        <v>-2904000</v>
      </c>
      <c r="N91" s="5">
        <v>7998000</v>
      </c>
    </row>
    <row r="92" spans="1:14" x14ac:dyDescent="0.25">
      <c r="A92" s="3" t="s">
        <v>103</v>
      </c>
      <c r="B92" s="4">
        <v>-279.13</v>
      </c>
      <c r="C92" s="4">
        <v>-0.18</v>
      </c>
      <c r="D92" s="4">
        <v>-0.05</v>
      </c>
      <c r="E92" s="4">
        <v>0.1618106460922078</v>
      </c>
      <c r="F92" s="3">
        <v>90</v>
      </c>
      <c r="G92" s="3">
        <v>1</v>
      </c>
      <c r="H92" s="5">
        <v>40234325.880000003</v>
      </c>
      <c r="I92" s="5">
        <v>62525325.880000003</v>
      </c>
      <c r="J92" s="5">
        <v>24005000</v>
      </c>
      <c r="K92" s="5">
        <v>1714000</v>
      </c>
      <c r="L92" s="5">
        <v>79633000</v>
      </c>
      <c r="M92" s="5">
        <v>-224000</v>
      </c>
      <c r="N92" s="5">
        <v>-5383000</v>
      </c>
    </row>
    <row r="93" spans="1:14" x14ac:dyDescent="0.25">
      <c r="A93" s="3" t="s">
        <v>104</v>
      </c>
      <c r="B93" s="4">
        <v>-273.74</v>
      </c>
      <c r="C93" s="4">
        <v>-0.05</v>
      </c>
      <c r="D93" s="4">
        <v>-0.04</v>
      </c>
      <c r="E93" s="4">
        <v>0.1588522101392485</v>
      </c>
      <c r="F93" s="3">
        <v>91</v>
      </c>
      <c r="G93" s="3">
        <v>1</v>
      </c>
      <c r="H93" s="5">
        <v>1246191605.75</v>
      </c>
      <c r="I93" s="5">
        <v>1102074605.75</v>
      </c>
      <c r="J93" s="5">
        <v>42000</v>
      </c>
      <c r="K93" s="5">
        <v>144159000</v>
      </c>
      <c r="L93" s="5">
        <v>313901000</v>
      </c>
      <c r="M93" s="5">
        <v>-4026000</v>
      </c>
      <c r="N93" s="5">
        <v>-20208000</v>
      </c>
    </row>
    <row r="94" spans="1:14" x14ac:dyDescent="0.25">
      <c r="A94" s="3" t="s">
        <v>105</v>
      </c>
      <c r="B94" s="4">
        <v>-269.64</v>
      </c>
      <c r="C94" s="4">
        <v>0.1</v>
      </c>
      <c r="D94" s="4">
        <v>0.01</v>
      </c>
      <c r="E94" s="4">
        <v>0.15675768504155119</v>
      </c>
      <c r="F94" s="3">
        <v>92</v>
      </c>
      <c r="G94" s="3">
        <v>1</v>
      </c>
      <c r="H94" s="5">
        <v>1973284252.8</v>
      </c>
      <c r="I94" s="5">
        <v>8159305252.8000002</v>
      </c>
      <c r="J94" s="5">
        <v>6563120000</v>
      </c>
      <c r="K94" s="5">
        <v>377099000</v>
      </c>
      <c r="L94" s="5">
        <v>318028000</v>
      </c>
      <c r="M94" s="5">
        <v>-30260000</v>
      </c>
      <c r="N94" s="5">
        <v>113898000</v>
      </c>
    </row>
    <row r="95" spans="1:14" x14ac:dyDescent="0.25">
      <c r="A95" s="3" t="s">
        <v>106</v>
      </c>
      <c r="B95" s="4">
        <v>-268.64</v>
      </c>
      <c r="C95" s="4">
        <v>-0.12</v>
      </c>
      <c r="D95" s="4">
        <v>-7.0000000000000007E-2</v>
      </c>
      <c r="E95" s="4">
        <v>0.15548767290490531</v>
      </c>
      <c r="F95" s="3">
        <v>93</v>
      </c>
      <c r="G95" s="3">
        <v>1</v>
      </c>
      <c r="H95" s="5">
        <v>10822122426.719999</v>
      </c>
      <c r="I95" s="5">
        <v>13146057426.719999</v>
      </c>
      <c r="J95" s="5">
        <v>3516165000</v>
      </c>
      <c r="K95" s="5">
        <v>1192230000</v>
      </c>
      <c r="L95" s="5">
        <v>5377526000</v>
      </c>
      <c r="M95" s="5">
        <v>-48935000</v>
      </c>
      <c r="N95" s="5">
        <v>-1179449000</v>
      </c>
    </row>
    <row r="96" spans="1:14" x14ac:dyDescent="0.25">
      <c r="A96" s="3" t="s">
        <v>107</v>
      </c>
      <c r="B96" s="4">
        <v>-267.24</v>
      </c>
      <c r="C96" s="4">
        <v>-0.09</v>
      </c>
      <c r="D96" s="4">
        <v>-0.08</v>
      </c>
      <c r="E96" s="4">
        <v>0.15470593590178031</v>
      </c>
      <c r="F96" s="3">
        <v>94</v>
      </c>
      <c r="G96" s="3">
        <v>1</v>
      </c>
      <c r="H96" s="5">
        <v>30241910331.599998</v>
      </c>
      <c r="I96" s="5">
        <v>30162359331.599998</v>
      </c>
      <c r="J96" s="5">
        <v>0</v>
      </c>
      <c r="K96" s="5">
        <v>79551000</v>
      </c>
      <c r="L96" s="5">
        <v>396290000</v>
      </c>
      <c r="M96" s="5">
        <v>-112866000</v>
      </c>
      <c r="N96" s="5">
        <v>-83421000</v>
      </c>
    </row>
    <row r="97" spans="1:14" x14ac:dyDescent="0.25">
      <c r="A97" s="3" t="s">
        <v>108</v>
      </c>
      <c r="B97" s="4">
        <v>-263.45999999999998</v>
      </c>
      <c r="C97" s="4">
        <v>-0.06</v>
      </c>
      <c r="D97" s="4">
        <v>-0.04</v>
      </c>
      <c r="E97" s="4">
        <v>0.15246081307563841</v>
      </c>
      <c r="F97" s="3">
        <v>95</v>
      </c>
      <c r="G97" s="3">
        <v>1</v>
      </c>
      <c r="H97" s="5">
        <v>99975306.900000006</v>
      </c>
      <c r="I97" s="5">
        <v>115397306.90000001</v>
      </c>
      <c r="J97" s="5">
        <v>21717000</v>
      </c>
      <c r="K97" s="5">
        <v>6295000</v>
      </c>
      <c r="L97" s="5">
        <v>397465000</v>
      </c>
      <c r="M97" s="5">
        <v>-438000</v>
      </c>
      <c r="N97" s="5">
        <v>-12507000</v>
      </c>
    </row>
    <row r="98" spans="1:14" x14ac:dyDescent="0.25">
      <c r="A98" s="3" t="s">
        <v>109</v>
      </c>
      <c r="B98" s="4">
        <v>0</v>
      </c>
      <c r="C98" s="4">
        <v>57.48</v>
      </c>
      <c r="D98" s="4">
        <v>-16.920000000000002</v>
      </c>
      <c r="E98" s="4">
        <v>0.15239761767879731</v>
      </c>
      <c r="F98" s="3">
        <v>96</v>
      </c>
      <c r="G98" s="3">
        <v>1</v>
      </c>
      <c r="H98" s="5">
        <v>2048.9168</v>
      </c>
      <c r="I98" s="5">
        <v>952758.91679999977</v>
      </c>
      <c r="J98" s="5">
        <v>9883920</v>
      </c>
      <c r="K98" s="5">
        <v>8933210</v>
      </c>
      <c r="L98" s="5">
        <v>58060030</v>
      </c>
      <c r="M98" s="5">
        <v>-735194400</v>
      </c>
      <c r="N98" s="5">
        <v>-896677760</v>
      </c>
    </row>
    <row r="99" spans="1:14" x14ac:dyDescent="0.25">
      <c r="A99" s="3" t="s">
        <v>110</v>
      </c>
      <c r="B99" s="4">
        <v>-1.38</v>
      </c>
      <c r="C99" s="4">
        <v>55.99</v>
      </c>
      <c r="D99" s="4">
        <v>-2.11</v>
      </c>
      <c r="E99" s="4">
        <v>0.15180346898112601</v>
      </c>
      <c r="F99" s="3">
        <v>97</v>
      </c>
      <c r="G99" s="3">
        <v>1</v>
      </c>
      <c r="H99" s="5">
        <v>6666381.3899999997</v>
      </c>
      <c r="I99" s="5">
        <v>6801381.3899999997</v>
      </c>
      <c r="J99" s="5">
        <v>565000</v>
      </c>
      <c r="K99" s="5">
        <v>430000</v>
      </c>
      <c r="L99" s="5">
        <v>9781000</v>
      </c>
      <c r="M99" s="5">
        <v>-4934000</v>
      </c>
      <c r="N99" s="5">
        <v>-7223000</v>
      </c>
    </row>
    <row r="100" spans="1:14" x14ac:dyDescent="0.25">
      <c r="A100" s="3" t="s">
        <v>111</v>
      </c>
      <c r="B100" s="4">
        <v>-250.07</v>
      </c>
      <c r="C100" s="4">
        <v>2.2599999999999998</v>
      </c>
      <c r="D100" s="4">
        <v>-1.31</v>
      </c>
      <c r="E100" s="4">
        <v>0.15063179709926269</v>
      </c>
      <c r="F100" s="3">
        <v>98</v>
      </c>
      <c r="G100" s="3">
        <v>1</v>
      </c>
      <c r="H100" s="5">
        <v>77961982.640000001</v>
      </c>
      <c r="I100" s="5">
        <v>78282342.640000001</v>
      </c>
      <c r="J100" s="5">
        <v>337580</v>
      </c>
      <c r="K100" s="5">
        <v>17220</v>
      </c>
      <c r="L100" s="5">
        <v>0</v>
      </c>
      <c r="M100" s="5">
        <v>-313040</v>
      </c>
      <c r="N100" s="5">
        <v>-313040</v>
      </c>
    </row>
    <row r="101" spans="1:14" x14ac:dyDescent="0.25">
      <c r="A101" s="3" t="s">
        <v>112</v>
      </c>
      <c r="B101" s="4">
        <v>-3.86</v>
      </c>
      <c r="C101" s="4">
        <v>55.02</v>
      </c>
      <c r="D101" s="4">
        <v>-3.04</v>
      </c>
      <c r="E101" s="4">
        <v>0.1503563126418907</v>
      </c>
      <c r="F101" s="3">
        <v>99</v>
      </c>
      <c r="G101" s="3">
        <v>1</v>
      </c>
      <c r="H101" s="5">
        <v>30158685.75</v>
      </c>
      <c r="I101" s="5">
        <v>28488685.75</v>
      </c>
      <c r="J101" s="5">
        <v>0</v>
      </c>
      <c r="K101" s="5">
        <v>1670000</v>
      </c>
      <c r="L101" s="5">
        <v>0</v>
      </c>
      <c r="M101" s="5">
        <v>-7383000</v>
      </c>
      <c r="N101" s="5">
        <v>-6767000</v>
      </c>
    </row>
    <row r="102" spans="1:14" x14ac:dyDescent="0.25">
      <c r="A102" s="3" t="s">
        <v>113</v>
      </c>
      <c r="B102" s="4">
        <v>-257.5</v>
      </c>
      <c r="C102" s="4">
        <v>-0.08</v>
      </c>
      <c r="D102" s="4">
        <v>-0.05</v>
      </c>
      <c r="E102" s="4">
        <v>0.14871233023957389</v>
      </c>
      <c r="F102" s="3">
        <v>100</v>
      </c>
      <c r="G102" s="3">
        <v>1</v>
      </c>
      <c r="H102" s="5">
        <v>10744792983.540001</v>
      </c>
      <c r="I102" s="5">
        <v>10350650983.540001</v>
      </c>
      <c r="J102" s="5">
        <v>43580000</v>
      </c>
      <c r="K102" s="5">
        <v>437722000</v>
      </c>
      <c r="L102" s="5">
        <v>1151708000</v>
      </c>
      <c r="M102" s="5">
        <v>-40197000</v>
      </c>
      <c r="N102" s="5">
        <v>-105956000</v>
      </c>
    </row>
    <row r="103" spans="1:14" x14ac:dyDescent="0.25">
      <c r="A103" s="3" t="s">
        <v>114</v>
      </c>
      <c r="B103" s="4">
        <v>-29.05</v>
      </c>
      <c r="C103" s="4">
        <v>49.11</v>
      </c>
      <c r="D103" s="4">
        <v>-5.0599999999999996</v>
      </c>
      <c r="E103" s="4">
        <v>0.14848113667862789</v>
      </c>
      <c r="F103" s="3">
        <v>101</v>
      </c>
      <c r="G103" s="3">
        <v>1</v>
      </c>
      <c r="H103" s="5">
        <v>238495150.02000001</v>
      </c>
      <c r="I103" s="5">
        <v>238472610.02000001</v>
      </c>
      <c r="J103" s="5">
        <v>0</v>
      </c>
      <c r="K103" s="5">
        <v>22540</v>
      </c>
      <c r="L103" s="5">
        <v>0</v>
      </c>
      <c r="M103" s="5">
        <v>-8208420</v>
      </c>
      <c r="N103" s="5">
        <v>-13836160</v>
      </c>
    </row>
    <row r="104" spans="1:14" x14ac:dyDescent="0.25">
      <c r="A104" s="3" t="s">
        <v>115</v>
      </c>
      <c r="B104" s="4">
        <v>-247.76</v>
      </c>
      <c r="C104" s="4">
        <v>-0.21</v>
      </c>
      <c r="D104" s="4">
        <v>-0.1</v>
      </c>
      <c r="E104" s="4">
        <v>0.1422987818665449</v>
      </c>
      <c r="F104" s="3">
        <v>102</v>
      </c>
      <c r="G104" s="3">
        <v>1</v>
      </c>
      <c r="H104" s="5">
        <v>17897857735.68</v>
      </c>
      <c r="I104" s="5">
        <v>19614909735.68</v>
      </c>
      <c r="J104" s="5">
        <v>2238922000</v>
      </c>
      <c r="K104" s="5">
        <v>521870000</v>
      </c>
      <c r="L104" s="5">
        <v>1813255000</v>
      </c>
      <c r="M104" s="5">
        <v>-79169000</v>
      </c>
      <c r="N104" s="5">
        <v>-664114000</v>
      </c>
    </row>
    <row r="105" spans="1:14" x14ac:dyDescent="0.25">
      <c r="A105" s="3" t="s">
        <v>116</v>
      </c>
      <c r="B105" s="4">
        <v>-234.78</v>
      </c>
      <c r="C105" s="4">
        <v>-0.34</v>
      </c>
      <c r="D105" s="4">
        <v>-0.14000000000000001</v>
      </c>
      <c r="E105" s="4">
        <v>0.13388185987424039</v>
      </c>
      <c r="F105" s="3">
        <v>103</v>
      </c>
      <c r="G105" s="3">
        <v>1</v>
      </c>
      <c r="H105" s="5">
        <v>43879583.999999903</v>
      </c>
      <c r="I105" s="5">
        <v>42765793.999999903</v>
      </c>
      <c r="J105" s="5">
        <v>0</v>
      </c>
      <c r="K105" s="5">
        <v>1113790</v>
      </c>
      <c r="L105" s="5">
        <v>0</v>
      </c>
      <c r="M105" s="5">
        <v>-182150</v>
      </c>
      <c r="N105" s="5">
        <v>-156380</v>
      </c>
    </row>
    <row r="106" spans="1:14" x14ac:dyDescent="0.25">
      <c r="A106" s="3" t="s">
        <v>117</v>
      </c>
      <c r="B106" s="4">
        <v>-233.52</v>
      </c>
      <c r="C106" s="4">
        <v>-0.09</v>
      </c>
      <c r="D106" s="4">
        <v>-0.06</v>
      </c>
      <c r="E106" s="4">
        <v>0.1338397923443902</v>
      </c>
      <c r="F106" s="3">
        <v>104</v>
      </c>
      <c r="G106" s="3">
        <v>1</v>
      </c>
      <c r="H106" s="5">
        <v>36262499</v>
      </c>
      <c r="I106" s="5">
        <v>36446179</v>
      </c>
      <c r="J106" s="5">
        <v>433990</v>
      </c>
      <c r="K106" s="5">
        <v>250310</v>
      </c>
      <c r="L106" s="5">
        <v>2309220</v>
      </c>
      <c r="M106" s="5">
        <v>-156070</v>
      </c>
      <c r="N106" s="5">
        <v>-431540</v>
      </c>
    </row>
    <row r="107" spans="1:14" x14ac:dyDescent="0.25">
      <c r="A107" s="3" t="s">
        <v>118</v>
      </c>
      <c r="B107" s="4">
        <v>-0.39</v>
      </c>
      <c r="C107" s="4">
        <v>49.87</v>
      </c>
      <c r="D107" s="4">
        <v>-7.18</v>
      </c>
      <c r="E107" s="4">
        <v>0.13252983364947149</v>
      </c>
      <c r="F107" s="3">
        <v>105</v>
      </c>
      <c r="G107" s="3">
        <v>1</v>
      </c>
      <c r="H107" s="5">
        <v>4704977.22</v>
      </c>
      <c r="I107" s="5">
        <v>4168667.22</v>
      </c>
      <c r="J107" s="5">
        <v>328530</v>
      </c>
      <c r="K107" s="5">
        <v>864840</v>
      </c>
      <c r="L107" s="5">
        <v>0</v>
      </c>
      <c r="M107" s="5">
        <v>-10558820</v>
      </c>
      <c r="N107" s="5">
        <v>-10567920</v>
      </c>
    </row>
    <row r="108" spans="1:14" x14ac:dyDescent="0.25">
      <c r="A108" s="3" t="s">
        <v>119</v>
      </c>
      <c r="B108" s="4">
        <v>-234.53</v>
      </c>
      <c r="C108" s="4">
        <v>1.1599999999999999</v>
      </c>
      <c r="D108" s="4">
        <v>-33.69</v>
      </c>
      <c r="E108" s="4">
        <v>0.13158928661645</v>
      </c>
      <c r="F108" s="3">
        <v>106</v>
      </c>
      <c r="G108" s="3">
        <v>1</v>
      </c>
      <c r="H108" s="5">
        <v>24349002</v>
      </c>
      <c r="I108" s="5">
        <v>24433002</v>
      </c>
      <c r="J108" s="5">
        <v>87150</v>
      </c>
      <c r="K108" s="5">
        <v>3150</v>
      </c>
      <c r="L108" s="5">
        <v>0</v>
      </c>
      <c r="M108" s="5">
        <v>-104180</v>
      </c>
      <c r="N108" s="5">
        <v>-106110</v>
      </c>
    </row>
    <row r="109" spans="1:14" x14ac:dyDescent="0.25">
      <c r="A109" s="3" t="s">
        <v>120</v>
      </c>
      <c r="B109" s="4">
        <v>-225.87</v>
      </c>
      <c r="C109" s="4">
        <v>0.01</v>
      </c>
      <c r="D109" s="4">
        <v>0.01</v>
      </c>
      <c r="E109" s="4">
        <v>0.1294074892423131</v>
      </c>
      <c r="F109" s="3">
        <v>107</v>
      </c>
      <c r="G109" s="3">
        <v>1</v>
      </c>
      <c r="H109" s="5">
        <v>576086899.67999995</v>
      </c>
      <c r="I109" s="5">
        <v>499394899.67999989</v>
      </c>
      <c r="J109" s="5">
        <v>0</v>
      </c>
      <c r="K109" s="5">
        <v>76692000</v>
      </c>
      <c r="L109" s="5">
        <v>187593000</v>
      </c>
      <c r="M109" s="5">
        <v>-2211000</v>
      </c>
      <c r="N109" s="5">
        <v>1148000</v>
      </c>
    </row>
    <row r="110" spans="1:14" x14ac:dyDescent="0.25">
      <c r="A110" s="3" t="s">
        <v>121</v>
      </c>
      <c r="B110" s="4">
        <v>0</v>
      </c>
      <c r="C110" s="4">
        <v>50.16</v>
      </c>
      <c r="D110" s="4">
        <v>-30.86</v>
      </c>
      <c r="E110" s="4">
        <v>0.12855843429517089</v>
      </c>
      <c r="F110" s="3">
        <v>108</v>
      </c>
      <c r="G110" s="3">
        <v>1</v>
      </c>
      <c r="H110" s="5">
        <v>279.44754</v>
      </c>
      <c r="I110" s="5">
        <v>-6580.5524600000008</v>
      </c>
      <c r="J110" s="5">
        <v>10000</v>
      </c>
      <c r="K110" s="5">
        <v>16860</v>
      </c>
      <c r="L110" s="5">
        <v>0</v>
      </c>
      <c r="M110" s="5">
        <v>-16046120</v>
      </c>
      <c r="N110" s="5">
        <v>-20096230</v>
      </c>
    </row>
    <row r="111" spans="1:14" x14ac:dyDescent="0.25">
      <c r="A111" s="3" t="s">
        <v>122</v>
      </c>
      <c r="B111" s="4">
        <v>-222.33</v>
      </c>
      <c r="C111" s="4">
        <v>0</v>
      </c>
      <c r="D111" s="4">
        <v>0</v>
      </c>
      <c r="E111" s="4">
        <v>0.12718568779195569</v>
      </c>
      <c r="F111" s="3">
        <v>109</v>
      </c>
      <c r="G111" s="3">
        <v>1</v>
      </c>
      <c r="H111" s="5">
        <v>7650000</v>
      </c>
      <c r="I111" s="5">
        <v>10055790</v>
      </c>
      <c r="J111" s="5">
        <v>2429870</v>
      </c>
      <c r="K111" s="5">
        <v>24080</v>
      </c>
      <c r="L111" s="5">
        <v>2335590</v>
      </c>
      <c r="M111" s="5">
        <v>-45230</v>
      </c>
      <c r="N111" s="5">
        <v>4130</v>
      </c>
    </row>
    <row r="112" spans="1:14" x14ac:dyDescent="0.25">
      <c r="A112" s="3" t="s">
        <v>123</v>
      </c>
      <c r="B112" s="4">
        <v>1.03</v>
      </c>
      <c r="C112" s="4">
        <v>47.66</v>
      </c>
      <c r="D112" s="4">
        <v>-0.55000000000000004</v>
      </c>
      <c r="E112" s="4">
        <v>0.12654442391117771</v>
      </c>
      <c r="F112" s="3">
        <v>110</v>
      </c>
      <c r="G112" s="3">
        <v>1</v>
      </c>
      <c r="H112" s="5">
        <v>70298.017500000002</v>
      </c>
      <c r="I112" s="5">
        <v>-48133801.982500002</v>
      </c>
      <c r="J112" s="5">
        <v>0</v>
      </c>
      <c r="K112" s="5">
        <v>48204100</v>
      </c>
      <c r="L112" s="5">
        <v>316854430</v>
      </c>
      <c r="M112" s="5">
        <v>-46710830</v>
      </c>
      <c r="N112" s="5">
        <v>-55934160</v>
      </c>
    </row>
    <row r="113" spans="1:14" x14ac:dyDescent="0.25">
      <c r="A113" s="3" t="s">
        <v>124</v>
      </c>
      <c r="B113" s="4">
        <v>-218.04</v>
      </c>
      <c r="C113" s="4">
        <v>-0.12</v>
      </c>
      <c r="D113" s="4">
        <v>-0.04</v>
      </c>
      <c r="E113" s="4">
        <v>0.1241760791574259</v>
      </c>
      <c r="F113" s="3">
        <v>111</v>
      </c>
      <c r="G113" s="3">
        <v>1</v>
      </c>
      <c r="H113" s="5">
        <v>9249953177.6000004</v>
      </c>
      <c r="I113" s="5">
        <v>9092139177.6000004</v>
      </c>
      <c r="J113" s="5">
        <v>569729000</v>
      </c>
      <c r="K113" s="5">
        <v>727543000</v>
      </c>
      <c r="L113" s="5">
        <v>1483296000</v>
      </c>
      <c r="M113" s="5">
        <v>-41700000</v>
      </c>
      <c r="N113" s="5">
        <v>-108114000</v>
      </c>
    </row>
    <row r="114" spans="1:14" x14ac:dyDescent="0.25">
      <c r="A114" s="3" t="s">
        <v>125</v>
      </c>
      <c r="B114" s="4">
        <v>11.14</v>
      </c>
      <c r="C114" s="4">
        <v>47.05</v>
      </c>
      <c r="D114" s="4">
        <v>-0.36</v>
      </c>
      <c r="E114" s="4">
        <v>0.1185612784285231</v>
      </c>
      <c r="F114" s="3">
        <v>112</v>
      </c>
      <c r="G114" s="3">
        <v>1</v>
      </c>
      <c r="H114" s="5">
        <v>14475.806289</v>
      </c>
      <c r="I114" s="5">
        <v>2156655.806289</v>
      </c>
      <c r="J114" s="5">
        <v>2195170</v>
      </c>
      <c r="K114" s="5">
        <v>52990</v>
      </c>
      <c r="L114" s="5">
        <v>1515730</v>
      </c>
      <c r="M114" s="5">
        <v>193550</v>
      </c>
      <c r="N114" s="5">
        <v>-1096710</v>
      </c>
    </row>
    <row r="115" spans="1:14" x14ac:dyDescent="0.25">
      <c r="A115" s="3" t="s">
        <v>126</v>
      </c>
      <c r="B115" s="4">
        <v>0.02</v>
      </c>
      <c r="C115" s="4">
        <v>44.23</v>
      </c>
      <c r="D115" s="4">
        <v>-1.73</v>
      </c>
      <c r="E115" s="4">
        <v>0.1170314013444778</v>
      </c>
      <c r="F115" s="3">
        <v>113</v>
      </c>
      <c r="G115" s="3">
        <v>1</v>
      </c>
      <c r="H115" s="5">
        <v>4986.1725999999999</v>
      </c>
      <c r="I115" s="5">
        <v>-855013.82740000077</v>
      </c>
      <c r="J115" s="5">
        <v>14880000</v>
      </c>
      <c r="K115" s="5">
        <v>15740000</v>
      </c>
      <c r="L115" s="5">
        <v>0</v>
      </c>
      <c r="M115" s="5">
        <v>-35533000</v>
      </c>
      <c r="N115" s="5">
        <v>-39760000</v>
      </c>
    </row>
    <row r="116" spans="1:14" x14ac:dyDescent="0.25">
      <c r="A116" s="3" t="s">
        <v>127</v>
      </c>
      <c r="B116" s="4">
        <v>-205.12</v>
      </c>
      <c r="C116" s="4">
        <v>0.13</v>
      </c>
      <c r="D116" s="4">
        <v>0.08</v>
      </c>
      <c r="E116" s="4">
        <v>0.1169251138910934</v>
      </c>
      <c r="F116" s="3">
        <v>114</v>
      </c>
      <c r="G116" s="3">
        <v>1</v>
      </c>
      <c r="H116" s="5">
        <v>6345943484.3999996</v>
      </c>
      <c r="I116" s="5">
        <v>8404627484.3999996</v>
      </c>
      <c r="J116" s="5">
        <v>2450455000</v>
      </c>
      <c r="K116" s="5">
        <v>391771000</v>
      </c>
      <c r="L116" s="5">
        <v>656378000</v>
      </c>
      <c r="M116" s="5">
        <v>-40974000</v>
      </c>
      <c r="N116" s="5">
        <v>541253000</v>
      </c>
    </row>
    <row r="117" spans="1:14" x14ac:dyDescent="0.25">
      <c r="A117" s="3" t="s">
        <v>128</v>
      </c>
      <c r="B117" s="4">
        <v>-204.55</v>
      </c>
      <c r="C117" s="4">
        <v>-0.06</v>
      </c>
      <c r="D117" s="4">
        <v>-0.04</v>
      </c>
      <c r="E117" s="4">
        <v>0.1160002023141552</v>
      </c>
      <c r="F117" s="3">
        <v>115</v>
      </c>
      <c r="G117" s="3">
        <v>1</v>
      </c>
      <c r="H117" s="5">
        <v>3389816487.48</v>
      </c>
      <c r="I117" s="5">
        <v>2735253487.48</v>
      </c>
      <c r="J117" s="5">
        <v>2468000</v>
      </c>
      <c r="K117" s="5">
        <v>657031000</v>
      </c>
      <c r="L117" s="5">
        <v>1263963000</v>
      </c>
      <c r="M117" s="5">
        <v>-13372000</v>
      </c>
      <c r="N117" s="5">
        <v>-36978000</v>
      </c>
    </row>
    <row r="118" spans="1:14" x14ac:dyDescent="0.25">
      <c r="A118" s="3" t="s">
        <v>129</v>
      </c>
      <c r="B118" s="4">
        <v>-0.18</v>
      </c>
      <c r="C118" s="4">
        <v>43.93</v>
      </c>
      <c r="D118" s="4">
        <v>-3.28</v>
      </c>
      <c r="E118" s="4">
        <v>0.1159893781284722</v>
      </c>
      <c r="F118" s="3">
        <v>116</v>
      </c>
      <c r="G118" s="3">
        <v>1</v>
      </c>
      <c r="H118" s="5">
        <v>8779859.0639999993</v>
      </c>
      <c r="I118" s="5">
        <v>3393069.0639999988</v>
      </c>
      <c r="J118" s="5">
        <v>0</v>
      </c>
      <c r="K118" s="5">
        <v>5386790</v>
      </c>
      <c r="L118" s="5">
        <v>2501660</v>
      </c>
      <c r="M118" s="5">
        <v>-18487320</v>
      </c>
      <c r="N118" s="5">
        <v>-22754180</v>
      </c>
    </row>
    <row r="119" spans="1:14" x14ac:dyDescent="0.25">
      <c r="A119" s="3" t="s">
        <v>130</v>
      </c>
      <c r="B119" s="4">
        <v>-200.1</v>
      </c>
      <c r="C119" s="4">
        <v>0.85</v>
      </c>
      <c r="D119" s="4">
        <v>-1.42</v>
      </c>
      <c r="E119" s="4">
        <v>0.1156091183495756</v>
      </c>
      <c r="F119" s="3">
        <v>117</v>
      </c>
      <c r="G119" s="3">
        <v>1</v>
      </c>
      <c r="H119" s="5">
        <v>246837001.80000001</v>
      </c>
      <c r="I119" s="5">
        <v>247728001.80000001</v>
      </c>
      <c r="J119" s="5">
        <v>892000</v>
      </c>
      <c r="K119" s="5">
        <v>1000</v>
      </c>
      <c r="L119" s="5">
        <v>0</v>
      </c>
      <c r="M119" s="5">
        <v>-1238000</v>
      </c>
      <c r="N119" s="5">
        <v>-2298000</v>
      </c>
    </row>
    <row r="120" spans="1:14" x14ac:dyDescent="0.25">
      <c r="A120" s="3" t="s">
        <v>131</v>
      </c>
      <c r="B120" s="4">
        <v>-204.58</v>
      </c>
      <c r="C120" s="4">
        <v>-0.32</v>
      </c>
      <c r="D120" s="4">
        <v>-0.28999999999999998</v>
      </c>
      <c r="E120" s="4">
        <v>0.1152193104844329</v>
      </c>
      <c r="F120" s="3">
        <v>118</v>
      </c>
      <c r="G120" s="3">
        <v>1</v>
      </c>
      <c r="H120" s="5">
        <v>2176605496.8000002</v>
      </c>
      <c r="I120" s="5">
        <v>2148098236.8000002</v>
      </c>
      <c r="J120" s="5">
        <v>0</v>
      </c>
      <c r="K120" s="5">
        <v>28507260</v>
      </c>
      <c r="L120" s="5">
        <v>0</v>
      </c>
      <c r="M120" s="5">
        <v>-10500170</v>
      </c>
      <c r="N120" s="5">
        <v>-10151560</v>
      </c>
    </row>
    <row r="121" spans="1:14" x14ac:dyDescent="0.25">
      <c r="A121" s="3" t="s">
        <v>132</v>
      </c>
      <c r="B121" s="4">
        <v>-202.28</v>
      </c>
      <c r="C121" s="4">
        <v>-0.37</v>
      </c>
      <c r="D121" s="4">
        <v>1.22</v>
      </c>
      <c r="E121" s="4">
        <v>0.1139426081522362</v>
      </c>
      <c r="F121" s="3">
        <v>119</v>
      </c>
      <c r="G121" s="3">
        <v>1</v>
      </c>
      <c r="H121" s="5">
        <v>272367395.19999999</v>
      </c>
      <c r="I121" s="5">
        <v>273948185.19999999</v>
      </c>
      <c r="J121" s="5">
        <v>1900000</v>
      </c>
      <c r="K121" s="5">
        <v>319210</v>
      </c>
      <c r="L121" s="5">
        <v>0</v>
      </c>
      <c r="M121" s="5">
        <v>-1354320</v>
      </c>
      <c r="N121" s="5">
        <v>1682250</v>
      </c>
    </row>
    <row r="122" spans="1:14" x14ac:dyDescent="0.25">
      <c r="A122" s="3" t="s">
        <v>133</v>
      </c>
      <c r="B122" s="4">
        <v>-182.83</v>
      </c>
      <c r="C122" s="4">
        <v>7.06</v>
      </c>
      <c r="D122" s="4">
        <v>-48</v>
      </c>
      <c r="E122" s="4">
        <v>0.11387788426867899</v>
      </c>
      <c r="F122" s="3">
        <v>120</v>
      </c>
      <c r="G122" s="3">
        <v>1</v>
      </c>
      <c r="H122" s="5">
        <v>11057346.85</v>
      </c>
      <c r="I122" s="5">
        <v>11057346.85</v>
      </c>
      <c r="J122" s="5">
        <v>0</v>
      </c>
      <c r="K122" s="5">
        <v>0</v>
      </c>
      <c r="L122" s="5">
        <v>0</v>
      </c>
      <c r="M122" s="5">
        <v>-60480</v>
      </c>
      <c r="N122" s="5">
        <v>-60480</v>
      </c>
    </row>
    <row r="123" spans="1:14" x14ac:dyDescent="0.25">
      <c r="A123" s="3" t="s">
        <v>134</v>
      </c>
      <c r="B123" s="4">
        <v>-201.19</v>
      </c>
      <c r="C123" s="4">
        <v>-0.15</v>
      </c>
      <c r="D123" s="4">
        <v>-0.12</v>
      </c>
      <c r="E123" s="4">
        <v>0.113645154524187</v>
      </c>
      <c r="F123" s="3">
        <v>121</v>
      </c>
      <c r="G123" s="3">
        <v>1</v>
      </c>
      <c r="H123" s="5">
        <v>838168778.45000005</v>
      </c>
      <c r="I123" s="5">
        <v>687468778.45000005</v>
      </c>
      <c r="J123" s="5">
        <v>0</v>
      </c>
      <c r="K123" s="5">
        <v>150700000</v>
      </c>
      <c r="L123" s="5">
        <v>572458000</v>
      </c>
      <c r="M123" s="5">
        <v>-3417000</v>
      </c>
      <c r="N123" s="5">
        <v>-120283000</v>
      </c>
    </row>
    <row r="124" spans="1:14" x14ac:dyDescent="0.25">
      <c r="A124" s="3" t="s">
        <v>135</v>
      </c>
      <c r="B124" s="4">
        <v>-200.39</v>
      </c>
      <c r="C124" s="4">
        <v>-0.01</v>
      </c>
      <c r="D124" s="4">
        <v>-0.01</v>
      </c>
      <c r="E124" s="4">
        <v>0.1135757478589758</v>
      </c>
      <c r="F124" s="3">
        <v>122</v>
      </c>
      <c r="G124" s="3">
        <v>1</v>
      </c>
      <c r="H124" s="5">
        <v>49770134.960000001</v>
      </c>
      <c r="I124" s="5">
        <v>49905994.960000001</v>
      </c>
      <c r="J124" s="5">
        <v>250000</v>
      </c>
      <c r="K124" s="5">
        <v>114140</v>
      </c>
      <c r="L124" s="5">
        <v>807090</v>
      </c>
      <c r="M124" s="5">
        <v>-249040</v>
      </c>
      <c r="N124" s="5">
        <v>-114260</v>
      </c>
    </row>
    <row r="125" spans="1:14" x14ac:dyDescent="0.25">
      <c r="A125" s="3" t="s">
        <v>136</v>
      </c>
      <c r="B125" s="4">
        <v>-198.7</v>
      </c>
      <c r="C125" s="4">
        <v>-0.17</v>
      </c>
      <c r="D125" s="4">
        <v>-0.12</v>
      </c>
      <c r="E125" s="4">
        <v>0.11204625509158581</v>
      </c>
      <c r="F125" s="3">
        <v>123</v>
      </c>
      <c r="G125" s="3">
        <v>1</v>
      </c>
      <c r="H125" s="5">
        <v>355706032.27999997</v>
      </c>
      <c r="I125" s="5">
        <v>375142032.27999997</v>
      </c>
      <c r="J125" s="5">
        <v>32816000</v>
      </c>
      <c r="K125" s="5">
        <v>13380000</v>
      </c>
      <c r="L125" s="5">
        <v>92127000</v>
      </c>
      <c r="M125" s="5">
        <v>-1888000</v>
      </c>
      <c r="N125" s="5">
        <v>-20110000</v>
      </c>
    </row>
    <row r="126" spans="1:14" x14ac:dyDescent="0.25">
      <c r="A126" s="3" t="s">
        <v>137</v>
      </c>
      <c r="B126" s="4">
        <v>-193.05</v>
      </c>
      <c r="C126" s="4">
        <v>-0.22</v>
      </c>
      <c r="D126" s="4">
        <v>-7.0000000000000007E-2</v>
      </c>
      <c r="E126" s="4">
        <v>0.1084145309705523</v>
      </c>
      <c r="F126" s="3">
        <v>124</v>
      </c>
      <c r="G126" s="3">
        <v>1</v>
      </c>
      <c r="H126" s="5">
        <v>11.733147000000001</v>
      </c>
      <c r="I126" s="5">
        <v>47683011.733147003</v>
      </c>
      <c r="J126" s="5">
        <v>48425000</v>
      </c>
      <c r="K126" s="5">
        <v>742000</v>
      </c>
      <c r="L126" s="5">
        <v>125669000</v>
      </c>
      <c r="M126" s="5">
        <v>-247000</v>
      </c>
      <c r="N126" s="5">
        <v>-6963000</v>
      </c>
    </row>
    <row r="127" spans="1:14" x14ac:dyDescent="0.25">
      <c r="A127" s="3" t="s">
        <v>138</v>
      </c>
      <c r="B127" s="4">
        <v>-191.92</v>
      </c>
      <c r="C127" s="4">
        <v>0</v>
      </c>
      <c r="D127" s="4">
        <v>0</v>
      </c>
      <c r="E127" s="4">
        <v>0.1083643132671432</v>
      </c>
      <c r="F127" s="3">
        <v>125</v>
      </c>
      <c r="G127" s="3">
        <v>1</v>
      </c>
      <c r="H127" s="5">
        <v>113926350</v>
      </c>
      <c r="I127" s="5">
        <v>113478930</v>
      </c>
      <c r="J127" s="5">
        <v>0</v>
      </c>
      <c r="K127" s="5">
        <v>447420</v>
      </c>
      <c r="L127" s="5">
        <v>0</v>
      </c>
      <c r="M127" s="5">
        <v>-591290</v>
      </c>
      <c r="N127" s="5">
        <v>266840</v>
      </c>
    </row>
    <row r="128" spans="1:14" x14ac:dyDescent="0.25">
      <c r="A128" s="3" t="s">
        <v>139</v>
      </c>
      <c r="B128" s="4">
        <v>0.05</v>
      </c>
      <c r="C128" s="4">
        <v>40.69</v>
      </c>
      <c r="D128" s="4">
        <v>-2.42</v>
      </c>
      <c r="E128" s="4">
        <v>0.10665139401042049</v>
      </c>
      <c r="F128" s="3">
        <v>126</v>
      </c>
      <c r="G128" s="3">
        <v>1</v>
      </c>
      <c r="H128" s="5">
        <v>1010.205</v>
      </c>
      <c r="I128" s="5">
        <v>-1080349.7949999999</v>
      </c>
      <c r="J128" s="5">
        <v>0</v>
      </c>
      <c r="K128" s="5">
        <v>1081360</v>
      </c>
      <c r="L128" s="5">
        <v>4756080</v>
      </c>
      <c r="M128" s="5">
        <v>-23574960</v>
      </c>
      <c r="N128" s="5">
        <v>-26478270</v>
      </c>
    </row>
    <row r="129" spans="1:14" x14ac:dyDescent="0.25">
      <c r="A129" s="3" t="s">
        <v>140</v>
      </c>
      <c r="B129" s="4">
        <v>-188.16</v>
      </c>
      <c r="C129" s="4">
        <v>-0.04</v>
      </c>
      <c r="D129" s="4">
        <v>-0.03</v>
      </c>
      <c r="E129" s="4">
        <v>0.1059158104172517</v>
      </c>
      <c r="F129" s="3">
        <v>127</v>
      </c>
      <c r="G129" s="3">
        <v>1</v>
      </c>
      <c r="H129" s="5">
        <v>4452453456.1400003</v>
      </c>
      <c r="I129" s="5">
        <v>4409291456.1400003</v>
      </c>
      <c r="J129" s="5">
        <v>0</v>
      </c>
      <c r="K129" s="5">
        <v>43162000</v>
      </c>
      <c r="L129" s="5">
        <v>831518000</v>
      </c>
      <c r="M129" s="5">
        <v>-23434000</v>
      </c>
      <c r="N129" s="5">
        <v>-29747000</v>
      </c>
    </row>
    <row r="130" spans="1:14" x14ac:dyDescent="0.25">
      <c r="A130" s="3" t="s">
        <v>141</v>
      </c>
      <c r="B130" s="4">
        <v>-195.12</v>
      </c>
      <c r="C130" s="4">
        <v>-1.59</v>
      </c>
      <c r="D130" s="4">
        <v>-0.71</v>
      </c>
      <c r="E130" s="4">
        <v>0.1056138146879062</v>
      </c>
      <c r="F130" s="3">
        <v>128</v>
      </c>
      <c r="G130" s="3">
        <v>1</v>
      </c>
      <c r="H130" s="5">
        <v>12088119189.299999</v>
      </c>
      <c r="I130" s="5">
        <v>12020445189.299999</v>
      </c>
      <c r="J130" s="5">
        <v>0</v>
      </c>
      <c r="K130" s="5">
        <v>67674000</v>
      </c>
      <c r="L130" s="5">
        <v>10790000</v>
      </c>
      <c r="M130" s="5">
        <v>-61604000</v>
      </c>
      <c r="N130" s="5">
        <v>-200988000</v>
      </c>
    </row>
    <row r="131" spans="1:14" x14ac:dyDescent="0.25">
      <c r="A131" s="3" t="s">
        <v>142</v>
      </c>
      <c r="B131" s="4">
        <v>-185.96</v>
      </c>
      <c r="C131" s="4">
        <v>0.06</v>
      </c>
      <c r="D131" s="4">
        <v>0.01</v>
      </c>
      <c r="E131" s="4">
        <v>0.10485083734034931</v>
      </c>
      <c r="F131" s="3">
        <v>129</v>
      </c>
      <c r="G131" s="3">
        <v>1</v>
      </c>
      <c r="H131" s="5">
        <v>805102522.67999995</v>
      </c>
      <c r="I131" s="5">
        <v>836259492.67999995</v>
      </c>
      <c r="J131" s="5">
        <v>31396160</v>
      </c>
      <c r="K131" s="5">
        <v>239190</v>
      </c>
      <c r="L131" s="5">
        <v>39621270</v>
      </c>
      <c r="M131" s="5">
        <v>-4496890</v>
      </c>
      <c r="N131" s="5">
        <v>708540</v>
      </c>
    </row>
    <row r="132" spans="1:14" x14ac:dyDescent="0.25">
      <c r="A132" s="3" t="s">
        <v>143</v>
      </c>
      <c r="B132" s="4">
        <v>-185.34</v>
      </c>
      <c r="C132" s="4">
        <v>-0.03</v>
      </c>
      <c r="D132" s="4">
        <v>-0.03</v>
      </c>
      <c r="E132" s="4">
        <v>0.1041993480176903</v>
      </c>
      <c r="F132" s="3">
        <v>130</v>
      </c>
      <c r="G132" s="3">
        <v>1</v>
      </c>
      <c r="H132" s="5">
        <v>650313476.88999999</v>
      </c>
      <c r="I132" s="5">
        <v>631815476.88999999</v>
      </c>
      <c r="J132" s="5">
        <v>0</v>
      </c>
      <c r="K132" s="5">
        <v>18498000</v>
      </c>
      <c r="L132" s="5">
        <v>106939000</v>
      </c>
      <c r="M132" s="5">
        <v>-3409000</v>
      </c>
      <c r="N132" s="5">
        <v>-8786000</v>
      </c>
    </row>
    <row r="133" spans="1:14" x14ac:dyDescent="0.25">
      <c r="A133" s="3" t="s">
        <v>144</v>
      </c>
      <c r="B133" s="4">
        <v>-192.53</v>
      </c>
      <c r="C133" s="4">
        <v>-1.77</v>
      </c>
      <c r="D133" s="4">
        <v>-0.02</v>
      </c>
      <c r="E133" s="4">
        <v>0.1036238283199508</v>
      </c>
      <c r="F133" s="3">
        <v>131</v>
      </c>
      <c r="G133" s="3">
        <v>1</v>
      </c>
      <c r="H133" s="5">
        <v>6666.6751999999997</v>
      </c>
      <c r="I133" s="5">
        <v>46971666.6752</v>
      </c>
      <c r="J133" s="5">
        <v>46968000</v>
      </c>
      <c r="K133" s="5">
        <v>3000</v>
      </c>
      <c r="L133" s="5">
        <v>160700</v>
      </c>
      <c r="M133" s="5">
        <v>-243970</v>
      </c>
      <c r="N133" s="5">
        <v>-1071270</v>
      </c>
    </row>
    <row r="134" spans="1:14" x14ac:dyDescent="0.25">
      <c r="A134" s="3" t="s">
        <v>145</v>
      </c>
      <c r="B134" s="4">
        <v>-183.81</v>
      </c>
      <c r="C134" s="4">
        <v>-0.03</v>
      </c>
      <c r="D134" s="4">
        <v>-0.02</v>
      </c>
      <c r="E134" s="4">
        <v>0.103254328572615</v>
      </c>
      <c r="F134" s="3">
        <v>132</v>
      </c>
      <c r="G134" s="3">
        <v>1</v>
      </c>
      <c r="H134" s="5">
        <v>7107114836.2399998</v>
      </c>
      <c r="I134" s="5">
        <v>6769417836.2399998</v>
      </c>
      <c r="J134" s="5">
        <v>0</v>
      </c>
      <c r="K134" s="5">
        <v>337697000</v>
      </c>
      <c r="L134" s="5">
        <v>1673269000</v>
      </c>
      <c r="M134" s="5">
        <v>-36829000</v>
      </c>
      <c r="N134" s="5">
        <v>-25344000</v>
      </c>
    </row>
    <row r="135" spans="1:14" x14ac:dyDescent="0.25">
      <c r="A135" s="3" t="s">
        <v>146</v>
      </c>
      <c r="B135" s="4">
        <v>-0.21</v>
      </c>
      <c r="C135" s="4">
        <v>53.09</v>
      </c>
      <c r="D135" s="4">
        <v>-213.04</v>
      </c>
      <c r="E135" s="4">
        <v>0.10201122828104379</v>
      </c>
      <c r="F135" s="3">
        <v>133</v>
      </c>
      <c r="G135" s="3">
        <v>1</v>
      </c>
      <c r="H135" s="5">
        <v>824765.7</v>
      </c>
      <c r="I135" s="5">
        <v>824265.7</v>
      </c>
      <c r="J135" s="5">
        <v>0</v>
      </c>
      <c r="K135" s="5">
        <v>500</v>
      </c>
      <c r="L135" s="5">
        <v>128960</v>
      </c>
      <c r="M135" s="5">
        <v>-4015850</v>
      </c>
      <c r="N135" s="5">
        <v>-4003060</v>
      </c>
    </row>
    <row r="136" spans="1:14" x14ac:dyDescent="0.25">
      <c r="A136" s="3" t="s">
        <v>147</v>
      </c>
      <c r="B136" s="4">
        <v>-147.78</v>
      </c>
      <c r="C136" s="4">
        <v>-0.11</v>
      </c>
      <c r="D136" s="4">
        <v>108.27</v>
      </c>
      <c r="E136" s="4">
        <v>0.10161290039774031</v>
      </c>
      <c r="F136" s="3">
        <v>134</v>
      </c>
      <c r="G136" s="3">
        <v>1</v>
      </c>
      <c r="H136" s="5">
        <v>2292.98</v>
      </c>
      <c r="I136" s="5">
        <v>40868312.979999997</v>
      </c>
      <c r="J136" s="5">
        <v>40909360</v>
      </c>
      <c r="K136" s="5">
        <v>43340</v>
      </c>
      <c r="L136" s="5">
        <v>6410</v>
      </c>
      <c r="M136" s="5">
        <v>-276540</v>
      </c>
      <c r="N136" s="5">
        <v>4692390</v>
      </c>
    </row>
    <row r="137" spans="1:14" x14ac:dyDescent="0.25">
      <c r="A137" s="3" t="s">
        <v>148</v>
      </c>
      <c r="B137" s="4">
        <v>-11.75</v>
      </c>
      <c r="C137" s="4">
        <v>35.479999999999997</v>
      </c>
      <c r="D137" s="4">
        <v>-0.43</v>
      </c>
      <c r="E137" s="4">
        <v>9.9284963767362941E-2</v>
      </c>
      <c r="F137" s="3">
        <v>135</v>
      </c>
      <c r="G137" s="3">
        <v>1</v>
      </c>
      <c r="H137" s="5">
        <v>1605361514.8399999</v>
      </c>
      <c r="I137" s="5">
        <v>1932685514.8399999</v>
      </c>
      <c r="J137" s="5">
        <v>486254000</v>
      </c>
      <c r="K137" s="5">
        <v>158930000</v>
      </c>
      <c r="L137" s="5">
        <v>27119000</v>
      </c>
      <c r="M137" s="5">
        <v>-164463000</v>
      </c>
      <c r="N137" s="5">
        <v>-239556000</v>
      </c>
    </row>
    <row r="138" spans="1:14" x14ac:dyDescent="0.25">
      <c r="A138" s="3" t="s">
        <v>149</v>
      </c>
      <c r="B138" s="4">
        <v>-206.22</v>
      </c>
      <c r="C138" s="4">
        <v>0</v>
      </c>
      <c r="D138" s="4">
        <v>-93</v>
      </c>
      <c r="E138" s="4">
        <v>9.9274930243159365E-2</v>
      </c>
      <c r="F138" s="3">
        <v>136</v>
      </c>
      <c r="G138" s="3">
        <v>1</v>
      </c>
      <c r="H138" s="5">
        <v>238949.33749999999</v>
      </c>
      <c r="I138" s="5">
        <v>958929.33750000002</v>
      </c>
      <c r="J138" s="5">
        <v>720030</v>
      </c>
      <c r="K138" s="5">
        <v>50</v>
      </c>
      <c r="L138" s="5">
        <v>0</v>
      </c>
      <c r="M138" s="5">
        <v>-4650</v>
      </c>
      <c r="N138" s="5">
        <v>-4650</v>
      </c>
    </row>
    <row r="139" spans="1:14" x14ac:dyDescent="0.25">
      <c r="A139" s="3" t="s">
        <v>150</v>
      </c>
      <c r="B139" s="4">
        <v>-176.79</v>
      </c>
      <c r="C139" s="4">
        <v>-0.02</v>
      </c>
      <c r="D139" s="4">
        <v>-0.01</v>
      </c>
      <c r="E139" s="4">
        <v>9.8940328806858574E-2</v>
      </c>
      <c r="F139" s="3">
        <v>137</v>
      </c>
      <c r="G139" s="3">
        <v>1</v>
      </c>
      <c r="H139" s="5">
        <v>294261225.95999998</v>
      </c>
      <c r="I139" s="5">
        <v>734899225.96000004</v>
      </c>
      <c r="J139" s="5">
        <v>467904000</v>
      </c>
      <c r="K139" s="5">
        <v>27266000</v>
      </c>
      <c r="L139" s="5">
        <v>46499000</v>
      </c>
      <c r="M139" s="5">
        <v>-4157000</v>
      </c>
      <c r="N139" s="5">
        <v>-5633000</v>
      </c>
    </row>
    <row r="140" spans="1:14" x14ac:dyDescent="0.25">
      <c r="A140" s="3" t="s">
        <v>151</v>
      </c>
      <c r="B140" s="4">
        <v>-176.38</v>
      </c>
      <c r="C140" s="4">
        <v>-0.03</v>
      </c>
      <c r="D140" s="4">
        <v>-0.02</v>
      </c>
      <c r="E140" s="4">
        <v>9.8655748739686425E-2</v>
      </c>
      <c r="F140" s="3">
        <v>138</v>
      </c>
      <c r="G140" s="3">
        <v>1</v>
      </c>
      <c r="H140" s="5">
        <v>3560175861.3299999</v>
      </c>
      <c r="I140" s="5">
        <v>3259390861.3299999</v>
      </c>
      <c r="J140" s="5">
        <v>0</v>
      </c>
      <c r="K140" s="5">
        <v>300785000</v>
      </c>
      <c r="L140" s="5">
        <v>390404000</v>
      </c>
      <c r="M140" s="5">
        <v>-18479000</v>
      </c>
      <c r="N140" s="5">
        <v>-11933000</v>
      </c>
    </row>
    <row r="141" spans="1:14" x14ac:dyDescent="0.25">
      <c r="A141" s="3" t="s">
        <v>152</v>
      </c>
      <c r="B141" s="4">
        <v>-175.65</v>
      </c>
      <c r="C141" s="4">
        <v>0.04</v>
      </c>
      <c r="D141" s="4">
        <v>0.04</v>
      </c>
      <c r="E141" s="4">
        <v>9.8417766132366025E-2</v>
      </c>
      <c r="F141" s="3">
        <v>139</v>
      </c>
      <c r="G141" s="3">
        <v>1</v>
      </c>
      <c r="H141" s="5">
        <v>72378375.017800003</v>
      </c>
      <c r="I141" s="5">
        <v>72369375.017800003</v>
      </c>
      <c r="J141" s="5">
        <v>0</v>
      </c>
      <c r="K141" s="5">
        <v>9000</v>
      </c>
      <c r="L141" s="5">
        <v>0</v>
      </c>
      <c r="M141" s="5">
        <v>-412000</v>
      </c>
      <c r="N141" s="5">
        <v>4651000</v>
      </c>
    </row>
    <row r="142" spans="1:14" x14ac:dyDescent="0.25">
      <c r="A142" s="3" t="s">
        <v>153</v>
      </c>
      <c r="B142" s="4">
        <v>-175.8</v>
      </c>
      <c r="C142" s="4">
        <v>-0.5</v>
      </c>
      <c r="D142" s="4">
        <v>-0.16</v>
      </c>
      <c r="E142" s="4">
        <v>9.6911768907491341E-2</v>
      </c>
      <c r="F142" s="3">
        <v>140</v>
      </c>
      <c r="G142" s="3">
        <v>1</v>
      </c>
      <c r="H142" s="5">
        <v>27305060719.299999</v>
      </c>
      <c r="I142" s="5">
        <v>27450742719.299999</v>
      </c>
      <c r="J142" s="5">
        <v>416724000</v>
      </c>
      <c r="K142" s="5">
        <v>271042000</v>
      </c>
      <c r="L142" s="5">
        <v>436214000</v>
      </c>
      <c r="M142" s="5">
        <v>-156146000</v>
      </c>
      <c r="N142" s="5">
        <v>-190175000</v>
      </c>
    </row>
    <row r="143" spans="1:14" x14ac:dyDescent="0.25">
      <c r="A143" s="3" t="s">
        <v>154</v>
      </c>
      <c r="B143" s="4">
        <v>-173.8</v>
      </c>
      <c r="C143" s="4">
        <v>-0.48</v>
      </c>
      <c r="D143" s="4">
        <v>-0.19</v>
      </c>
      <c r="E143" s="4">
        <v>9.5725927902372249E-2</v>
      </c>
      <c r="F143" s="3">
        <v>141</v>
      </c>
      <c r="G143" s="3">
        <v>1</v>
      </c>
      <c r="H143" s="5">
        <v>293278125</v>
      </c>
      <c r="I143" s="5">
        <v>289835865</v>
      </c>
      <c r="J143" s="5">
        <v>0</v>
      </c>
      <c r="K143" s="5">
        <v>3442260</v>
      </c>
      <c r="L143" s="5">
        <v>4173030</v>
      </c>
      <c r="M143" s="5">
        <v>-1667600</v>
      </c>
      <c r="N143" s="5">
        <v>-1666200</v>
      </c>
    </row>
    <row r="144" spans="1:14" x14ac:dyDescent="0.25">
      <c r="A144" s="3" t="s">
        <v>155</v>
      </c>
      <c r="B144" s="4">
        <v>-163.04</v>
      </c>
      <c r="C144" s="4">
        <v>1.66</v>
      </c>
      <c r="D144" s="4">
        <v>-0.11</v>
      </c>
      <c r="E144" s="4">
        <v>9.5265006686030967E-2</v>
      </c>
      <c r="F144" s="3">
        <v>142</v>
      </c>
      <c r="G144" s="3">
        <v>1</v>
      </c>
      <c r="H144" s="5">
        <v>313972537.60000002</v>
      </c>
      <c r="I144" s="5">
        <v>1145006537.5999999</v>
      </c>
      <c r="J144" s="5">
        <v>1087282000</v>
      </c>
      <c r="K144" s="5">
        <v>256248000</v>
      </c>
      <c r="L144" s="5">
        <v>538782000</v>
      </c>
      <c r="M144" s="5">
        <v>-7023000</v>
      </c>
      <c r="N144" s="5">
        <v>-131165000</v>
      </c>
    </row>
    <row r="145" spans="1:14" x14ac:dyDescent="0.25">
      <c r="A145" s="3" t="s">
        <v>156</v>
      </c>
      <c r="B145" s="4">
        <v>-0.89</v>
      </c>
      <c r="C145" s="4">
        <v>35.69</v>
      </c>
      <c r="D145" s="4">
        <v>-0.73</v>
      </c>
      <c r="E145" s="4">
        <v>9.3112381330315297E-2</v>
      </c>
      <c r="F145" s="3">
        <v>143</v>
      </c>
      <c r="G145" s="3">
        <v>1</v>
      </c>
      <c r="H145" s="5">
        <v>1184.5008</v>
      </c>
      <c r="I145" s="5">
        <v>7126954.5007999996</v>
      </c>
      <c r="J145" s="5">
        <v>7235600</v>
      </c>
      <c r="K145" s="5">
        <v>109830</v>
      </c>
      <c r="L145" s="5">
        <v>4045640</v>
      </c>
      <c r="M145" s="5">
        <v>-7968320</v>
      </c>
      <c r="N145" s="5">
        <v>-13126080</v>
      </c>
    </row>
    <row r="146" spans="1:14" x14ac:dyDescent="0.25">
      <c r="A146" s="3" t="s">
        <v>157</v>
      </c>
      <c r="B146" s="4">
        <v>-165.86</v>
      </c>
      <c r="C146" s="4">
        <v>0.02</v>
      </c>
      <c r="D146" s="4">
        <v>0.02</v>
      </c>
      <c r="E146" s="4">
        <v>9.2296888487743284E-2</v>
      </c>
      <c r="F146" s="3">
        <v>144</v>
      </c>
      <c r="G146" s="3">
        <v>1</v>
      </c>
      <c r="H146" s="5">
        <v>282304850</v>
      </c>
      <c r="I146" s="5">
        <v>283586960</v>
      </c>
      <c r="J146" s="5">
        <v>1282560</v>
      </c>
      <c r="K146" s="5">
        <v>450</v>
      </c>
      <c r="L146" s="5">
        <v>0</v>
      </c>
      <c r="M146" s="5">
        <v>-1709830</v>
      </c>
      <c r="N146" s="5">
        <v>1375820</v>
      </c>
    </row>
    <row r="147" spans="1:14" x14ac:dyDescent="0.25">
      <c r="A147" s="3" t="s">
        <v>158</v>
      </c>
      <c r="B147" s="4">
        <v>-164.54</v>
      </c>
      <c r="C147" s="4">
        <v>-0.15</v>
      </c>
      <c r="D147" s="4">
        <v>-0.09</v>
      </c>
      <c r="E147" s="4">
        <v>9.0967502724130692E-2</v>
      </c>
      <c r="F147" s="3">
        <v>145</v>
      </c>
      <c r="G147" s="3">
        <v>1</v>
      </c>
      <c r="H147" s="5">
        <v>182611828.65000001</v>
      </c>
      <c r="I147" s="5">
        <v>174407828.65000001</v>
      </c>
      <c r="J147" s="5">
        <v>11894000</v>
      </c>
      <c r="K147" s="5">
        <v>20098000</v>
      </c>
      <c r="L147" s="5">
        <v>122923000</v>
      </c>
      <c r="M147" s="5">
        <v>-1060000</v>
      </c>
      <c r="N147" s="5">
        <v>-11373000</v>
      </c>
    </row>
    <row r="148" spans="1:14" x14ac:dyDescent="0.25">
      <c r="A148" s="3" t="s">
        <v>159</v>
      </c>
      <c r="B148" s="4">
        <v>-0.02</v>
      </c>
      <c r="C148" s="4">
        <v>35.35</v>
      </c>
      <c r="D148" s="4">
        <v>-18.61</v>
      </c>
      <c r="E148" s="4">
        <v>8.8142438275597507E-2</v>
      </c>
      <c r="F148" s="3">
        <v>146</v>
      </c>
      <c r="G148" s="3">
        <v>1</v>
      </c>
      <c r="H148" s="5">
        <v>41962.905599999998</v>
      </c>
      <c r="I148" s="5">
        <v>2214962.9056000002</v>
      </c>
      <c r="J148" s="5">
        <v>13254000</v>
      </c>
      <c r="K148" s="5">
        <v>11081000</v>
      </c>
      <c r="L148" s="5">
        <v>342000</v>
      </c>
      <c r="M148" s="5">
        <v>-126273000</v>
      </c>
      <c r="N148" s="5">
        <v>-293445000</v>
      </c>
    </row>
    <row r="149" spans="1:14" x14ac:dyDescent="0.25">
      <c r="A149" s="3" t="s">
        <v>160</v>
      </c>
      <c r="B149" s="4">
        <v>-159.02000000000001</v>
      </c>
      <c r="C149" s="4">
        <v>-0.17</v>
      </c>
      <c r="D149" s="4">
        <v>-0.16</v>
      </c>
      <c r="E149" s="4">
        <v>8.7479770779272506E-2</v>
      </c>
      <c r="F149" s="3">
        <v>147</v>
      </c>
      <c r="G149" s="3">
        <v>1</v>
      </c>
      <c r="H149" s="5">
        <v>278248558.32999998</v>
      </c>
      <c r="I149" s="5">
        <v>274620558.32999998</v>
      </c>
      <c r="J149" s="5">
        <v>0</v>
      </c>
      <c r="K149" s="5">
        <v>3628000</v>
      </c>
      <c r="L149" s="5">
        <v>4665000</v>
      </c>
      <c r="M149" s="5">
        <v>-1727000</v>
      </c>
      <c r="N149" s="5">
        <v>-3022000</v>
      </c>
    </row>
    <row r="150" spans="1:14" x14ac:dyDescent="0.25">
      <c r="A150" s="3" t="s">
        <v>161</v>
      </c>
      <c r="B150" s="4">
        <v>-157.02000000000001</v>
      </c>
      <c r="C150" s="4">
        <v>-0.04</v>
      </c>
      <c r="D150" s="4">
        <v>-0.03</v>
      </c>
      <c r="E150" s="4">
        <v>8.6642623876552541E-2</v>
      </c>
      <c r="F150" s="3">
        <v>148</v>
      </c>
      <c r="G150" s="3">
        <v>1</v>
      </c>
      <c r="H150" s="5">
        <v>113830062.5</v>
      </c>
      <c r="I150" s="5">
        <v>122304802.5</v>
      </c>
      <c r="J150" s="5">
        <v>9384460</v>
      </c>
      <c r="K150" s="5">
        <v>909720</v>
      </c>
      <c r="L150" s="5">
        <v>14105620</v>
      </c>
      <c r="M150" s="5">
        <v>-778900</v>
      </c>
      <c r="N150" s="5">
        <v>-1881640</v>
      </c>
    </row>
    <row r="151" spans="1:14" x14ac:dyDescent="0.25">
      <c r="A151" s="3" t="s">
        <v>162</v>
      </c>
      <c r="B151" s="4">
        <v>-156.03</v>
      </c>
      <c r="C151" s="4">
        <v>-0.55000000000000004</v>
      </c>
      <c r="D151" s="4">
        <v>-0.17</v>
      </c>
      <c r="E151" s="4">
        <v>8.4529312182719432E-2</v>
      </c>
      <c r="F151" s="3">
        <v>149</v>
      </c>
      <c r="G151" s="3">
        <v>1</v>
      </c>
      <c r="H151" s="5">
        <v>45667646.43</v>
      </c>
      <c r="I151" s="5">
        <v>58669596.43</v>
      </c>
      <c r="J151" s="5">
        <v>13088080</v>
      </c>
      <c r="K151" s="5">
        <v>86130</v>
      </c>
      <c r="L151" s="5">
        <v>0</v>
      </c>
      <c r="M151" s="5">
        <v>-376010</v>
      </c>
      <c r="N151" s="5">
        <v>-4523930</v>
      </c>
    </row>
    <row r="152" spans="1:14" x14ac:dyDescent="0.25">
      <c r="A152" s="3" t="s">
        <v>163</v>
      </c>
      <c r="B152" s="4">
        <v>-4.87</v>
      </c>
      <c r="C152" s="4">
        <v>32.5</v>
      </c>
      <c r="D152" s="4">
        <v>-13.76</v>
      </c>
      <c r="E152" s="4">
        <v>8.384510292964989E-2</v>
      </c>
      <c r="F152" s="3">
        <v>150</v>
      </c>
      <c r="G152" s="3">
        <v>1</v>
      </c>
      <c r="H152" s="5">
        <v>18980073</v>
      </c>
      <c r="I152" s="5">
        <v>18949913</v>
      </c>
      <c r="J152" s="5">
        <v>0</v>
      </c>
      <c r="K152" s="5">
        <v>30160</v>
      </c>
      <c r="L152" s="5">
        <v>639890</v>
      </c>
      <c r="M152" s="5">
        <v>-3887910</v>
      </c>
      <c r="N152" s="5">
        <v>-4224280</v>
      </c>
    </row>
    <row r="153" spans="1:14" x14ac:dyDescent="0.25">
      <c r="A153" s="3" t="s">
        <v>164</v>
      </c>
      <c r="B153" s="4">
        <v>-151.55000000000001</v>
      </c>
      <c r="C153" s="4">
        <v>0</v>
      </c>
      <c r="D153" s="4">
        <v>0</v>
      </c>
      <c r="E153" s="4">
        <v>8.3378489868041528E-2</v>
      </c>
      <c r="F153" s="3">
        <v>151</v>
      </c>
      <c r="G153" s="3">
        <v>1</v>
      </c>
      <c r="H153" s="5">
        <v>90296550</v>
      </c>
      <c r="I153" s="5">
        <v>88973880</v>
      </c>
      <c r="J153" s="5">
        <v>276220</v>
      </c>
      <c r="K153" s="5">
        <v>1598890</v>
      </c>
      <c r="L153" s="5">
        <v>0</v>
      </c>
      <c r="M153" s="5">
        <v>-587110</v>
      </c>
      <c r="N153" s="5">
        <v>-226380</v>
      </c>
    </row>
    <row r="154" spans="1:14" x14ac:dyDescent="0.25">
      <c r="A154" s="3" t="s">
        <v>165</v>
      </c>
      <c r="B154" s="4">
        <v>-17.190000000000001</v>
      </c>
      <c r="C154" s="4">
        <v>28.75</v>
      </c>
      <c r="D154" s="4">
        <v>-0.56999999999999995</v>
      </c>
      <c r="E154" s="4">
        <v>8.317948777375779E-2</v>
      </c>
      <c r="F154" s="3">
        <v>152</v>
      </c>
      <c r="G154" s="3">
        <v>1</v>
      </c>
      <c r="H154" s="5">
        <v>3297133417.5</v>
      </c>
      <c r="I154" s="5">
        <v>3324506417.5</v>
      </c>
      <c r="J154" s="5">
        <v>150804000</v>
      </c>
      <c r="K154" s="5">
        <v>123431000</v>
      </c>
      <c r="L154" s="5">
        <v>60792000</v>
      </c>
      <c r="M154" s="5">
        <v>-193392000</v>
      </c>
      <c r="N154" s="5">
        <v>-231133000</v>
      </c>
    </row>
    <row r="155" spans="1:14" x14ac:dyDescent="0.25">
      <c r="A155" s="3" t="s">
        <v>166</v>
      </c>
      <c r="B155" s="4">
        <v>-150.09</v>
      </c>
      <c r="C155" s="4">
        <v>-0.1</v>
      </c>
      <c r="D155" s="4">
        <v>-0.09</v>
      </c>
      <c r="E155" s="4">
        <v>8.216856852692607E-2</v>
      </c>
      <c r="F155" s="3">
        <v>153</v>
      </c>
      <c r="G155" s="3">
        <v>1</v>
      </c>
      <c r="H155" s="5">
        <v>17776808.620000001</v>
      </c>
      <c r="I155" s="5">
        <v>16809808.620000001</v>
      </c>
      <c r="J155" s="5">
        <v>0</v>
      </c>
      <c r="K155" s="5">
        <v>967000</v>
      </c>
      <c r="L155" s="5">
        <v>3317000</v>
      </c>
      <c r="M155" s="5">
        <v>-112000</v>
      </c>
      <c r="N155" s="5">
        <v>-212000</v>
      </c>
    </row>
    <row r="156" spans="1:14" x14ac:dyDescent="0.25">
      <c r="A156" s="3" t="s">
        <v>167</v>
      </c>
      <c r="B156" s="4">
        <v>-150.36000000000001</v>
      </c>
      <c r="C156" s="4">
        <v>0.02</v>
      </c>
      <c r="D156" s="4">
        <v>-3.45</v>
      </c>
      <c r="E156" s="4">
        <v>8.2034247434878693E-2</v>
      </c>
      <c r="F156" s="3">
        <v>154</v>
      </c>
      <c r="G156" s="3">
        <v>1</v>
      </c>
      <c r="H156" s="5">
        <v>9882026.7884</v>
      </c>
      <c r="I156" s="5">
        <v>23223696.788400002</v>
      </c>
      <c r="J156" s="5">
        <v>13342600</v>
      </c>
      <c r="K156" s="5">
        <v>930</v>
      </c>
      <c r="L156" s="5">
        <v>1609460</v>
      </c>
      <c r="M156" s="5">
        <v>-154450</v>
      </c>
      <c r="N156" s="5">
        <v>-289820</v>
      </c>
    </row>
    <row r="157" spans="1:14" x14ac:dyDescent="0.25">
      <c r="A157" s="3" t="s">
        <v>168</v>
      </c>
      <c r="B157" s="4">
        <v>-148.47999999999999</v>
      </c>
      <c r="C157" s="4">
        <v>-0.19</v>
      </c>
      <c r="D157" s="4">
        <v>-0.15</v>
      </c>
      <c r="E157" s="4">
        <v>8.0900489787101432E-2</v>
      </c>
      <c r="F157" s="3">
        <v>155</v>
      </c>
      <c r="G157" s="3">
        <v>1</v>
      </c>
      <c r="H157" s="5">
        <v>50299080.25</v>
      </c>
      <c r="I157" s="5">
        <v>50376440.25</v>
      </c>
      <c r="J157" s="5">
        <v>124100</v>
      </c>
      <c r="K157" s="5">
        <v>46740</v>
      </c>
      <c r="L157" s="5">
        <v>971690</v>
      </c>
      <c r="M157" s="5">
        <v>-339280</v>
      </c>
      <c r="N157" s="5">
        <v>-1609850</v>
      </c>
    </row>
    <row r="158" spans="1:14" x14ac:dyDescent="0.25">
      <c r="A158" s="3" t="s">
        <v>169</v>
      </c>
      <c r="B158" s="4">
        <v>0.01</v>
      </c>
      <c r="C158" s="4">
        <v>31.37</v>
      </c>
      <c r="D158" s="4">
        <v>-0.47</v>
      </c>
      <c r="E158" s="4">
        <v>8.0123469278347639E-2</v>
      </c>
      <c r="F158" s="3">
        <v>156</v>
      </c>
      <c r="G158" s="3">
        <v>1</v>
      </c>
      <c r="H158" s="5">
        <v>273.00580000000002</v>
      </c>
      <c r="I158" s="5">
        <v>-77726.994200000001</v>
      </c>
      <c r="J158" s="5">
        <v>127000</v>
      </c>
      <c r="K158" s="5">
        <v>205000</v>
      </c>
      <c r="L158" s="5">
        <v>2346000</v>
      </c>
      <c r="M158" s="5">
        <v>-6394000</v>
      </c>
      <c r="N158" s="5">
        <v>-2196000</v>
      </c>
    </row>
    <row r="159" spans="1:14" x14ac:dyDescent="0.25">
      <c r="A159" s="3" t="s">
        <v>170</v>
      </c>
      <c r="B159" s="4">
        <v>-151.93</v>
      </c>
      <c r="C159" s="4">
        <v>-1.2</v>
      </c>
      <c r="D159" s="4">
        <v>-0.88</v>
      </c>
      <c r="E159" s="4">
        <v>7.9976692503974989E-2</v>
      </c>
      <c r="F159" s="3">
        <v>157</v>
      </c>
      <c r="G159" s="3">
        <v>1</v>
      </c>
      <c r="H159" s="5">
        <v>2609255.04</v>
      </c>
      <c r="I159" s="5">
        <v>2607085.04</v>
      </c>
      <c r="J159" s="5">
        <v>0</v>
      </c>
      <c r="K159" s="5">
        <v>2170</v>
      </c>
      <c r="L159" s="5">
        <v>30000</v>
      </c>
      <c r="M159" s="5">
        <v>-17160</v>
      </c>
      <c r="N159" s="5">
        <v>-17300</v>
      </c>
    </row>
    <row r="160" spans="1:14" x14ac:dyDescent="0.25">
      <c r="A160" s="3" t="s">
        <v>171</v>
      </c>
      <c r="B160" s="4">
        <v>-0.09</v>
      </c>
      <c r="C160" s="4">
        <v>-2.04</v>
      </c>
      <c r="D160" s="4">
        <v>496.96</v>
      </c>
      <c r="E160" s="4">
        <v>7.960738934488866E-2</v>
      </c>
      <c r="F160" s="3">
        <v>158</v>
      </c>
      <c r="G160" s="3">
        <v>1</v>
      </c>
      <c r="H160" s="5">
        <v>52374.892500000002</v>
      </c>
      <c r="I160" s="5">
        <v>49954.892500000002</v>
      </c>
      <c r="J160" s="5">
        <v>0</v>
      </c>
      <c r="K160" s="5">
        <v>2420</v>
      </c>
      <c r="L160" s="5">
        <v>76920</v>
      </c>
      <c r="M160" s="5">
        <v>-564880</v>
      </c>
      <c r="N160" s="5">
        <v>1948090</v>
      </c>
    </row>
    <row r="161" spans="1:14" x14ac:dyDescent="0.25">
      <c r="A161" s="3" t="s">
        <v>172</v>
      </c>
      <c r="B161" s="4">
        <v>-144.19999999999999</v>
      </c>
      <c r="C161" s="4">
        <v>-0.1</v>
      </c>
      <c r="D161" s="4">
        <v>-0.03</v>
      </c>
      <c r="E161" s="4">
        <v>7.853470053081249E-2</v>
      </c>
      <c r="F161" s="3">
        <v>159</v>
      </c>
      <c r="G161" s="3">
        <v>1</v>
      </c>
      <c r="H161" s="5">
        <v>15956577.689999999</v>
      </c>
      <c r="I161" s="5">
        <v>38817667.689999998</v>
      </c>
      <c r="J161" s="5">
        <v>26870480</v>
      </c>
      <c r="K161" s="5">
        <v>4009390</v>
      </c>
      <c r="L161" s="5">
        <v>108199880</v>
      </c>
      <c r="M161" s="5">
        <v>-269190</v>
      </c>
      <c r="N161" s="5">
        <v>-2781920</v>
      </c>
    </row>
    <row r="162" spans="1:14" x14ac:dyDescent="0.25">
      <c r="A162" s="3" t="s">
        <v>173</v>
      </c>
      <c r="B162" s="4">
        <v>-0.06</v>
      </c>
      <c r="C162" s="4">
        <v>30.79</v>
      </c>
      <c r="D162" s="4">
        <v>-1.21</v>
      </c>
      <c r="E162" s="4">
        <v>7.8348216544653168E-2</v>
      </c>
      <c r="F162" s="3">
        <v>160</v>
      </c>
      <c r="G162" s="3">
        <v>1</v>
      </c>
      <c r="H162" s="5">
        <v>4961530.3859999999</v>
      </c>
      <c r="I162" s="5">
        <v>16743530.386</v>
      </c>
      <c r="J162" s="5">
        <v>35416000</v>
      </c>
      <c r="K162" s="5">
        <v>23634000</v>
      </c>
      <c r="L162" s="5">
        <v>62839000</v>
      </c>
      <c r="M162" s="5">
        <v>-302128000</v>
      </c>
      <c r="N162" s="5">
        <v>-572843000</v>
      </c>
    </row>
    <row r="163" spans="1:14" x14ac:dyDescent="0.25">
      <c r="A163" s="3" t="s">
        <v>174</v>
      </c>
      <c r="B163" s="4">
        <v>-141.88</v>
      </c>
      <c r="C163" s="4">
        <v>0.28000000000000003</v>
      </c>
      <c r="D163" s="4">
        <v>0.26</v>
      </c>
      <c r="E163" s="4">
        <v>7.8252703646387603E-2</v>
      </c>
      <c r="F163" s="3">
        <v>161</v>
      </c>
      <c r="G163" s="3">
        <v>1</v>
      </c>
      <c r="H163" s="5">
        <v>120043166.40000001</v>
      </c>
      <c r="I163" s="5">
        <v>119547816.40000001</v>
      </c>
      <c r="J163" s="5">
        <v>0</v>
      </c>
      <c r="K163" s="5">
        <v>495350</v>
      </c>
      <c r="L163" s="5">
        <v>0</v>
      </c>
      <c r="M163" s="5">
        <v>-842570</v>
      </c>
      <c r="N163" s="5">
        <v>6812400</v>
      </c>
    </row>
    <row r="164" spans="1:14" x14ac:dyDescent="0.25">
      <c r="A164" s="3" t="s">
        <v>175</v>
      </c>
      <c r="B164" s="4">
        <v>-140.19</v>
      </c>
      <c r="C164" s="4">
        <v>-0.06</v>
      </c>
      <c r="D164" s="4">
        <v>-0.03</v>
      </c>
      <c r="E164" s="4">
        <v>7.6168403474342269E-2</v>
      </c>
      <c r="F164" s="3">
        <v>162</v>
      </c>
      <c r="G164" s="3">
        <v>1</v>
      </c>
      <c r="H164" s="5">
        <v>9728010388.0200005</v>
      </c>
      <c r="I164" s="5">
        <v>10359558388.02</v>
      </c>
      <c r="J164" s="5">
        <v>912101000</v>
      </c>
      <c r="K164" s="5">
        <v>280553000</v>
      </c>
      <c r="L164" s="5">
        <v>203855000</v>
      </c>
      <c r="M164" s="5">
        <v>-73894000</v>
      </c>
      <c r="N164" s="5">
        <v>-65424000</v>
      </c>
    </row>
    <row r="165" spans="1:14" x14ac:dyDescent="0.25">
      <c r="A165" s="3" t="s">
        <v>176</v>
      </c>
      <c r="B165" s="4">
        <v>-139.99</v>
      </c>
      <c r="C165" s="4">
        <v>-0.05</v>
      </c>
      <c r="D165" s="4">
        <v>-0.04</v>
      </c>
      <c r="E165" s="4">
        <v>7.6071583940837698E-2</v>
      </c>
      <c r="F165" s="3">
        <v>163</v>
      </c>
      <c r="G165" s="3">
        <v>1</v>
      </c>
      <c r="H165" s="5">
        <v>28497692480.040001</v>
      </c>
      <c r="I165" s="5">
        <v>28045070480.040001</v>
      </c>
      <c r="J165" s="5">
        <v>37511000</v>
      </c>
      <c r="K165" s="5">
        <v>490133000</v>
      </c>
      <c r="L165" s="5">
        <v>2006443000</v>
      </c>
      <c r="M165" s="5">
        <v>-200339000</v>
      </c>
      <c r="N165" s="5">
        <v>-129072000</v>
      </c>
    </row>
    <row r="166" spans="1:14" x14ac:dyDescent="0.25">
      <c r="A166" s="3" t="s">
        <v>177</v>
      </c>
      <c r="B166" s="4">
        <v>-138.88999999999999</v>
      </c>
      <c r="C166" s="4">
        <v>-0.16</v>
      </c>
      <c r="D166" s="4">
        <v>-0.11</v>
      </c>
      <c r="E166" s="4">
        <v>7.5059438450957583E-2</v>
      </c>
      <c r="F166" s="3">
        <v>164</v>
      </c>
      <c r="G166" s="3">
        <v>1</v>
      </c>
      <c r="H166" s="5">
        <v>27438641351.52</v>
      </c>
      <c r="I166" s="5">
        <v>26573416351.52</v>
      </c>
      <c r="J166" s="5">
        <v>80362000</v>
      </c>
      <c r="K166" s="5">
        <v>945587000</v>
      </c>
      <c r="L166" s="5">
        <v>1696911000</v>
      </c>
      <c r="M166" s="5">
        <v>-191326000</v>
      </c>
      <c r="N166" s="5">
        <v>-190426000</v>
      </c>
    </row>
    <row r="167" spans="1:14" x14ac:dyDescent="0.25">
      <c r="A167" s="3" t="s">
        <v>178</v>
      </c>
      <c r="B167" s="4">
        <v>-133.09</v>
      </c>
      <c r="C167" s="4">
        <v>0.96</v>
      </c>
      <c r="D167" s="4">
        <v>-0.42</v>
      </c>
      <c r="E167" s="4">
        <v>7.4645983308369288E-2</v>
      </c>
      <c r="F167" s="3">
        <v>165</v>
      </c>
      <c r="G167" s="3">
        <v>1</v>
      </c>
      <c r="H167" s="5">
        <v>3206584665.4400001</v>
      </c>
      <c r="I167" s="5">
        <v>3315882665.4400001</v>
      </c>
      <c r="J167" s="5">
        <v>151522000</v>
      </c>
      <c r="K167" s="5">
        <v>42224000</v>
      </c>
      <c r="L167" s="5">
        <v>0</v>
      </c>
      <c r="M167" s="5">
        <v>-24914000</v>
      </c>
      <c r="N167" s="5">
        <v>-45621000</v>
      </c>
    </row>
    <row r="168" spans="1:14" x14ac:dyDescent="0.25">
      <c r="A168" s="3" t="s">
        <v>179</v>
      </c>
      <c r="B168" s="4">
        <v>-132.79</v>
      </c>
      <c r="C168" s="4">
        <v>0.88</v>
      </c>
      <c r="D168" s="4">
        <v>-0.1</v>
      </c>
      <c r="E168" s="4">
        <v>7.429088713182147E-2</v>
      </c>
      <c r="F168" s="3">
        <v>166</v>
      </c>
      <c r="G168" s="3">
        <v>1</v>
      </c>
      <c r="H168" s="5">
        <v>41109458</v>
      </c>
      <c r="I168" s="5">
        <v>46042468</v>
      </c>
      <c r="J168" s="5">
        <v>4945280</v>
      </c>
      <c r="K168" s="5">
        <v>12270</v>
      </c>
      <c r="L168" s="5">
        <v>6929710</v>
      </c>
      <c r="M168" s="5">
        <v>-346720</v>
      </c>
      <c r="N168" s="5">
        <v>-2203630</v>
      </c>
    </row>
    <row r="169" spans="1:14" x14ac:dyDescent="0.25">
      <c r="A169" s="3" t="s">
        <v>180</v>
      </c>
      <c r="B169" s="4">
        <v>-139.94</v>
      </c>
      <c r="C169" s="4">
        <v>-0.64</v>
      </c>
      <c r="D169" s="4">
        <v>-0.45</v>
      </c>
      <c r="E169" s="4">
        <v>7.4256825008821525E-2</v>
      </c>
      <c r="F169" s="3">
        <v>167</v>
      </c>
      <c r="G169" s="3">
        <v>1</v>
      </c>
      <c r="H169" s="5">
        <v>3177629136</v>
      </c>
      <c r="I169" s="5">
        <v>3098684136</v>
      </c>
      <c r="J169" s="5">
        <v>0</v>
      </c>
      <c r="K169" s="5">
        <v>78945000</v>
      </c>
      <c r="L169" s="5">
        <v>373000</v>
      </c>
      <c r="M169" s="5">
        <v>-22143000</v>
      </c>
      <c r="N169" s="5">
        <v>-68542000</v>
      </c>
    </row>
    <row r="170" spans="1:14" x14ac:dyDescent="0.25">
      <c r="A170" s="3" t="s">
        <v>181</v>
      </c>
      <c r="B170" s="4">
        <v>-126.51</v>
      </c>
      <c r="C170" s="4">
        <v>2.2000000000000002</v>
      </c>
      <c r="D170" s="4">
        <v>-0.39</v>
      </c>
      <c r="E170" s="4">
        <v>7.4162080309217615E-2</v>
      </c>
      <c r="F170" s="3">
        <v>168</v>
      </c>
      <c r="G170" s="3">
        <v>1</v>
      </c>
      <c r="H170" s="5">
        <v>1205600708.5999999</v>
      </c>
      <c r="I170" s="5">
        <v>1283712708.5999999</v>
      </c>
      <c r="J170" s="5">
        <v>127183000</v>
      </c>
      <c r="K170" s="5">
        <v>49071000</v>
      </c>
      <c r="L170" s="5">
        <v>304101000</v>
      </c>
      <c r="M170" s="5">
        <v>-10147000</v>
      </c>
      <c r="N170" s="5">
        <v>-114315000</v>
      </c>
    </row>
    <row r="171" spans="1:14" x14ac:dyDescent="0.25">
      <c r="A171" s="3" t="s">
        <v>182</v>
      </c>
      <c r="B171" s="4">
        <v>-4.95</v>
      </c>
      <c r="C171" s="4">
        <v>28.18</v>
      </c>
      <c r="D171" s="4">
        <v>-1.49</v>
      </c>
      <c r="E171" s="4">
        <v>7.3779493955580339E-2</v>
      </c>
      <c r="F171" s="3">
        <v>169</v>
      </c>
      <c r="G171" s="3">
        <v>1</v>
      </c>
      <c r="H171" s="5">
        <v>32770224.715</v>
      </c>
      <c r="I171" s="5">
        <v>32888224.715</v>
      </c>
      <c r="J171" s="5">
        <v>811000</v>
      </c>
      <c r="K171" s="5">
        <v>693000</v>
      </c>
      <c r="L171" s="5">
        <v>8006000</v>
      </c>
      <c r="M171" s="5">
        <v>-6646000</v>
      </c>
      <c r="N171" s="5">
        <v>-7130000</v>
      </c>
    </row>
    <row r="172" spans="1:14" x14ac:dyDescent="0.25">
      <c r="A172" s="3" t="s">
        <v>183</v>
      </c>
      <c r="B172" s="4">
        <v>-139.51</v>
      </c>
      <c r="C172" s="4">
        <v>-1.08</v>
      </c>
      <c r="D172" s="4">
        <v>-0.52</v>
      </c>
      <c r="E172" s="4">
        <v>7.2705867269168514E-2</v>
      </c>
      <c r="F172" s="3">
        <v>170</v>
      </c>
      <c r="G172" s="3">
        <v>1</v>
      </c>
      <c r="H172" s="5">
        <v>38276492.625</v>
      </c>
      <c r="I172" s="5">
        <v>30553492.625</v>
      </c>
      <c r="J172" s="5">
        <v>0</v>
      </c>
      <c r="K172" s="5">
        <v>7723000</v>
      </c>
      <c r="L172" s="5">
        <v>20619000</v>
      </c>
      <c r="M172" s="5">
        <v>-219000</v>
      </c>
      <c r="N172" s="5">
        <v>-25784000</v>
      </c>
    </row>
    <row r="173" spans="1:14" x14ac:dyDescent="0.25">
      <c r="A173" s="3" t="s">
        <v>184</v>
      </c>
      <c r="B173" s="4">
        <v>-134.72999999999999</v>
      </c>
      <c r="C173" s="4">
        <v>0.1</v>
      </c>
      <c r="D173" s="4">
        <v>-5.53</v>
      </c>
      <c r="E173" s="4">
        <v>7.2190430258341085E-2</v>
      </c>
      <c r="F173" s="3">
        <v>171</v>
      </c>
      <c r="G173" s="3">
        <v>1</v>
      </c>
      <c r="H173" s="5">
        <v>34028180</v>
      </c>
      <c r="I173" s="5">
        <v>36551080</v>
      </c>
      <c r="J173" s="5">
        <v>2536100</v>
      </c>
      <c r="K173" s="5">
        <v>13200</v>
      </c>
      <c r="L173" s="5">
        <v>0</v>
      </c>
      <c r="M173" s="5">
        <v>-271290</v>
      </c>
      <c r="N173" s="5">
        <v>-528220</v>
      </c>
    </row>
    <row r="174" spans="1:14" x14ac:dyDescent="0.25">
      <c r="A174" s="3" t="s">
        <v>185</v>
      </c>
      <c r="B174" s="4">
        <v>-133.79</v>
      </c>
      <c r="C174" s="4">
        <v>-0.14000000000000001</v>
      </c>
      <c r="D174" s="4">
        <v>-0.08</v>
      </c>
      <c r="E174" s="4">
        <v>7.1966517839209515E-2</v>
      </c>
      <c r="F174" s="3">
        <v>172</v>
      </c>
      <c r="G174" s="3">
        <v>1</v>
      </c>
      <c r="H174" s="5">
        <v>22228342183.75</v>
      </c>
      <c r="I174" s="5">
        <v>22000766183.75</v>
      </c>
      <c r="J174" s="5">
        <v>0</v>
      </c>
      <c r="K174" s="5">
        <v>227576000</v>
      </c>
      <c r="L174" s="5">
        <v>1249199000</v>
      </c>
      <c r="M174" s="5">
        <v>-164446000</v>
      </c>
      <c r="N174" s="5">
        <v>-154907000</v>
      </c>
    </row>
    <row r="175" spans="1:14" x14ac:dyDescent="0.25">
      <c r="A175" s="3" t="s">
        <v>186</v>
      </c>
      <c r="B175" s="4">
        <v>-131.59</v>
      </c>
      <c r="C175" s="4">
        <v>-0.1</v>
      </c>
      <c r="D175" s="4">
        <v>-0.05</v>
      </c>
      <c r="E175" s="4">
        <v>7.0726254093642832E-2</v>
      </c>
      <c r="F175" s="3">
        <v>173</v>
      </c>
      <c r="G175" s="3">
        <v>1</v>
      </c>
      <c r="H175" s="5">
        <v>60370629.479999997</v>
      </c>
      <c r="I175" s="5">
        <v>47240629.479999989</v>
      </c>
      <c r="J175" s="5">
        <v>25518000</v>
      </c>
      <c r="K175" s="5">
        <v>38648000</v>
      </c>
      <c r="L175" s="5">
        <v>189887000</v>
      </c>
      <c r="M175" s="5">
        <v>-359000</v>
      </c>
      <c r="N175" s="5">
        <v>-10096000</v>
      </c>
    </row>
    <row r="176" spans="1:14" x14ac:dyDescent="0.25">
      <c r="A176" s="3" t="s">
        <v>187</v>
      </c>
      <c r="B176" s="4">
        <v>-131.87</v>
      </c>
      <c r="C176" s="4">
        <v>-0.63</v>
      </c>
      <c r="D176" s="4">
        <v>-0.31</v>
      </c>
      <c r="E176" s="4">
        <v>6.931803599037957E-2</v>
      </c>
      <c r="F176" s="3">
        <v>174</v>
      </c>
      <c r="G176" s="3">
        <v>1</v>
      </c>
      <c r="H176" s="5">
        <v>24066514054.439999</v>
      </c>
      <c r="I176" s="5">
        <v>23660018054.439999</v>
      </c>
      <c r="J176" s="5">
        <v>158492000</v>
      </c>
      <c r="K176" s="5">
        <v>564988000</v>
      </c>
      <c r="L176" s="5">
        <v>4418000</v>
      </c>
      <c r="M176" s="5">
        <v>-179422000</v>
      </c>
      <c r="N176" s="5">
        <v>-300083000</v>
      </c>
    </row>
    <row r="177" spans="1:14" x14ac:dyDescent="0.25">
      <c r="A177" s="3" t="s">
        <v>188</v>
      </c>
      <c r="B177" s="4">
        <v>-127.5</v>
      </c>
      <c r="C177" s="4">
        <v>0.15</v>
      </c>
      <c r="D177" s="4">
        <v>0.09</v>
      </c>
      <c r="E177" s="4">
        <v>6.8944215510984688E-2</v>
      </c>
      <c r="F177" s="3">
        <v>175</v>
      </c>
      <c r="G177" s="3">
        <v>1</v>
      </c>
      <c r="H177" s="5">
        <v>25328217.539999999</v>
      </c>
      <c r="I177" s="5">
        <v>24043247.539999999</v>
      </c>
      <c r="J177" s="5">
        <v>0</v>
      </c>
      <c r="K177" s="5">
        <v>1284970</v>
      </c>
      <c r="L177" s="5">
        <v>18585530</v>
      </c>
      <c r="M177" s="5">
        <v>-188580</v>
      </c>
      <c r="N177" s="5">
        <v>763590</v>
      </c>
    </row>
    <row r="178" spans="1:14" x14ac:dyDescent="0.25">
      <c r="A178" s="3" t="s">
        <v>189</v>
      </c>
      <c r="B178" s="4">
        <v>-0.32</v>
      </c>
      <c r="C178" s="4">
        <v>26.64</v>
      </c>
      <c r="D178" s="4">
        <v>-0.78</v>
      </c>
      <c r="E178" s="4">
        <v>6.6601237124609886E-2</v>
      </c>
      <c r="F178" s="3">
        <v>176</v>
      </c>
      <c r="G178" s="3">
        <v>1</v>
      </c>
      <c r="H178" s="5">
        <v>176.044951</v>
      </c>
      <c r="I178" s="5">
        <v>906796.04495099979</v>
      </c>
      <c r="J178" s="5">
        <v>2912760</v>
      </c>
      <c r="K178" s="5">
        <v>2006140</v>
      </c>
      <c r="L178" s="5">
        <v>1235590</v>
      </c>
      <c r="M178" s="5">
        <v>-2861070</v>
      </c>
      <c r="N178" s="5">
        <v>-3230890</v>
      </c>
    </row>
    <row r="179" spans="1:14" x14ac:dyDescent="0.25">
      <c r="A179" s="3" t="s">
        <v>190</v>
      </c>
      <c r="B179" s="4">
        <v>-2.76</v>
      </c>
      <c r="C179" s="4">
        <v>26.42</v>
      </c>
      <c r="D179" s="4">
        <v>-5.36</v>
      </c>
      <c r="E179" s="4">
        <v>6.6592249787881017E-2</v>
      </c>
      <c r="F179" s="3">
        <v>177</v>
      </c>
      <c r="G179" s="3">
        <v>1</v>
      </c>
      <c r="H179" s="5">
        <v>24063331.619199999</v>
      </c>
      <c r="I179" s="5">
        <v>23322991.619199999</v>
      </c>
      <c r="J179" s="5">
        <v>453230</v>
      </c>
      <c r="K179" s="5">
        <v>1193570</v>
      </c>
      <c r="L179" s="5">
        <v>500</v>
      </c>
      <c r="M179" s="5">
        <v>-8438730</v>
      </c>
      <c r="N179" s="5">
        <v>-11890840</v>
      </c>
    </row>
    <row r="180" spans="1:14" x14ac:dyDescent="0.25">
      <c r="A180" s="3" t="s">
        <v>191</v>
      </c>
      <c r="B180" s="4">
        <v>-124.33</v>
      </c>
      <c r="C180" s="4">
        <v>-0.08</v>
      </c>
      <c r="D180" s="4">
        <v>-0.06</v>
      </c>
      <c r="E180" s="4">
        <v>6.6288748945016018E-2</v>
      </c>
      <c r="F180" s="3">
        <v>178</v>
      </c>
      <c r="G180" s="3">
        <v>1</v>
      </c>
      <c r="H180" s="5">
        <v>6172937238.6400003</v>
      </c>
      <c r="I180" s="5">
        <v>5841436238.6400003</v>
      </c>
      <c r="J180" s="5">
        <v>0</v>
      </c>
      <c r="K180" s="5">
        <v>331501000</v>
      </c>
      <c r="L180" s="5">
        <v>752764000</v>
      </c>
      <c r="M180" s="5">
        <v>-46985000</v>
      </c>
      <c r="N180" s="5">
        <v>-75548000</v>
      </c>
    </row>
    <row r="181" spans="1:14" x14ac:dyDescent="0.25">
      <c r="A181" s="3" t="s">
        <v>192</v>
      </c>
      <c r="B181" s="4">
        <v>-124.07</v>
      </c>
      <c r="C181" s="4">
        <v>-0.31</v>
      </c>
      <c r="D181" s="4">
        <v>-0.23</v>
      </c>
      <c r="E181" s="4">
        <v>6.5430483183741867E-2</v>
      </c>
      <c r="F181" s="3">
        <v>179</v>
      </c>
      <c r="G181" s="3">
        <v>1</v>
      </c>
      <c r="H181" s="5">
        <v>1920362591.9100001</v>
      </c>
      <c r="I181" s="5">
        <v>1904432591.9100001</v>
      </c>
      <c r="J181" s="5">
        <v>831000</v>
      </c>
      <c r="K181" s="5">
        <v>16761000</v>
      </c>
      <c r="L181" s="5">
        <v>0</v>
      </c>
      <c r="M181" s="5">
        <v>-15350000</v>
      </c>
      <c r="N181" s="5">
        <v>-15735000</v>
      </c>
    </row>
    <row r="182" spans="1:14" x14ac:dyDescent="0.25">
      <c r="A182" s="3" t="s">
        <v>193</v>
      </c>
      <c r="B182" s="4">
        <v>15.7</v>
      </c>
      <c r="C182" s="4">
        <v>29.35</v>
      </c>
      <c r="D182" s="4">
        <v>-0.12</v>
      </c>
      <c r="E182" s="4">
        <v>6.4643612852925303E-2</v>
      </c>
      <c r="F182" s="3">
        <v>180</v>
      </c>
      <c r="G182" s="3">
        <v>1</v>
      </c>
      <c r="H182" s="5">
        <v>39076050000</v>
      </c>
      <c r="I182" s="5">
        <v>63038050000</v>
      </c>
      <c r="J182" s="5">
        <v>24081000000</v>
      </c>
      <c r="K182" s="5">
        <v>119000000</v>
      </c>
      <c r="L182" s="5">
        <v>6568000000</v>
      </c>
      <c r="M182" s="5">
        <v>4015000000</v>
      </c>
      <c r="N182" s="5">
        <v>-3903000000</v>
      </c>
    </row>
    <row r="183" spans="1:14" x14ac:dyDescent="0.25">
      <c r="A183" s="3" t="s">
        <v>194</v>
      </c>
      <c r="B183" s="4">
        <v>-119.04</v>
      </c>
      <c r="C183" s="4">
        <v>0.73</v>
      </c>
      <c r="D183" s="4">
        <v>-4.83</v>
      </c>
      <c r="E183" s="4">
        <v>6.4434895621962848E-2</v>
      </c>
      <c r="F183" s="3">
        <v>181</v>
      </c>
      <c r="G183" s="3">
        <v>1</v>
      </c>
      <c r="H183" s="5">
        <v>19075000</v>
      </c>
      <c r="I183" s="5">
        <v>19313230</v>
      </c>
      <c r="J183" s="5">
        <v>259780</v>
      </c>
      <c r="K183" s="5">
        <v>21550</v>
      </c>
      <c r="L183" s="5">
        <v>41640</v>
      </c>
      <c r="M183" s="5">
        <v>-162240</v>
      </c>
      <c r="N183" s="5">
        <v>-163850</v>
      </c>
    </row>
    <row r="184" spans="1:14" x14ac:dyDescent="0.25">
      <c r="A184" s="3" t="s">
        <v>195</v>
      </c>
      <c r="B184" s="4">
        <v>-118.42</v>
      </c>
      <c r="C184" s="4">
        <v>0.24</v>
      </c>
      <c r="D184" s="4">
        <v>0.24</v>
      </c>
      <c r="E184" s="4">
        <v>6.3613394599831077E-2</v>
      </c>
      <c r="F184" s="3">
        <v>182</v>
      </c>
      <c r="G184" s="3">
        <v>1</v>
      </c>
      <c r="H184" s="5">
        <v>77452400</v>
      </c>
      <c r="I184" s="5">
        <v>76145400</v>
      </c>
      <c r="J184" s="5">
        <v>0</v>
      </c>
      <c r="K184" s="5">
        <v>1307000</v>
      </c>
      <c r="L184" s="5">
        <v>61998000</v>
      </c>
      <c r="M184" s="5">
        <v>-643000</v>
      </c>
      <c r="N184" s="5">
        <v>6041000</v>
      </c>
    </row>
    <row r="185" spans="1:14" x14ac:dyDescent="0.25">
      <c r="A185" s="3" t="s">
        <v>196</v>
      </c>
      <c r="B185" s="4">
        <v>-117.37</v>
      </c>
      <c r="C185" s="4">
        <v>-0.18</v>
      </c>
      <c r="D185" s="4">
        <v>-0.03</v>
      </c>
      <c r="E185" s="4">
        <v>6.169791278943805E-2</v>
      </c>
      <c r="F185" s="3">
        <v>183</v>
      </c>
      <c r="G185" s="3">
        <v>1</v>
      </c>
      <c r="H185" s="5">
        <v>5063297558.0600004</v>
      </c>
      <c r="I185" s="5">
        <v>8333297558.0600014</v>
      </c>
      <c r="J185" s="5">
        <v>6809000000</v>
      </c>
      <c r="K185" s="5">
        <v>3539000000</v>
      </c>
      <c r="L185" s="5">
        <v>9479000000</v>
      </c>
      <c r="M185" s="5">
        <v>-71000000</v>
      </c>
      <c r="N185" s="5">
        <v>-436000000</v>
      </c>
    </row>
    <row r="186" spans="1:14" x14ac:dyDescent="0.25">
      <c r="A186" s="3" t="s">
        <v>197</v>
      </c>
      <c r="B186" s="4">
        <v>7.0000000000000007E-2</v>
      </c>
      <c r="C186" s="4">
        <v>24.98</v>
      </c>
      <c r="D186" s="4">
        <v>-0.76</v>
      </c>
      <c r="E186" s="4">
        <v>6.1567377391178853E-2</v>
      </c>
      <c r="F186" s="3">
        <v>184</v>
      </c>
      <c r="G186" s="3">
        <v>1</v>
      </c>
      <c r="H186" s="5">
        <v>1007.3688</v>
      </c>
      <c r="I186" s="5">
        <v>-335992.6312</v>
      </c>
      <c r="J186" s="5">
        <v>252000</v>
      </c>
      <c r="K186" s="5">
        <v>589000</v>
      </c>
      <c r="L186" s="5">
        <v>0</v>
      </c>
      <c r="M186" s="5">
        <v>-4811000</v>
      </c>
      <c r="N186" s="5">
        <v>-12788000</v>
      </c>
    </row>
    <row r="187" spans="1:14" x14ac:dyDescent="0.25">
      <c r="A187" s="3" t="s">
        <v>198</v>
      </c>
      <c r="B187" s="4">
        <v>-114.33</v>
      </c>
      <c r="C187" s="4">
        <v>0.3</v>
      </c>
      <c r="D187" s="4">
        <v>-0.05</v>
      </c>
      <c r="E187" s="4">
        <v>6.1199429341065467E-2</v>
      </c>
      <c r="F187" s="3">
        <v>185</v>
      </c>
      <c r="G187" s="3">
        <v>1</v>
      </c>
      <c r="H187" s="5">
        <v>1116644673.5999999</v>
      </c>
      <c r="I187" s="5">
        <v>1225458673.5999999</v>
      </c>
      <c r="J187" s="5">
        <v>270797000</v>
      </c>
      <c r="K187" s="5">
        <v>161983000</v>
      </c>
      <c r="L187" s="5">
        <v>330372000</v>
      </c>
      <c r="M187" s="5">
        <v>-10719000</v>
      </c>
      <c r="N187" s="5">
        <v>-20475000</v>
      </c>
    </row>
    <row r="188" spans="1:14" x14ac:dyDescent="0.25">
      <c r="A188" s="3" t="s">
        <v>199</v>
      </c>
      <c r="B188" s="4">
        <v>0</v>
      </c>
      <c r="C188" s="4">
        <v>26.82</v>
      </c>
      <c r="D188" s="4">
        <v>-35.25</v>
      </c>
      <c r="E188" s="4">
        <v>6.0273912855900919E-2</v>
      </c>
      <c r="F188" s="3">
        <v>186</v>
      </c>
      <c r="G188" s="3">
        <v>1</v>
      </c>
      <c r="H188" s="5">
        <v>9570.8698999999997</v>
      </c>
      <c r="I188" s="5">
        <v>830.86989999999969</v>
      </c>
      <c r="J188" s="5">
        <v>0</v>
      </c>
      <c r="K188" s="5">
        <v>8740</v>
      </c>
      <c r="L188" s="5">
        <v>15920</v>
      </c>
      <c r="M188" s="5">
        <v>-258660</v>
      </c>
      <c r="N188" s="5">
        <v>-761840</v>
      </c>
    </row>
    <row r="189" spans="1:14" x14ac:dyDescent="0.25">
      <c r="A189" s="3" t="s">
        <v>200</v>
      </c>
      <c r="B189" s="4">
        <v>-119.16</v>
      </c>
      <c r="C189" s="4">
        <v>-1.25</v>
      </c>
      <c r="D189" s="4">
        <v>-0.12</v>
      </c>
      <c r="E189" s="4">
        <v>5.9696803419470347E-2</v>
      </c>
      <c r="F189" s="3">
        <v>187</v>
      </c>
      <c r="G189" s="3">
        <v>1</v>
      </c>
      <c r="H189" s="5">
        <v>5815233120.0699997</v>
      </c>
      <c r="I189" s="5">
        <v>6042079120.0699997</v>
      </c>
      <c r="J189" s="5">
        <v>646443000</v>
      </c>
      <c r="K189" s="5">
        <v>419597000</v>
      </c>
      <c r="L189" s="5">
        <v>591839000</v>
      </c>
      <c r="M189" s="5">
        <v>-50706000</v>
      </c>
      <c r="N189" s="5">
        <v>-113289000</v>
      </c>
    </row>
    <row r="190" spans="1:14" x14ac:dyDescent="0.25">
      <c r="A190" s="3" t="s">
        <v>201</v>
      </c>
      <c r="B190" s="4">
        <v>-111.84</v>
      </c>
      <c r="C190" s="4">
        <v>-0.09</v>
      </c>
      <c r="D190" s="4">
        <v>-0.08</v>
      </c>
      <c r="E190" s="4">
        <v>5.8525679369196809E-2</v>
      </c>
      <c r="F190" s="3">
        <v>188</v>
      </c>
      <c r="G190" s="3">
        <v>1</v>
      </c>
      <c r="H190" s="5">
        <v>3846418509.2800002</v>
      </c>
      <c r="I190" s="5">
        <v>3807815509.2800002</v>
      </c>
      <c r="J190" s="5">
        <v>0</v>
      </c>
      <c r="K190" s="5">
        <v>38603000</v>
      </c>
      <c r="L190" s="5">
        <v>78114000</v>
      </c>
      <c r="M190" s="5">
        <v>-34046000</v>
      </c>
      <c r="N190" s="5">
        <v>-47765000</v>
      </c>
    </row>
    <row r="191" spans="1:14" x14ac:dyDescent="0.25">
      <c r="A191" s="3" t="s">
        <v>202</v>
      </c>
      <c r="B191" s="4">
        <v>-112.26</v>
      </c>
      <c r="C191" s="4">
        <v>-0.2</v>
      </c>
      <c r="D191" s="4">
        <v>-0.19</v>
      </c>
      <c r="E191" s="4">
        <v>5.8446577038962472E-2</v>
      </c>
      <c r="F191" s="3">
        <v>189</v>
      </c>
      <c r="G191" s="3">
        <v>1</v>
      </c>
      <c r="H191" s="5">
        <v>799298480.75999999</v>
      </c>
      <c r="I191" s="5">
        <v>784785480.75999999</v>
      </c>
      <c r="J191" s="5">
        <v>53000</v>
      </c>
      <c r="K191" s="5">
        <v>14566000</v>
      </c>
      <c r="L191" s="5">
        <v>4240000</v>
      </c>
      <c r="M191" s="5">
        <v>-6991000</v>
      </c>
      <c r="N191" s="5">
        <v>-8140000</v>
      </c>
    </row>
    <row r="192" spans="1:14" x14ac:dyDescent="0.25">
      <c r="A192" s="3" t="s">
        <v>203</v>
      </c>
      <c r="B192" s="4">
        <v>-109.7</v>
      </c>
      <c r="C192" s="4">
        <v>0.33</v>
      </c>
      <c r="D192" s="4">
        <v>-0.21</v>
      </c>
      <c r="E192" s="4">
        <v>5.8389643499121902E-2</v>
      </c>
      <c r="F192" s="3">
        <v>190</v>
      </c>
      <c r="G192" s="3">
        <v>1</v>
      </c>
      <c r="H192" s="5">
        <v>5701272006.3800001</v>
      </c>
      <c r="I192" s="5">
        <v>7307325006.3800001</v>
      </c>
      <c r="J192" s="5">
        <v>2385762000</v>
      </c>
      <c r="K192" s="5">
        <v>779709000</v>
      </c>
      <c r="L192" s="5">
        <v>806780000</v>
      </c>
      <c r="M192" s="5">
        <v>-66609000</v>
      </c>
      <c r="N192" s="5">
        <v>-363295000</v>
      </c>
    </row>
    <row r="193" spans="1:14" x14ac:dyDescent="0.25">
      <c r="A193" s="3" t="s">
        <v>204</v>
      </c>
      <c r="B193" s="4">
        <v>-110.11</v>
      </c>
      <c r="C193" s="4">
        <v>-0.21</v>
      </c>
      <c r="D193" s="4">
        <v>-0.15</v>
      </c>
      <c r="E193" s="4">
        <v>5.7094720313386367E-2</v>
      </c>
      <c r="F193" s="3">
        <v>191</v>
      </c>
      <c r="G193" s="3">
        <v>1</v>
      </c>
      <c r="H193" s="5">
        <v>192606078.28</v>
      </c>
      <c r="I193" s="5">
        <v>175314278.28</v>
      </c>
      <c r="J193" s="5">
        <v>807220</v>
      </c>
      <c r="K193" s="5">
        <v>18099020</v>
      </c>
      <c r="L193" s="5">
        <v>1740910</v>
      </c>
      <c r="M193" s="5">
        <v>-1592130</v>
      </c>
      <c r="N193" s="5">
        <v>-3303650</v>
      </c>
    </row>
    <row r="194" spans="1:14" x14ac:dyDescent="0.25">
      <c r="A194" s="3" t="s">
        <v>205</v>
      </c>
      <c r="B194" s="4">
        <v>-108.23</v>
      </c>
      <c r="C194" s="4">
        <v>-0.04</v>
      </c>
      <c r="D194" s="4">
        <v>-0.04</v>
      </c>
      <c r="E194" s="4">
        <v>5.6443560253934169E-2</v>
      </c>
      <c r="F194" s="3">
        <v>192</v>
      </c>
      <c r="G194" s="3">
        <v>1</v>
      </c>
      <c r="H194" s="5">
        <v>8063579784.96</v>
      </c>
      <c r="I194" s="5">
        <v>7182106784.96</v>
      </c>
      <c r="J194" s="5">
        <v>0</v>
      </c>
      <c r="K194" s="5">
        <v>881473000</v>
      </c>
      <c r="L194" s="5">
        <v>937464000</v>
      </c>
      <c r="M194" s="5">
        <v>-66361000</v>
      </c>
      <c r="N194" s="5">
        <v>-46142000</v>
      </c>
    </row>
    <row r="195" spans="1:14" x14ac:dyDescent="0.25">
      <c r="A195" s="3" t="s">
        <v>206</v>
      </c>
      <c r="B195" s="4">
        <v>-108.09</v>
      </c>
      <c r="C195" s="4">
        <v>-0.05</v>
      </c>
      <c r="D195" s="4">
        <v>-0.03</v>
      </c>
      <c r="E195" s="4">
        <v>5.632994679373813E-2</v>
      </c>
      <c r="F195" s="3">
        <v>193</v>
      </c>
      <c r="G195" s="3">
        <v>1</v>
      </c>
      <c r="H195" s="5">
        <v>15612929641.57</v>
      </c>
      <c r="I195" s="5">
        <v>13452693641.57</v>
      </c>
      <c r="J195" s="5">
        <v>0</v>
      </c>
      <c r="K195" s="5">
        <v>2160236000</v>
      </c>
      <c r="L195" s="5">
        <v>4112898000</v>
      </c>
      <c r="M195" s="5">
        <v>-124454000</v>
      </c>
      <c r="N195" s="5">
        <v>-129386000</v>
      </c>
    </row>
    <row r="196" spans="1:14" x14ac:dyDescent="0.25">
      <c r="A196" s="3" t="s">
        <v>207</v>
      </c>
      <c r="B196" s="4">
        <v>-118.43</v>
      </c>
      <c r="C196" s="4">
        <v>-2.2200000000000002</v>
      </c>
      <c r="D196" s="4">
        <v>-1.93</v>
      </c>
      <c r="E196" s="4">
        <v>5.6093157712652719E-2</v>
      </c>
      <c r="F196" s="3">
        <v>194</v>
      </c>
      <c r="G196" s="3">
        <v>1</v>
      </c>
      <c r="H196" s="5">
        <v>198742643</v>
      </c>
      <c r="I196" s="5">
        <v>194976683</v>
      </c>
      <c r="J196" s="5">
        <v>0</v>
      </c>
      <c r="K196" s="5">
        <v>3765960</v>
      </c>
      <c r="L196" s="5">
        <v>2420180</v>
      </c>
      <c r="M196" s="5">
        <v>-1646390</v>
      </c>
      <c r="N196" s="5">
        <v>-40661800</v>
      </c>
    </row>
    <row r="197" spans="1:14" x14ac:dyDescent="0.25">
      <c r="A197" s="3" t="s">
        <v>208</v>
      </c>
      <c r="B197" s="4">
        <v>-116.47</v>
      </c>
      <c r="C197" s="4">
        <v>-2.0299999999999998</v>
      </c>
      <c r="D197" s="4">
        <v>-0.28000000000000003</v>
      </c>
      <c r="E197" s="4">
        <v>5.5747341314588708E-2</v>
      </c>
      <c r="F197" s="3">
        <v>195</v>
      </c>
      <c r="G197" s="3">
        <v>1</v>
      </c>
      <c r="H197" s="5">
        <v>8956803.5999999996</v>
      </c>
      <c r="I197" s="5">
        <v>16887803.600000001</v>
      </c>
      <c r="J197" s="5">
        <v>15192000</v>
      </c>
      <c r="K197" s="5">
        <v>7261000</v>
      </c>
      <c r="L197" s="5">
        <v>33562000</v>
      </c>
      <c r="M197" s="5">
        <v>-145000</v>
      </c>
      <c r="N197" s="5">
        <v>-10086000</v>
      </c>
    </row>
    <row r="198" spans="1:14" x14ac:dyDescent="0.25">
      <c r="A198" s="3" t="s">
        <v>209</v>
      </c>
      <c r="B198" s="4">
        <v>0.03</v>
      </c>
      <c r="C198" s="4">
        <v>22.94</v>
      </c>
      <c r="D198" s="4">
        <v>-1.78</v>
      </c>
      <c r="E198" s="4">
        <v>5.550107767211214E-2</v>
      </c>
      <c r="F198" s="3">
        <v>196</v>
      </c>
      <c r="G198" s="3">
        <v>1</v>
      </c>
      <c r="H198" s="5">
        <v>9465.48</v>
      </c>
      <c r="I198" s="5">
        <v>-3036534.5200000028</v>
      </c>
      <c r="J198" s="5">
        <v>43614000</v>
      </c>
      <c r="K198" s="5">
        <v>46660000</v>
      </c>
      <c r="L198" s="5">
        <v>0</v>
      </c>
      <c r="M198" s="5">
        <v>-106366000</v>
      </c>
      <c r="N198" s="5">
        <v>-114527000</v>
      </c>
    </row>
    <row r="199" spans="1:14" x14ac:dyDescent="0.25">
      <c r="A199" s="3" t="s">
        <v>210</v>
      </c>
      <c r="B199" s="4">
        <v>-106.89</v>
      </c>
      <c r="C199" s="4">
        <v>-0.1</v>
      </c>
      <c r="D199" s="4">
        <v>-0.05</v>
      </c>
      <c r="E199" s="4">
        <v>5.5438916021861538E-2</v>
      </c>
      <c r="F199" s="3">
        <v>197</v>
      </c>
      <c r="G199" s="3">
        <v>1</v>
      </c>
      <c r="H199" s="5">
        <v>6096838.9939999999</v>
      </c>
      <c r="I199" s="5">
        <v>20522838.993999999</v>
      </c>
      <c r="J199" s="5">
        <v>14437000</v>
      </c>
      <c r="K199" s="5">
        <v>11000</v>
      </c>
      <c r="L199" s="5">
        <v>44876000</v>
      </c>
      <c r="M199" s="5">
        <v>-192000</v>
      </c>
      <c r="N199" s="5">
        <v>-2563000</v>
      </c>
    </row>
    <row r="200" spans="1:14" x14ac:dyDescent="0.25">
      <c r="A200" s="3" t="s">
        <v>211</v>
      </c>
      <c r="B200" s="4">
        <v>-106</v>
      </c>
      <c r="C200" s="4">
        <v>0.01</v>
      </c>
      <c r="D200" s="4">
        <v>0</v>
      </c>
      <c r="E200" s="4">
        <v>5.5215551524868213E-2</v>
      </c>
      <c r="F200" s="3">
        <v>198</v>
      </c>
      <c r="G200" s="3">
        <v>1</v>
      </c>
      <c r="H200" s="5">
        <v>429496461.35000002</v>
      </c>
      <c r="I200" s="5">
        <v>457171461.35000002</v>
      </c>
      <c r="J200" s="5">
        <v>66942000</v>
      </c>
      <c r="K200" s="5">
        <v>39267000</v>
      </c>
      <c r="L200" s="5">
        <v>41886000</v>
      </c>
      <c r="M200" s="5">
        <v>-4313000</v>
      </c>
      <c r="N200" s="5">
        <v>2690000</v>
      </c>
    </row>
    <row r="201" spans="1:14" x14ac:dyDescent="0.25">
      <c r="A201" s="3" t="s">
        <v>212</v>
      </c>
      <c r="B201" s="4">
        <v>-102.99</v>
      </c>
      <c r="C201" s="4">
        <v>0</v>
      </c>
      <c r="D201" s="4">
        <v>0</v>
      </c>
      <c r="E201" s="4">
        <v>5.332370700303344E-2</v>
      </c>
      <c r="F201" s="3">
        <v>199</v>
      </c>
      <c r="G201" s="3">
        <v>1</v>
      </c>
      <c r="H201" s="5">
        <v>19646077.949999999</v>
      </c>
      <c r="I201" s="5">
        <v>769009077.95000005</v>
      </c>
      <c r="J201" s="5">
        <v>768953000</v>
      </c>
      <c r="K201" s="5">
        <v>19590000</v>
      </c>
      <c r="L201" s="5">
        <v>79598000</v>
      </c>
      <c r="M201" s="5">
        <v>-7467000</v>
      </c>
      <c r="N201" s="5">
        <v>-129000</v>
      </c>
    </row>
    <row r="202" spans="1:14" x14ac:dyDescent="0.25">
      <c r="A202" s="3" t="s">
        <v>213</v>
      </c>
      <c r="B202" s="4">
        <v>-102.58</v>
      </c>
      <c r="C202" s="4">
        <v>-0.03</v>
      </c>
      <c r="D202" s="4">
        <v>-0.02</v>
      </c>
      <c r="E202" s="4">
        <v>5.2979410695254872E-2</v>
      </c>
      <c r="F202" s="3">
        <v>200</v>
      </c>
      <c r="G202" s="3">
        <v>1</v>
      </c>
      <c r="H202" s="5">
        <v>17970265.543400001</v>
      </c>
      <c r="I202" s="5">
        <v>10128955.543400001</v>
      </c>
      <c r="J202" s="5">
        <v>0</v>
      </c>
      <c r="K202" s="5">
        <v>7841310</v>
      </c>
      <c r="L202" s="5">
        <v>15864770</v>
      </c>
      <c r="M202" s="5">
        <v>-98740</v>
      </c>
      <c r="N202" s="5">
        <v>-643230</v>
      </c>
    </row>
    <row r="203" spans="1:14" x14ac:dyDescent="0.25">
      <c r="A203" s="3" t="s">
        <v>214</v>
      </c>
      <c r="B203" s="4">
        <v>-99.15</v>
      </c>
      <c r="C203" s="4">
        <v>0.63</v>
      </c>
      <c r="D203" s="4">
        <v>-0.56000000000000005</v>
      </c>
      <c r="E203" s="4">
        <v>5.2659323768926229E-2</v>
      </c>
      <c r="F203" s="3">
        <v>201</v>
      </c>
      <c r="G203" s="3">
        <v>1</v>
      </c>
      <c r="H203" s="5">
        <v>154152903.59999999</v>
      </c>
      <c r="I203" s="5">
        <v>156627803.59999999</v>
      </c>
      <c r="J203" s="5">
        <v>2537450</v>
      </c>
      <c r="K203" s="5">
        <v>62550</v>
      </c>
      <c r="L203" s="5">
        <v>0</v>
      </c>
      <c r="M203" s="5">
        <v>-1579780</v>
      </c>
      <c r="N203" s="5">
        <v>-1814330</v>
      </c>
    </row>
    <row r="204" spans="1:14" x14ac:dyDescent="0.25">
      <c r="A204" s="3" t="s">
        <v>215</v>
      </c>
      <c r="B204" s="4">
        <v>-107.96</v>
      </c>
      <c r="C204" s="4">
        <v>-1.41</v>
      </c>
      <c r="D204" s="4">
        <v>-0.98</v>
      </c>
      <c r="E204" s="4">
        <v>5.2136699040846779E-2</v>
      </c>
      <c r="F204" s="3">
        <v>202</v>
      </c>
      <c r="G204" s="3">
        <v>1</v>
      </c>
      <c r="H204" s="5">
        <v>348689366.90979999</v>
      </c>
      <c r="I204" s="5">
        <v>346564676.90979999</v>
      </c>
      <c r="J204" s="5">
        <v>148930</v>
      </c>
      <c r="K204" s="5">
        <v>2273620</v>
      </c>
      <c r="L204" s="5">
        <v>2719840</v>
      </c>
      <c r="M204" s="5">
        <v>-3210160</v>
      </c>
      <c r="N204" s="5">
        <v>-3617650</v>
      </c>
    </row>
    <row r="205" spans="1:14" x14ac:dyDescent="0.25">
      <c r="A205" s="3" t="s">
        <v>216</v>
      </c>
      <c r="B205" s="4">
        <v>-100.08</v>
      </c>
      <c r="C205" s="4">
        <v>0.03</v>
      </c>
      <c r="D205" s="4">
        <v>0.03</v>
      </c>
      <c r="E205" s="4">
        <v>5.1615116045959787E-2</v>
      </c>
      <c r="F205" s="3">
        <v>203</v>
      </c>
      <c r="G205" s="3">
        <v>1</v>
      </c>
      <c r="H205" s="5">
        <v>202678855.28999999</v>
      </c>
      <c r="I205" s="5">
        <v>204757855.28999999</v>
      </c>
      <c r="J205" s="5">
        <v>2303000</v>
      </c>
      <c r="K205" s="5">
        <v>224000</v>
      </c>
      <c r="L205" s="5">
        <v>60202000</v>
      </c>
      <c r="M205" s="5">
        <v>-2046000</v>
      </c>
      <c r="N205" s="5">
        <v>5021000</v>
      </c>
    </row>
    <row r="206" spans="1:14" x14ac:dyDescent="0.25">
      <c r="A206" s="3" t="s">
        <v>217</v>
      </c>
      <c r="B206" s="4">
        <v>-0.41</v>
      </c>
      <c r="C206" s="4">
        <v>21.39</v>
      </c>
      <c r="D206" s="4">
        <v>-0.66</v>
      </c>
      <c r="E206" s="4">
        <v>5.151094461222322E-2</v>
      </c>
      <c r="F206" s="3">
        <v>204</v>
      </c>
      <c r="G206" s="3">
        <v>1</v>
      </c>
      <c r="H206" s="5">
        <v>5124041.3403000003</v>
      </c>
      <c r="I206" s="5">
        <v>4879041.3403000003</v>
      </c>
      <c r="J206" s="5">
        <v>0</v>
      </c>
      <c r="K206" s="5">
        <v>245000</v>
      </c>
      <c r="L206" s="5">
        <v>33897000</v>
      </c>
      <c r="M206" s="5">
        <v>-11818000</v>
      </c>
      <c r="N206" s="5">
        <v>-16853000</v>
      </c>
    </row>
    <row r="207" spans="1:14" x14ac:dyDescent="0.25">
      <c r="A207" s="3" t="s">
        <v>218</v>
      </c>
      <c r="B207" s="4">
        <v>-97.09</v>
      </c>
      <c r="C207" s="4">
        <v>0.02</v>
      </c>
      <c r="D207" s="4">
        <v>0.02</v>
      </c>
      <c r="E207" s="4">
        <v>4.9733720908941681E-2</v>
      </c>
      <c r="F207" s="3">
        <v>205</v>
      </c>
      <c r="G207" s="3">
        <v>1</v>
      </c>
      <c r="H207" s="5">
        <v>38687855.399999999</v>
      </c>
      <c r="I207" s="5">
        <v>34579605.399999999</v>
      </c>
      <c r="J207" s="5">
        <v>0</v>
      </c>
      <c r="K207" s="5">
        <v>4108250</v>
      </c>
      <c r="L207" s="5">
        <v>372550</v>
      </c>
      <c r="M207" s="5">
        <v>-356150</v>
      </c>
      <c r="N207" s="5">
        <v>262500</v>
      </c>
    </row>
    <row r="208" spans="1:14" x14ac:dyDescent="0.25">
      <c r="A208" s="3" t="s">
        <v>219</v>
      </c>
      <c r="B208" s="4">
        <v>-97.43</v>
      </c>
      <c r="C208" s="4">
        <v>-0.13</v>
      </c>
      <c r="D208" s="4">
        <v>-0.11</v>
      </c>
      <c r="E208" s="4">
        <v>4.9485672451917873E-2</v>
      </c>
      <c r="F208" s="3">
        <v>206</v>
      </c>
      <c r="G208" s="3">
        <v>1</v>
      </c>
      <c r="H208" s="5">
        <v>7256928466.04</v>
      </c>
      <c r="I208" s="5">
        <v>7250822466.04</v>
      </c>
      <c r="J208" s="5">
        <v>0</v>
      </c>
      <c r="K208" s="5">
        <v>6106000</v>
      </c>
      <c r="L208" s="5">
        <v>202697000</v>
      </c>
      <c r="M208" s="5">
        <v>-74418000</v>
      </c>
      <c r="N208" s="5">
        <v>-93601000</v>
      </c>
    </row>
    <row r="209" spans="1:14" x14ac:dyDescent="0.25">
      <c r="A209" s="3" t="s">
        <v>220</v>
      </c>
      <c r="B209" s="4">
        <v>-169.92</v>
      </c>
      <c r="C209" s="4">
        <v>0.19</v>
      </c>
      <c r="D209" s="4">
        <v>-238.6</v>
      </c>
      <c r="E209" s="4">
        <v>4.9270465127557478E-2</v>
      </c>
      <c r="F209" s="3">
        <v>207</v>
      </c>
      <c r="G209" s="3">
        <v>1</v>
      </c>
      <c r="H209" s="5">
        <v>4002618.4</v>
      </c>
      <c r="I209" s="5">
        <v>4006598.4</v>
      </c>
      <c r="J209" s="5">
        <v>4080</v>
      </c>
      <c r="K209" s="5">
        <v>100</v>
      </c>
      <c r="L209" s="5">
        <v>0</v>
      </c>
      <c r="M209" s="5">
        <v>-23580</v>
      </c>
      <c r="N209" s="5">
        <v>-23860</v>
      </c>
    </row>
    <row r="210" spans="1:14" x14ac:dyDescent="0.25">
      <c r="A210" s="3" t="s">
        <v>221</v>
      </c>
      <c r="B210" s="4">
        <v>-90.58</v>
      </c>
      <c r="C210" s="4">
        <v>1.23</v>
      </c>
      <c r="D210" s="4">
        <v>-0.97</v>
      </c>
      <c r="E210" s="4">
        <v>4.9009700817720603E-2</v>
      </c>
      <c r="F210" s="3">
        <v>208</v>
      </c>
      <c r="G210" s="3">
        <v>1</v>
      </c>
      <c r="H210" s="5">
        <v>2164357.1425000001</v>
      </c>
      <c r="I210" s="5">
        <v>2263547.1425000001</v>
      </c>
      <c r="J210" s="5">
        <v>99420</v>
      </c>
      <c r="K210" s="5">
        <v>230</v>
      </c>
      <c r="L210" s="5">
        <v>40720</v>
      </c>
      <c r="M210" s="5">
        <v>-24990</v>
      </c>
      <c r="N210" s="5">
        <v>-55030</v>
      </c>
    </row>
    <row r="211" spans="1:14" x14ac:dyDescent="0.25">
      <c r="A211" s="3" t="s">
        <v>222</v>
      </c>
      <c r="B211" s="4">
        <v>-96.03</v>
      </c>
      <c r="C211" s="4">
        <v>-0.05</v>
      </c>
      <c r="D211" s="4">
        <v>-0.01</v>
      </c>
      <c r="E211" s="4">
        <v>4.8869622776217737E-2</v>
      </c>
      <c r="F211" s="3">
        <v>209</v>
      </c>
      <c r="G211" s="3">
        <v>1</v>
      </c>
      <c r="H211" s="5">
        <v>3089471143.4400001</v>
      </c>
      <c r="I211" s="5">
        <v>18501319143.439999</v>
      </c>
      <c r="J211" s="5">
        <v>15735331000</v>
      </c>
      <c r="K211" s="5">
        <v>323483000</v>
      </c>
      <c r="L211" s="5">
        <v>1782083000</v>
      </c>
      <c r="M211" s="5">
        <v>-192656000</v>
      </c>
      <c r="N211" s="5">
        <v>-204088000</v>
      </c>
    </row>
    <row r="212" spans="1:14" x14ac:dyDescent="0.25">
      <c r="A212" s="3" t="s">
        <v>223</v>
      </c>
      <c r="B212" s="4">
        <v>-0.09</v>
      </c>
      <c r="C212" s="4">
        <v>20.58</v>
      </c>
      <c r="D212" s="4">
        <v>-4.32</v>
      </c>
      <c r="E212" s="4">
        <v>4.8266484134378493E-2</v>
      </c>
      <c r="F212" s="3">
        <v>210</v>
      </c>
      <c r="G212" s="3">
        <v>1</v>
      </c>
      <c r="H212" s="5">
        <v>46191.140899999999</v>
      </c>
      <c r="I212" s="5">
        <v>89011.140899999999</v>
      </c>
      <c r="J212" s="5">
        <v>164670</v>
      </c>
      <c r="K212" s="5">
        <v>121850</v>
      </c>
      <c r="L212" s="5">
        <v>0</v>
      </c>
      <c r="M212" s="5">
        <v>-1009500</v>
      </c>
      <c r="N212" s="5">
        <v>-1101700</v>
      </c>
    </row>
    <row r="213" spans="1:14" x14ac:dyDescent="0.25">
      <c r="A213" s="3" t="s">
        <v>224</v>
      </c>
      <c r="B213" s="4">
        <v>-93.47</v>
      </c>
      <c r="C213" s="4">
        <v>-7.0000000000000007E-2</v>
      </c>
      <c r="D213" s="4">
        <v>-0.06</v>
      </c>
      <c r="E213" s="4">
        <v>4.7217753770849469E-2</v>
      </c>
      <c r="F213" s="3">
        <v>211</v>
      </c>
      <c r="G213" s="3">
        <v>1</v>
      </c>
      <c r="H213" s="5">
        <v>2059748277</v>
      </c>
      <c r="I213" s="5">
        <v>1902069277</v>
      </c>
      <c r="J213" s="5">
        <v>0</v>
      </c>
      <c r="K213" s="5">
        <v>157679000</v>
      </c>
      <c r="L213" s="5">
        <v>706232000</v>
      </c>
      <c r="M213" s="5">
        <v>-20349000</v>
      </c>
      <c r="N213" s="5">
        <v>-69006000</v>
      </c>
    </row>
    <row r="214" spans="1:14" x14ac:dyDescent="0.25">
      <c r="A214" s="3" t="s">
        <v>225</v>
      </c>
      <c r="B214" s="4">
        <v>-94.45</v>
      </c>
      <c r="C214" s="4">
        <v>-0.82</v>
      </c>
      <c r="D214" s="4">
        <v>-0.16</v>
      </c>
      <c r="E214" s="4">
        <v>4.563798513730366E-2</v>
      </c>
      <c r="F214" s="3">
        <v>212</v>
      </c>
      <c r="G214" s="3">
        <v>1</v>
      </c>
      <c r="H214" s="5">
        <v>253647203.03999999</v>
      </c>
      <c r="I214" s="5">
        <v>375818203.04000002</v>
      </c>
      <c r="J214" s="5">
        <v>130436000</v>
      </c>
      <c r="K214" s="5">
        <v>8265000</v>
      </c>
      <c r="L214" s="5">
        <v>128867000</v>
      </c>
      <c r="M214" s="5">
        <v>-3979000</v>
      </c>
      <c r="N214" s="5">
        <v>-38717000</v>
      </c>
    </row>
    <row r="215" spans="1:14" x14ac:dyDescent="0.25">
      <c r="A215" s="3" t="s">
        <v>226</v>
      </c>
      <c r="B215" s="4">
        <v>-81.31</v>
      </c>
      <c r="C215" s="4">
        <v>1.85</v>
      </c>
      <c r="D215" s="4">
        <v>-0.17</v>
      </c>
      <c r="E215" s="4">
        <v>4.5218032897626673E-2</v>
      </c>
      <c r="F215" s="3">
        <v>213</v>
      </c>
      <c r="G215" s="3">
        <v>1</v>
      </c>
      <c r="H215" s="5">
        <v>1593811222.29</v>
      </c>
      <c r="I215" s="5">
        <v>1754298222.29</v>
      </c>
      <c r="J215" s="5">
        <v>232108000</v>
      </c>
      <c r="K215" s="5">
        <v>71621000</v>
      </c>
      <c r="L215" s="5">
        <v>203070000</v>
      </c>
      <c r="M215" s="5">
        <v>-21576000</v>
      </c>
      <c r="N215" s="5">
        <v>-54836000</v>
      </c>
    </row>
    <row r="216" spans="1:14" x14ac:dyDescent="0.25">
      <c r="A216" s="3" t="s">
        <v>227</v>
      </c>
      <c r="B216" s="4">
        <v>-85.09</v>
      </c>
      <c r="C216" s="4">
        <v>1.47</v>
      </c>
      <c r="D216" s="4">
        <v>-7.61</v>
      </c>
      <c r="E216" s="4">
        <v>4.5024399810908167E-2</v>
      </c>
      <c r="F216" s="3">
        <v>214</v>
      </c>
      <c r="G216" s="3">
        <v>1</v>
      </c>
      <c r="H216" s="5">
        <v>191245866.78999999</v>
      </c>
      <c r="I216" s="5">
        <v>191235826.78999999</v>
      </c>
      <c r="J216" s="5">
        <v>0</v>
      </c>
      <c r="K216" s="5">
        <v>10040</v>
      </c>
      <c r="L216" s="5">
        <v>458630</v>
      </c>
      <c r="M216" s="5">
        <v>-2247400</v>
      </c>
      <c r="N216" s="5">
        <v>-2284030</v>
      </c>
    </row>
    <row r="217" spans="1:14" x14ac:dyDescent="0.25">
      <c r="A217" s="3" t="s">
        <v>228</v>
      </c>
      <c r="B217" s="4">
        <v>-89.92</v>
      </c>
      <c r="C217" s="4">
        <v>-0.22</v>
      </c>
      <c r="D217" s="4">
        <v>-0.02</v>
      </c>
      <c r="E217" s="4">
        <v>4.4594897749480132E-2</v>
      </c>
      <c r="F217" s="3">
        <v>215</v>
      </c>
      <c r="G217" s="3">
        <v>1</v>
      </c>
      <c r="H217" s="5">
        <v>229288968.78999999</v>
      </c>
      <c r="I217" s="5">
        <v>2973563968.79</v>
      </c>
      <c r="J217" s="5">
        <v>2804243000</v>
      </c>
      <c r="K217" s="5">
        <v>59968000</v>
      </c>
      <c r="L217" s="5">
        <v>295204000</v>
      </c>
      <c r="M217" s="5">
        <v>-33068000</v>
      </c>
      <c r="N217" s="5">
        <v>-78682000</v>
      </c>
    </row>
    <row r="218" spans="1:14" x14ac:dyDescent="0.25">
      <c r="A218" s="3" t="s">
        <v>229</v>
      </c>
      <c r="B218" s="4">
        <v>-100.22</v>
      </c>
      <c r="C218" s="4">
        <v>-2.46</v>
      </c>
      <c r="D218" s="4">
        <v>0.36</v>
      </c>
      <c r="E218" s="4">
        <v>4.457091465617654E-2</v>
      </c>
      <c r="F218" s="3">
        <v>216</v>
      </c>
      <c r="G218" s="3">
        <v>1</v>
      </c>
      <c r="H218" s="5">
        <v>1548191027.6800001</v>
      </c>
      <c r="I218" s="5">
        <v>1588905027.6800001</v>
      </c>
      <c r="J218" s="5">
        <v>41257000</v>
      </c>
      <c r="K218" s="5">
        <v>543000</v>
      </c>
      <c r="L218" s="5">
        <v>6745000</v>
      </c>
      <c r="M218" s="5">
        <v>-15854000</v>
      </c>
      <c r="N218" s="5">
        <v>22057000</v>
      </c>
    </row>
    <row r="219" spans="1:14" x14ac:dyDescent="0.25">
      <c r="A219" s="3" t="s">
        <v>230</v>
      </c>
      <c r="B219" s="4">
        <v>-88.62</v>
      </c>
      <c r="C219" s="4">
        <v>-0.2</v>
      </c>
      <c r="D219" s="4">
        <v>-0.18</v>
      </c>
      <c r="E219" s="4">
        <v>4.3817223797648887E-2</v>
      </c>
      <c r="F219" s="3">
        <v>217</v>
      </c>
      <c r="G219" s="3">
        <v>1</v>
      </c>
      <c r="H219" s="5">
        <v>29383090308</v>
      </c>
      <c r="I219" s="5">
        <v>27587690308</v>
      </c>
      <c r="J219" s="5">
        <v>6100000</v>
      </c>
      <c r="K219" s="5">
        <v>1801500000</v>
      </c>
      <c r="L219" s="5">
        <v>117500000</v>
      </c>
      <c r="M219" s="5">
        <v>-311300000</v>
      </c>
      <c r="N219" s="5">
        <v>-641400000</v>
      </c>
    </row>
    <row r="220" spans="1:14" x14ac:dyDescent="0.25">
      <c r="A220" s="3" t="s">
        <v>231</v>
      </c>
      <c r="B220" s="4">
        <v>0.11</v>
      </c>
      <c r="C220" s="4">
        <v>18.91</v>
      </c>
      <c r="D220" s="4">
        <v>-2.57</v>
      </c>
      <c r="E220" s="4">
        <v>4.3655047300085993E-2</v>
      </c>
      <c r="F220" s="3">
        <v>218</v>
      </c>
      <c r="G220" s="3">
        <v>1</v>
      </c>
      <c r="H220" s="5">
        <v>6865.7069000000001</v>
      </c>
      <c r="I220" s="5">
        <v>-6241844.2931000004</v>
      </c>
      <c r="J220" s="5">
        <v>118020</v>
      </c>
      <c r="K220" s="5">
        <v>6366730</v>
      </c>
      <c r="L220" s="5">
        <v>324240</v>
      </c>
      <c r="M220" s="5">
        <v>-58788370</v>
      </c>
      <c r="N220" s="5">
        <v>-47604050</v>
      </c>
    </row>
    <row r="221" spans="1:14" x14ac:dyDescent="0.25">
      <c r="A221" s="3" t="s">
        <v>232</v>
      </c>
      <c r="B221" s="4">
        <v>-3.32</v>
      </c>
      <c r="C221" s="4">
        <v>17.98</v>
      </c>
      <c r="D221" s="4">
        <v>-0.22</v>
      </c>
      <c r="E221" s="4">
        <v>4.3544160647552843E-2</v>
      </c>
      <c r="F221" s="3">
        <v>219</v>
      </c>
      <c r="G221" s="3">
        <v>1</v>
      </c>
      <c r="H221" s="5">
        <v>9292819.7699999996</v>
      </c>
      <c r="I221" s="5">
        <v>24056819.77</v>
      </c>
      <c r="J221" s="5">
        <v>17363000</v>
      </c>
      <c r="K221" s="5">
        <v>2599000</v>
      </c>
      <c r="L221" s="5">
        <v>55998000</v>
      </c>
      <c r="M221" s="5">
        <v>-7246000</v>
      </c>
      <c r="N221" s="5">
        <v>-26825000</v>
      </c>
    </row>
    <row r="222" spans="1:14" x14ac:dyDescent="0.25">
      <c r="A222" s="3" t="s">
        <v>233</v>
      </c>
      <c r="B222" s="4">
        <v>-87.41</v>
      </c>
      <c r="C222" s="4">
        <v>-0.09</v>
      </c>
      <c r="D222" s="4">
        <v>-0.08</v>
      </c>
      <c r="E222" s="4">
        <v>4.3405449851236608E-2</v>
      </c>
      <c r="F222" s="3">
        <v>220</v>
      </c>
      <c r="G222" s="3">
        <v>1</v>
      </c>
      <c r="H222" s="5">
        <v>6314733172.0799999</v>
      </c>
      <c r="I222" s="5">
        <v>6165803172.0799999</v>
      </c>
      <c r="J222" s="5">
        <v>0</v>
      </c>
      <c r="K222" s="5">
        <v>148930000</v>
      </c>
      <c r="L222" s="5">
        <v>66837000</v>
      </c>
      <c r="M222" s="5">
        <v>-70541000</v>
      </c>
      <c r="N222" s="5">
        <v>-87656000</v>
      </c>
    </row>
    <row r="223" spans="1:14" x14ac:dyDescent="0.25">
      <c r="A223" s="3" t="s">
        <v>234</v>
      </c>
      <c r="B223" s="4">
        <v>-85.87</v>
      </c>
      <c r="C223" s="4">
        <v>0.03</v>
      </c>
      <c r="D223" s="4">
        <v>0.03</v>
      </c>
      <c r="E223" s="4">
        <v>4.2820254750412748E-2</v>
      </c>
      <c r="F223" s="3">
        <v>221</v>
      </c>
      <c r="G223" s="3">
        <v>1</v>
      </c>
      <c r="H223" s="5">
        <v>2826789172.8800001</v>
      </c>
      <c r="I223" s="5">
        <v>2691982172.8800001</v>
      </c>
      <c r="J223" s="5">
        <v>203048000</v>
      </c>
      <c r="K223" s="5">
        <v>337855000</v>
      </c>
      <c r="L223" s="5">
        <v>2748576000</v>
      </c>
      <c r="M223" s="5">
        <v>-31349000</v>
      </c>
      <c r="N223" s="5">
        <v>551837000</v>
      </c>
    </row>
    <row r="224" spans="1:14" x14ac:dyDescent="0.25">
      <c r="A224" s="3" t="s">
        <v>235</v>
      </c>
      <c r="B224" s="4">
        <v>-87.6</v>
      </c>
      <c r="C224" s="4">
        <v>-0.39</v>
      </c>
      <c r="D224" s="4">
        <v>-0.16</v>
      </c>
      <c r="E224" s="4">
        <v>4.2640804336427293E-2</v>
      </c>
      <c r="F224" s="3">
        <v>222</v>
      </c>
      <c r="G224" s="3">
        <v>1</v>
      </c>
      <c r="H224" s="5">
        <v>7710039.4050000003</v>
      </c>
      <c r="I224" s="5">
        <v>8307269.4050000003</v>
      </c>
      <c r="J224" s="5">
        <v>598420</v>
      </c>
      <c r="K224" s="5">
        <v>1190</v>
      </c>
      <c r="L224" s="5">
        <v>16560</v>
      </c>
      <c r="M224" s="5">
        <v>-94830</v>
      </c>
      <c r="N224" s="5">
        <v>-219590</v>
      </c>
    </row>
    <row r="225" spans="1:14" x14ac:dyDescent="0.25">
      <c r="A225" s="3" t="s">
        <v>236</v>
      </c>
      <c r="B225" s="4">
        <v>-89.79</v>
      </c>
      <c r="C225" s="4">
        <v>-0.86</v>
      </c>
      <c r="D225" s="4">
        <v>-0.65</v>
      </c>
      <c r="E225" s="4">
        <v>4.2543718552109949E-2</v>
      </c>
      <c r="F225" s="3">
        <v>223</v>
      </c>
      <c r="G225" s="3">
        <v>1</v>
      </c>
      <c r="H225" s="5">
        <v>19250989358.700001</v>
      </c>
      <c r="I225" s="5">
        <v>19196596358.700001</v>
      </c>
      <c r="J225" s="5">
        <v>0</v>
      </c>
      <c r="K225" s="5">
        <v>54393000</v>
      </c>
      <c r="L225" s="5">
        <v>43073000</v>
      </c>
      <c r="M225" s="5">
        <v>-213801000</v>
      </c>
      <c r="N225" s="5">
        <v>-331647000</v>
      </c>
    </row>
    <row r="226" spans="1:14" x14ac:dyDescent="0.25">
      <c r="A226" s="3" t="s">
        <v>237</v>
      </c>
      <c r="B226" s="4">
        <v>-83.73</v>
      </c>
      <c r="C226" s="4">
        <v>0.41</v>
      </c>
      <c r="D226" s="4">
        <v>-0.28999999999999998</v>
      </c>
      <c r="E226" s="4">
        <v>4.253199294730739E-2</v>
      </c>
      <c r="F226" s="3">
        <v>224</v>
      </c>
      <c r="G226" s="3">
        <v>1</v>
      </c>
      <c r="H226" s="5">
        <v>45906314.786856003</v>
      </c>
      <c r="I226" s="5">
        <v>1137524314.7868559</v>
      </c>
      <c r="J226" s="5">
        <v>1099703000</v>
      </c>
      <c r="K226" s="5">
        <v>8085000</v>
      </c>
      <c r="L226" s="5">
        <v>288369000</v>
      </c>
      <c r="M226" s="5">
        <v>-13585000</v>
      </c>
      <c r="N226" s="5">
        <v>-226821000</v>
      </c>
    </row>
    <row r="227" spans="1:14" x14ac:dyDescent="0.25">
      <c r="A227" s="3" t="s">
        <v>238</v>
      </c>
      <c r="B227" s="4">
        <v>-78.989999999999995</v>
      </c>
      <c r="C227" s="4">
        <v>1.41</v>
      </c>
      <c r="D227" s="4">
        <v>-0.31</v>
      </c>
      <c r="E227" s="4">
        <v>4.2483812095183461E-2</v>
      </c>
      <c r="F227" s="3">
        <v>225</v>
      </c>
      <c r="G227" s="3">
        <v>1</v>
      </c>
      <c r="H227" s="5">
        <v>562107480.55999994</v>
      </c>
      <c r="I227" s="5">
        <v>687980480.55999994</v>
      </c>
      <c r="J227" s="5">
        <v>177743000</v>
      </c>
      <c r="K227" s="5">
        <v>51870000</v>
      </c>
      <c r="L227" s="5">
        <v>160180000</v>
      </c>
      <c r="M227" s="5">
        <v>-8710000</v>
      </c>
      <c r="N227" s="5">
        <v>-69410000</v>
      </c>
    </row>
    <row r="228" spans="1:14" x14ac:dyDescent="0.25">
      <c r="A228" s="3" t="s">
        <v>239</v>
      </c>
      <c r="B228" s="4">
        <v>-1.87</v>
      </c>
      <c r="C228" s="4">
        <v>17.96</v>
      </c>
      <c r="D228" s="4">
        <v>-1.96</v>
      </c>
      <c r="E228" s="4">
        <v>4.2253287982961671E-2</v>
      </c>
      <c r="F228" s="3">
        <v>226</v>
      </c>
      <c r="G228" s="3">
        <v>1</v>
      </c>
      <c r="H228" s="5">
        <v>7203567.3899999997</v>
      </c>
      <c r="I228" s="5">
        <v>7202677.3900000006</v>
      </c>
      <c r="J228" s="5">
        <v>1438950</v>
      </c>
      <c r="K228" s="5">
        <v>1439840</v>
      </c>
      <c r="L228" s="5">
        <v>4490</v>
      </c>
      <c r="M228" s="5">
        <v>-3846580</v>
      </c>
      <c r="N228" s="5">
        <v>-4264410</v>
      </c>
    </row>
    <row r="229" spans="1:14" x14ac:dyDescent="0.25">
      <c r="A229" s="3" t="s">
        <v>240</v>
      </c>
      <c r="B229" s="4">
        <v>-78.790000000000006</v>
      </c>
      <c r="C229" s="4">
        <v>1.32</v>
      </c>
      <c r="D229" s="4">
        <v>-0.04</v>
      </c>
      <c r="E229" s="4">
        <v>4.2152069235704463E-2</v>
      </c>
      <c r="F229" s="3">
        <v>227</v>
      </c>
      <c r="G229" s="3">
        <v>1</v>
      </c>
      <c r="H229" s="5">
        <v>4599439355.9099998</v>
      </c>
      <c r="I229" s="5">
        <v>5076545355.9099998</v>
      </c>
      <c r="J229" s="5">
        <v>778941000</v>
      </c>
      <c r="K229" s="5">
        <v>301835000</v>
      </c>
      <c r="L229" s="5">
        <v>738680000</v>
      </c>
      <c r="M229" s="5">
        <v>-64431000</v>
      </c>
      <c r="N229" s="5">
        <v>-55042000</v>
      </c>
    </row>
    <row r="230" spans="1:14" x14ac:dyDescent="0.25">
      <c r="A230" s="3" t="s">
        <v>241</v>
      </c>
      <c r="B230" s="4">
        <v>-83.53</v>
      </c>
      <c r="C230" s="4">
        <v>-0.09</v>
      </c>
      <c r="D230" s="4">
        <v>-0.06</v>
      </c>
      <c r="E230" s="4">
        <v>4.1007896093925571E-2</v>
      </c>
      <c r="F230" s="3">
        <v>228</v>
      </c>
      <c r="G230" s="3">
        <v>1</v>
      </c>
      <c r="H230" s="5">
        <v>5384130247.9200001</v>
      </c>
      <c r="I230" s="5">
        <v>5334261247.9200001</v>
      </c>
      <c r="J230" s="5">
        <v>0</v>
      </c>
      <c r="K230" s="5">
        <v>49869000</v>
      </c>
      <c r="L230" s="5">
        <v>428488000</v>
      </c>
      <c r="M230" s="5">
        <v>-63862000</v>
      </c>
      <c r="N230" s="5">
        <v>-69236000</v>
      </c>
    </row>
    <row r="231" spans="1:14" x14ac:dyDescent="0.25">
      <c r="A231" s="3" t="s">
        <v>242</v>
      </c>
      <c r="B231" s="4">
        <v>-113.92</v>
      </c>
      <c r="C231" s="4">
        <v>0.38</v>
      </c>
      <c r="D231" s="4">
        <v>-104.88</v>
      </c>
      <c r="E231" s="4">
        <v>4.0954835151606958E-2</v>
      </c>
      <c r="F231" s="3">
        <v>229</v>
      </c>
      <c r="G231" s="3">
        <v>1</v>
      </c>
      <c r="H231" s="5">
        <v>38632400.880000003</v>
      </c>
      <c r="I231" s="5">
        <v>39095530.880000003</v>
      </c>
      <c r="J231" s="5">
        <v>466350</v>
      </c>
      <c r="K231" s="5">
        <v>3220</v>
      </c>
      <c r="L231" s="5">
        <v>0</v>
      </c>
      <c r="M231" s="5">
        <v>-343190</v>
      </c>
      <c r="N231" s="5">
        <v>-375480</v>
      </c>
    </row>
    <row r="232" spans="1:14" x14ac:dyDescent="0.25">
      <c r="A232" s="3" t="s">
        <v>243</v>
      </c>
      <c r="B232" s="4">
        <v>-81.34</v>
      </c>
      <c r="C232" s="4">
        <v>0.36</v>
      </c>
      <c r="D232" s="4">
        <v>-2.21</v>
      </c>
      <c r="E232" s="4">
        <v>4.0537931647752462E-2</v>
      </c>
      <c r="F232" s="3">
        <v>230</v>
      </c>
      <c r="G232" s="3">
        <v>1</v>
      </c>
      <c r="H232" s="5">
        <v>26598106.435400002</v>
      </c>
      <c r="I232" s="5">
        <v>27817746.435400002</v>
      </c>
      <c r="J232" s="5">
        <v>1237930</v>
      </c>
      <c r="K232" s="5">
        <v>18290</v>
      </c>
      <c r="L232" s="5">
        <v>67960</v>
      </c>
      <c r="M232" s="5">
        <v>-342000</v>
      </c>
      <c r="N232" s="5">
        <v>-447500</v>
      </c>
    </row>
    <row r="233" spans="1:14" x14ac:dyDescent="0.25">
      <c r="A233" s="3" t="s">
        <v>244</v>
      </c>
      <c r="B233" s="4">
        <v>-86.51</v>
      </c>
      <c r="C233" s="4">
        <v>-0.96</v>
      </c>
      <c r="D233" s="4">
        <v>-0.92</v>
      </c>
      <c r="E233" s="4">
        <v>4.0172639295731311E-2</v>
      </c>
      <c r="F233" s="3">
        <v>231</v>
      </c>
      <c r="G233" s="3">
        <v>1</v>
      </c>
      <c r="H233" s="5">
        <v>82920277.258000001</v>
      </c>
      <c r="I233" s="5">
        <v>82492077.258000001</v>
      </c>
      <c r="J233" s="5">
        <v>0</v>
      </c>
      <c r="K233" s="5">
        <v>428200</v>
      </c>
      <c r="L233" s="5">
        <v>0</v>
      </c>
      <c r="M233" s="5">
        <v>-953600</v>
      </c>
      <c r="N233" s="5">
        <v>-833010</v>
      </c>
    </row>
    <row r="234" spans="1:14" x14ac:dyDescent="0.25">
      <c r="A234" s="3" t="s">
        <v>245</v>
      </c>
      <c r="B234" s="4">
        <v>-80.09</v>
      </c>
      <c r="C234" s="4">
        <v>0.33</v>
      </c>
      <c r="D234" s="4">
        <v>-0.32</v>
      </c>
      <c r="E234" s="4">
        <v>4.0042186137723021E-2</v>
      </c>
      <c r="F234" s="3">
        <v>232</v>
      </c>
      <c r="G234" s="3">
        <v>1</v>
      </c>
      <c r="H234" s="5">
        <v>1322923928.48</v>
      </c>
      <c r="I234" s="5">
        <v>1613511928.48</v>
      </c>
      <c r="J234" s="5">
        <v>437930000</v>
      </c>
      <c r="K234" s="5">
        <v>147342000</v>
      </c>
      <c r="L234" s="5">
        <v>600484000</v>
      </c>
      <c r="M234" s="5">
        <v>-20145000</v>
      </c>
      <c r="N234" s="5">
        <v>-134202000</v>
      </c>
    </row>
    <row r="235" spans="1:14" x14ac:dyDescent="0.25">
      <c r="A235" s="3" t="s">
        <v>246</v>
      </c>
      <c r="B235" s="4">
        <v>-78.45</v>
      </c>
      <c r="C235" s="4">
        <v>0.61</v>
      </c>
      <c r="D235" s="4">
        <v>-1.48</v>
      </c>
      <c r="E235" s="4">
        <v>3.9612410316816463E-2</v>
      </c>
      <c r="F235" s="3">
        <v>233</v>
      </c>
      <c r="G235" s="3">
        <v>1</v>
      </c>
      <c r="H235" s="5">
        <v>26487763.199999999</v>
      </c>
      <c r="I235" s="5">
        <v>27867593.199999999</v>
      </c>
      <c r="J235" s="5">
        <v>1394400</v>
      </c>
      <c r="K235" s="5">
        <v>14570</v>
      </c>
      <c r="L235" s="5">
        <v>36320</v>
      </c>
      <c r="M235" s="5">
        <v>-355230</v>
      </c>
      <c r="N235" s="5">
        <v>-692960</v>
      </c>
    </row>
    <row r="236" spans="1:14" x14ac:dyDescent="0.25">
      <c r="A236" s="3" t="s">
        <v>247</v>
      </c>
      <c r="B236" s="4">
        <v>-81.64</v>
      </c>
      <c r="C236" s="4">
        <v>-0.17</v>
      </c>
      <c r="D236" s="4">
        <v>-0.06</v>
      </c>
      <c r="E236" s="4">
        <v>3.9606987361062267E-2</v>
      </c>
      <c r="F236" s="3">
        <v>234</v>
      </c>
      <c r="G236" s="3">
        <v>1</v>
      </c>
      <c r="H236" s="5">
        <v>403488060.22000003</v>
      </c>
      <c r="I236" s="5">
        <v>429086060.22000003</v>
      </c>
      <c r="J236" s="5">
        <v>118269000</v>
      </c>
      <c r="K236" s="5">
        <v>92671000</v>
      </c>
      <c r="L236" s="5">
        <v>28487000</v>
      </c>
      <c r="M236" s="5">
        <v>-5256000</v>
      </c>
      <c r="N236" s="5">
        <v>-13821000</v>
      </c>
    </row>
    <row r="237" spans="1:14" x14ac:dyDescent="0.25">
      <c r="A237" s="3" t="s">
        <v>248</v>
      </c>
      <c r="B237" s="4">
        <v>0.03</v>
      </c>
      <c r="C237" s="4">
        <v>17.37</v>
      </c>
      <c r="D237" s="4">
        <v>-3.05</v>
      </c>
      <c r="E237" s="4">
        <v>3.9162352189715803E-2</v>
      </c>
      <c r="F237" s="3">
        <v>235</v>
      </c>
      <c r="G237" s="3">
        <v>1</v>
      </c>
      <c r="H237" s="5">
        <v>44.185000000000002</v>
      </c>
      <c r="I237" s="5">
        <v>-73955.815000000002</v>
      </c>
      <c r="J237" s="5">
        <v>135000</v>
      </c>
      <c r="K237" s="5">
        <v>209000</v>
      </c>
      <c r="L237" s="5">
        <v>6921000</v>
      </c>
      <c r="M237" s="5">
        <v>-2240000</v>
      </c>
      <c r="N237" s="5">
        <v>-2327000</v>
      </c>
    </row>
    <row r="238" spans="1:14" x14ac:dyDescent="0.25">
      <c r="A238" s="3" t="s">
        <v>249</v>
      </c>
      <c r="B238" s="4">
        <v>-80.61</v>
      </c>
      <c r="C238" s="4">
        <v>-0.16</v>
      </c>
      <c r="D238" s="4">
        <v>-7.0000000000000007E-2</v>
      </c>
      <c r="E238" s="4">
        <v>3.8996463754700249E-2</v>
      </c>
      <c r="F238" s="3">
        <v>236</v>
      </c>
      <c r="G238" s="3">
        <v>1</v>
      </c>
      <c r="H238" s="5">
        <v>3183407129.1599998</v>
      </c>
      <c r="I238" s="5">
        <v>3444803129.1599998</v>
      </c>
      <c r="J238" s="5">
        <v>283628000</v>
      </c>
      <c r="K238" s="5">
        <v>22232000</v>
      </c>
      <c r="L238" s="5">
        <v>545529000</v>
      </c>
      <c r="M238" s="5">
        <v>-42732000</v>
      </c>
      <c r="N238" s="5">
        <v>-50401000</v>
      </c>
    </row>
    <row r="239" spans="1:14" x14ac:dyDescent="0.25">
      <c r="A239" s="3" t="s">
        <v>250</v>
      </c>
      <c r="B239" s="4">
        <v>-66.540000000000006</v>
      </c>
      <c r="C239" s="4">
        <v>2.83</v>
      </c>
      <c r="D239" s="4">
        <v>-0.15</v>
      </c>
      <c r="E239" s="4">
        <v>3.8912007623615172E-2</v>
      </c>
      <c r="F239" s="3">
        <v>237</v>
      </c>
      <c r="G239" s="3">
        <v>1</v>
      </c>
      <c r="H239" s="5">
        <v>2171357298.8099999</v>
      </c>
      <c r="I239" s="5">
        <v>2303229298.8099999</v>
      </c>
      <c r="J239" s="5">
        <v>250424000</v>
      </c>
      <c r="K239" s="5">
        <v>118552000</v>
      </c>
      <c r="L239" s="5">
        <v>617022000</v>
      </c>
      <c r="M239" s="5">
        <v>-34613000</v>
      </c>
      <c r="N239" s="5">
        <v>-92262000</v>
      </c>
    </row>
    <row r="240" spans="1:14" x14ac:dyDescent="0.25">
      <c r="A240" s="3" t="s">
        <v>251</v>
      </c>
      <c r="B240" s="4">
        <v>-81.45</v>
      </c>
      <c r="C240" s="4">
        <v>-0.5</v>
      </c>
      <c r="D240" s="4">
        <v>-0.12</v>
      </c>
      <c r="E240" s="4">
        <v>3.8524329261875649E-2</v>
      </c>
      <c r="F240" s="3">
        <v>238</v>
      </c>
      <c r="G240" s="3">
        <v>1</v>
      </c>
      <c r="H240" s="5">
        <v>13861444382.32</v>
      </c>
      <c r="I240" s="5">
        <v>14329586382.32</v>
      </c>
      <c r="J240" s="5">
        <v>1256429000</v>
      </c>
      <c r="K240" s="5">
        <v>788287000</v>
      </c>
      <c r="L240" s="5">
        <v>4767699000</v>
      </c>
      <c r="M240" s="5">
        <v>-175933000</v>
      </c>
      <c r="N240" s="5">
        <v>-507285000</v>
      </c>
    </row>
    <row r="241" spans="1:14" x14ac:dyDescent="0.25">
      <c r="A241" s="3" t="s">
        <v>252</v>
      </c>
      <c r="B241" s="4">
        <v>-0.62</v>
      </c>
      <c r="C241" s="4">
        <v>17.079999999999998</v>
      </c>
      <c r="D241" s="4">
        <v>-4.8499999999999996</v>
      </c>
      <c r="E241" s="4">
        <v>3.8379511172655492E-2</v>
      </c>
      <c r="F241" s="3">
        <v>239</v>
      </c>
      <c r="G241" s="3">
        <v>1</v>
      </c>
      <c r="H241" s="5">
        <v>10972308.48</v>
      </c>
      <c r="I241" s="5">
        <v>10437308.48</v>
      </c>
      <c r="J241" s="5">
        <v>818000</v>
      </c>
      <c r="K241" s="5">
        <v>1353000</v>
      </c>
      <c r="L241" s="5">
        <v>768000</v>
      </c>
      <c r="M241" s="5">
        <v>-16837000</v>
      </c>
      <c r="N241" s="5">
        <v>-18398000</v>
      </c>
    </row>
    <row r="242" spans="1:14" x14ac:dyDescent="0.25">
      <c r="A242" s="3" t="s">
        <v>253</v>
      </c>
      <c r="B242" s="4">
        <v>-3.33</v>
      </c>
      <c r="C242" s="4">
        <v>16.02</v>
      </c>
      <c r="D242" s="4">
        <v>-0.28000000000000003</v>
      </c>
      <c r="E242" s="4">
        <v>3.7875628718951129E-2</v>
      </c>
      <c r="F242" s="3">
        <v>240</v>
      </c>
      <c r="G242" s="3">
        <v>1</v>
      </c>
      <c r="H242" s="5">
        <v>456.03</v>
      </c>
      <c r="I242" s="5">
        <v>2206846.0299999998</v>
      </c>
      <c r="J242" s="5">
        <v>3874410</v>
      </c>
      <c r="K242" s="5">
        <v>1668020</v>
      </c>
      <c r="L242" s="5">
        <v>15928200</v>
      </c>
      <c r="M242" s="5">
        <v>-663440</v>
      </c>
      <c r="N242" s="5">
        <v>-1627930</v>
      </c>
    </row>
    <row r="243" spans="1:14" x14ac:dyDescent="0.25">
      <c r="A243" s="3" t="s">
        <v>254</v>
      </c>
      <c r="B243" s="4">
        <v>-78.91</v>
      </c>
      <c r="C243" s="4">
        <v>-0.24</v>
      </c>
      <c r="D243" s="4">
        <v>-0.09</v>
      </c>
      <c r="E243" s="4">
        <v>3.7709291876926412E-2</v>
      </c>
      <c r="F243" s="3">
        <v>241</v>
      </c>
      <c r="G243" s="3">
        <v>1</v>
      </c>
      <c r="H243" s="5">
        <v>1085060000</v>
      </c>
      <c r="I243" s="5">
        <v>2091060000</v>
      </c>
      <c r="J243" s="5">
        <v>1124500000</v>
      </c>
      <c r="K243" s="5">
        <v>118500000</v>
      </c>
      <c r="L243" s="5">
        <v>2696400000</v>
      </c>
      <c r="M243" s="5">
        <v>-26500000</v>
      </c>
      <c r="N243" s="5">
        <v>-328500000</v>
      </c>
    </row>
    <row r="244" spans="1:14" x14ac:dyDescent="0.25">
      <c r="A244" s="3" t="s">
        <v>255</v>
      </c>
      <c r="B244" s="4">
        <v>-78.06</v>
      </c>
      <c r="C244" s="4">
        <v>-0.14000000000000001</v>
      </c>
      <c r="D244" s="4">
        <v>-0.06</v>
      </c>
      <c r="E244" s="4">
        <v>3.7477932542551932E-2</v>
      </c>
      <c r="F244" s="3">
        <v>242</v>
      </c>
      <c r="G244" s="3">
        <v>1</v>
      </c>
      <c r="H244" s="5">
        <v>13533057.939999999</v>
      </c>
      <c r="I244" s="5">
        <v>20841057.940000001</v>
      </c>
      <c r="J244" s="5">
        <v>7528000</v>
      </c>
      <c r="K244" s="5">
        <v>220000</v>
      </c>
      <c r="L244" s="5">
        <v>17953000</v>
      </c>
      <c r="M244" s="5">
        <v>-267000</v>
      </c>
      <c r="N244" s="5">
        <v>-1499000</v>
      </c>
    </row>
    <row r="245" spans="1:14" x14ac:dyDescent="0.25">
      <c r="A245" s="3" t="s">
        <v>256</v>
      </c>
      <c r="B245" s="4">
        <v>-77.540000000000006</v>
      </c>
      <c r="C245" s="4">
        <v>-0.06</v>
      </c>
      <c r="D245" s="4">
        <v>-0.03</v>
      </c>
      <c r="E245" s="4">
        <v>3.7393029782152067E-2</v>
      </c>
      <c r="F245" s="3">
        <v>243</v>
      </c>
      <c r="G245" s="3">
        <v>1</v>
      </c>
      <c r="H245" s="5">
        <v>419736908.5</v>
      </c>
      <c r="I245" s="5">
        <v>449967908.5</v>
      </c>
      <c r="J245" s="5">
        <v>53064000</v>
      </c>
      <c r="K245" s="5">
        <v>22833000</v>
      </c>
      <c r="L245" s="5">
        <v>99361000</v>
      </c>
      <c r="M245" s="5">
        <v>-5803000</v>
      </c>
      <c r="N245" s="5">
        <v>-11624000</v>
      </c>
    </row>
    <row r="246" spans="1:14" x14ac:dyDescent="0.25">
      <c r="A246" s="3" t="s">
        <v>257</v>
      </c>
      <c r="B246" s="4">
        <v>-77.38</v>
      </c>
      <c r="C246" s="4">
        <v>-0.16</v>
      </c>
      <c r="D246" s="4">
        <v>-0.14000000000000001</v>
      </c>
      <c r="E246" s="4">
        <v>3.6983847128501689E-2</v>
      </c>
      <c r="F246" s="3">
        <v>244</v>
      </c>
      <c r="G246" s="3">
        <v>1</v>
      </c>
      <c r="H246" s="5">
        <v>8531764569.2299995</v>
      </c>
      <c r="I246" s="5">
        <v>8195049569.2299995</v>
      </c>
      <c r="J246" s="5">
        <v>105087000</v>
      </c>
      <c r="K246" s="5">
        <v>441802000</v>
      </c>
      <c r="L246" s="5">
        <v>771878000</v>
      </c>
      <c r="M246" s="5">
        <v>-105903000</v>
      </c>
      <c r="N246" s="5">
        <v>-239094000</v>
      </c>
    </row>
    <row r="247" spans="1:14" x14ac:dyDescent="0.25">
      <c r="A247" s="3" t="s">
        <v>258</v>
      </c>
      <c r="B247" s="4">
        <v>-76.739999999999995</v>
      </c>
      <c r="C247" s="4">
        <v>-0.14000000000000001</v>
      </c>
      <c r="D247" s="4">
        <v>-0.09</v>
      </c>
      <c r="E247" s="4">
        <v>3.6655170310805167E-2</v>
      </c>
      <c r="F247" s="3">
        <v>245</v>
      </c>
      <c r="G247" s="3">
        <v>1</v>
      </c>
      <c r="H247" s="5">
        <v>349196923.89999998</v>
      </c>
      <c r="I247" s="5">
        <v>369127923.89999998</v>
      </c>
      <c r="J247" s="5">
        <v>44562000</v>
      </c>
      <c r="K247" s="5">
        <v>24631000</v>
      </c>
      <c r="L247" s="5">
        <v>336181000</v>
      </c>
      <c r="M247" s="5">
        <v>-4810000</v>
      </c>
      <c r="N247" s="5">
        <v>-35850000</v>
      </c>
    </row>
    <row r="248" spans="1:14" x14ac:dyDescent="0.25">
      <c r="A248" s="3" t="s">
        <v>259</v>
      </c>
      <c r="B248" s="4">
        <v>-70.64</v>
      </c>
      <c r="C248" s="4">
        <v>1.18</v>
      </c>
      <c r="D248" s="4">
        <v>-0.68</v>
      </c>
      <c r="E248" s="4">
        <v>3.6579898393423543E-2</v>
      </c>
      <c r="F248" s="3">
        <v>246</v>
      </c>
      <c r="G248" s="3">
        <v>1</v>
      </c>
      <c r="H248" s="5">
        <v>383276188</v>
      </c>
      <c r="I248" s="5">
        <v>402110878</v>
      </c>
      <c r="J248" s="5">
        <v>20082880</v>
      </c>
      <c r="K248" s="5">
        <v>1248190</v>
      </c>
      <c r="L248" s="5">
        <v>313200</v>
      </c>
      <c r="M248" s="5">
        <v>-5692310</v>
      </c>
      <c r="N248" s="5">
        <v>-11747400</v>
      </c>
    </row>
    <row r="249" spans="1:14" x14ac:dyDescent="0.25">
      <c r="A249" s="3" t="s">
        <v>260</v>
      </c>
      <c r="B249" s="4">
        <v>-8.77</v>
      </c>
      <c r="C249" s="4">
        <v>14.41</v>
      </c>
      <c r="D249" s="4">
        <v>-0.44</v>
      </c>
      <c r="E249" s="4">
        <v>3.6559821463593427E-2</v>
      </c>
      <c r="F249" s="3">
        <v>247</v>
      </c>
      <c r="G249" s="3">
        <v>1</v>
      </c>
      <c r="H249" s="5">
        <v>893360388.91999996</v>
      </c>
      <c r="I249" s="5">
        <v>845447388.91999996</v>
      </c>
      <c r="J249" s="5">
        <v>124074000</v>
      </c>
      <c r="K249" s="5">
        <v>171987000</v>
      </c>
      <c r="L249" s="5">
        <v>90398000</v>
      </c>
      <c r="M249" s="5">
        <v>-96446000</v>
      </c>
      <c r="N249" s="5">
        <v>-126874000</v>
      </c>
    </row>
    <row r="250" spans="1:14" x14ac:dyDescent="0.25">
      <c r="A250" s="3" t="s">
        <v>261</v>
      </c>
      <c r="B250" s="4">
        <v>-4.4400000000000004</v>
      </c>
      <c r="C250" s="4">
        <v>15.7</v>
      </c>
      <c r="D250" s="4">
        <v>-8.7200000000000006</v>
      </c>
      <c r="E250" s="4">
        <v>3.6009936695449107E-2</v>
      </c>
      <c r="F250" s="3">
        <v>248</v>
      </c>
      <c r="G250" s="3">
        <v>1</v>
      </c>
      <c r="H250" s="5">
        <v>22967930.784000002</v>
      </c>
      <c r="I250" s="5">
        <v>22418490.784000002</v>
      </c>
      <c r="J250" s="5">
        <v>0</v>
      </c>
      <c r="K250" s="5">
        <v>549440</v>
      </c>
      <c r="L250" s="5">
        <v>0</v>
      </c>
      <c r="M250" s="5">
        <v>-5043740</v>
      </c>
      <c r="N250" s="5">
        <v>-5775950</v>
      </c>
    </row>
    <row r="251" spans="1:14" x14ac:dyDescent="0.25">
      <c r="A251" s="3" t="s">
        <v>262</v>
      </c>
      <c r="B251" s="4">
        <v>-75.959999999999994</v>
      </c>
      <c r="C251" s="4">
        <v>-0.22</v>
      </c>
      <c r="D251" s="4">
        <v>-0.25</v>
      </c>
      <c r="E251" s="4">
        <v>3.5910398985077377E-2</v>
      </c>
      <c r="F251" s="3">
        <v>249</v>
      </c>
      <c r="G251" s="3">
        <v>1</v>
      </c>
      <c r="H251" s="5">
        <v>10799680435.75</v>
      </c>
      <c r="I251" s="5">
        <v>10398124435.75</v>
      </c>
      <c r="J251" s="5">
        <v>0</v>
      </c>
      <c r="K251" s="5">
        <v>401556000</v>
      </c>
      <c r="L251" s="5">
        <v>37045000</v>
      </c>
      <c r="M251" s="5">
        <v>-136883000</v>
      </c>
      <c r="N251" s="5">
        <v>-136623000</v>
      </c>
    </row>
    <row r="252" spans="1:14" x14ac:dyDescent="0.25">
      <c r="A252" s="3" t="s">
        <v>263</v>
      </c>
      <c r="B252" s="4">
        <v>-2.77</v>
      </c>
      <c r="C252" s="4">
        <v>15.34</v>
      </c>
      <c r="D252" s="4">
        <v>-0.13</v>
      </c>
      <c r="E252" s="4">
        <v>3.5593203321594227E-2</v>
      </c>
      <c r="F252" s="3">
        <v>250</v>
      </c>
      <c r="G252" s="3">
        <v>1</v>
      </c>
      <c r="H252" s="5">
        <v>8799968.0600000005</v>
      </c>
      <c r="I252" s="5">
        <v>1304489968.0599999</v>
      </c>
      <c r="J252" s="5">
        <v>2197747000</v>
      </c>
      <c r="K252" s="5">
        <v>902057000</v>
      </c>
      <c r="L252" s="5">
        <v>4913421000</v>
      </c>
      <c r="M252" s="5">
        <v>-470205000</v>
      </c>
      <c r="N252" s="5">
        <v>-1229495000</v>
      </c>
    </row>
    <row r="253" spans="1:14" x14ac:dyDescent="0.25">
      <c r="A253" s="3" t="s">
        <v>264</v>
      </c>
      <c r="B253" s="4">
        <v>-75</v>
      </c>
      <c r="C253" s="4">
        <v>-0.23</v>
      </c>
      <c r="D253" s="4">
        <v>-0.22</v>
      </c>
      <c r="E253" s="4">
        <v>3.5293128710875997E-2</v>
      </c>
      <c r="F253" s="3">
        <v>251</v>
      </c>
      <c r="G253" s="3">
        <v>1</v>
      </c>
      <c r="H253" s="5">
        <v>54681392.5</v>
      </c>
      <c r="I253" s="5">
        <v>54212392.5</v>
      </c>
      <c r="J253" s="5">
        <v>0</v>
      </c>
      <c r="K253" s="5">
        <v>469000</v>
      </c>
      <c r="L253" s="5">
        <v>470</v>
      </c>
      <c r="M253" s="5">
        <v>-722820</v>
      </c>
      <c r="N253" s="5">
        <v>-862790</v>
      </c>
    </row>
    <row r="254" spans="1:14" x14ac:dyDescent="0.25">
      <c r="A254" s="3" t="s">
        <v>265</v>
      </c>
      <c r="B254" s="4">
        <v>-74.680000000000007</v>
      </c>
      <c r="C254" s="4">
        <v>-0.18</v>
      </c>
      <c r="D254" s="4">
        <v>-0.06</v>
      </c>
      <c r="E254" s="4">
        <v>3.527040658888192E-2</v>
      </c>
      <c r="F254" s="3">
        <v>252</v>
      </c>
      <c r="G254" s="3">
        <v>1</v>
      </c>
      <c r="H254" s="5">
        <v>6333041.7004000004</v>
      </c>
      <c r="I254" s="5">
        <v>6475631.7004000004</v>
      </c>
      <c r="J254" s="5">
        <v>525560</v>
      </c>
      <c r="K254" s="5">
        <v>382970</v>
      </c>
      <c r="L254" s="5">
        <v>3197110</v>
      </c>
      <c r="M254" s="5">
        <v>-86710</v>
      </c>
      <c r="N254" s="5">
        <v>-123060</v>
      </c>
    </row>
    <row r="255" spans="1:14" x14ac:dyDescent="0.25">
      <c r="A255" s="3" t="s">
        <v>266</v>
      </c>
      <c r="B255" s="4">
        <v>-0.33</v>
      </c>
      <c r="C255" s="4">
        <v>15.8</v>
      </c>
      <c r="D255" s="4">
        <v>-1.91</v>
      </c>
      <c r="E255" s="4">
        <v>3.5068776323376363E-2</v>
      </c>
      <c r="F255" s="3">
        <v>253</v>
      </c>
      <c r="G255" s="3">
        <v>1</v>
      </c>
      <c r="H255" s="5">
        <v>802737.4</v>
      </c>
      <c r="I255" s="5">
        <v>27983737.399999999</v>
      </c>
      <c r="J255" s="5">
        <v>28430000</v>
      </c>
      <c r="K255" s="5">
        <v>1249000</v>
      </c>
      <c r="L255" s="5">
        <v>15459000</v>
      </c>
      <c r="M255" s="5">
        <v>-83937000</v>
      </c>
      <c r="N255" s="5">
        <v>-223829000</v>
      </c>
    </row>
    <row r="256" spans="1:14" x14ac:dyDescent="0.25">
      <c r="A256" s="3" t="s">
        <v>267</v>
      </c>
      <c r="B256" s="4">
        <v>-4.16</v>
      </c>
      <c r="C256" s="4">
        <v>14.89</v>
      </c>
      <c r="D256" s="4">
        <v>-0.61</v>
      </c>
      <c r="E256" s="4">
        <v>3.5060697322117113E-2</v>
      </c>
      <c r="F256" s="3">
        <v>254</v>
      </c>
      <c r="G256" s="3">
        <v>1</v>
      </c>
      <c r="H256" s="5">
        <v>349096.71</v>
      </c>
      <c r="I256" s="5">
        <v>8860096.7100000009</v>
      </c>
      <c r="J256" s="5">
        <v>8712000</v>
      </c>
      <c r="K256" s="5">
        <v>201000</v>
      </c>
      <c r="L256" s="5">
        <v>22058000</v>
      </c>
      <c r="M256" s="5">
        <v>-2128000</v>
      </c>
      <c r="N256" s="5">
        <v>-8517000</v>
      </c>
    </row>
    <row r="257" spans="1:14" x14ac:dyDescent="0.25">
      <c r="A257" s="3" t="s">
        <v>268</v>
      </c>
      <c r="B257" s="4">
        <v>-73.28</v>
      </c>
      <c r="C257" s="4">
        <v>-0.14000000000000001</v>
      </c>
      <c r="D257" s="4">
        <v>-0.04</v>
      </c>
      <c r="E257" s="4">
        <v>3.4523350272503923E-2</v>
      </c>
      <c r="F257" s="3">
        <v>255</v>
      </c>
      <c r="G257" s="3">
        <v>1</v>
      </c>
      <c r="H257" s="5">
        <v>3582321404.1599998</v>
      </c>
      <c r="I257" s="5">
        <v>3661375404.1599998</v>
      </c>
      <c r="J257" s="5">
        <v>534138000</v>
      </c>
      <c r="K257" s="5">
        <v>455084000</v>
      </c>
      <c r="L257" s="5">
        <v>4326922000</v>
      </c>
      <c r="M257" s="5">
        <v>-49966000</v>
      </c>
      <c r="N257" s="5">
        <v>-163721000</v>
      </c>
    </row>
    <row r="258" spans="1:14" x14ac:dyDescent="0.25">
      <c r="A258" s="3" t="s">
        <v>269</v>
      </c>
      <c r="B258" s="4">
        <v>-73.05</v>
      </c>
      <c r="C258" s="4">
        <v>-0.1</v>
      </c>
      <c r="D258" s="4">
        <v>-7.0000000000000007E-2</v>
      </c>
      <c r="E258" s="4">
        <v>3.4490785889796448E-2</v>
      </c>
      <c r="F258" s="3">
        <v>256</v>
      </c>
      <c r="G258" s="3">
        <v>1</v>
      </c>
      <c r="H258" s="5">
        <v>1606853052.1600001</v>
      </c>
      <c r="I258" s="5">
        <v>1554464052.1600001</v>
      </c>
      <c r="J258" s="5">
        <v>70332000</v>
      </c>
      <c r="K258" s="5">
        <v>122721000</v>
      </c>
      <c r="L258" s="5">
        <v>465307000</v>
      </c>
      <c r="M258" s="5">
        <v>-21280000</v>
      </c>
      <c r="N258" s="5">
        <v>-44698000</v>
      </c>
    </row>
    <row r="259" spans="1:14" x14ac:dyDescent="0.25">
      <c r="A259" s="3" t="s">
        <v>270</v>
      </c>
      <c r="B259" s="4">
        <v>-80.2</v>
      </c>
      <c r="C259" s="4">
        <v>-1.8</v>
      </c>
      <c r="D259" s="4">
        <v>-0.69</v>
      </c>
      <c r="E259" s="4">
        <v>3.3884555122943603E-2</v>
      </c>
      <c r="F259" s="3">
        <v>257</v>
      </c>
      <c r="G259" s="3">
        <v>1</v>
      </c>
      <c r="H259" s="5">
        <v>647703644.10000002</v>
      </c>
      <c r="I259" s="5">
        <v>644285644.10000002</v>
      </c>
      <c r="J259" s="5">
        <v>420000</v>
      </c>
      <c r="K259" s="5">
        <v>3838000</v>
      </c>
      <c r="L259" s="5">
        <v>2819000</v>
      </c>
      <c r="M259" s="5">
        <v>-8033000</v>
      </c>
      <c r="N259" s="5">
        <v>-8538000</v>
      </c>
    </row>
    <row r="260" spans="1:14" x14ac:dyDescent="0.25">
      <c r="A260" s="3" t="s">
        <v>271</v>
      </c>
      <c r="B260" s="4">
        <v>-0.03</v>
      </c>
      <c r="C260" s="4">
        <v>15.43</v>
      </c>
      <c r="D260" s="4">
        <v>-1.62</v>
      </c>
      <c r="E260" s="4">
        <v>3.3869978463676759E-2</v>
      </c>
      <c r="F260" s="3">
        <v>258</v>
      </c>
      <c r="G260" s="3">
        <v>1</v>
      </c>
      <c r="H260" s="5">
        <v>39572767.259999998</v>
      </c>
      <c r="I260" s="5">
        <v>1669767.2599999979</v>
      </c>
      <c r="J260" s="5">
        <v>0</v>
      </c>
      <c r="K260" s="5">
        <v>37903000</v>
      </c>
      <c r="L260" s="5">
        <v>7137000</v>
      </c>
      <c r="M260" s="5">
        <v>-52626000</v>
      </c>
      <c r="N260" s="5">
        <v>-70867000</v>
      </c>
    </row>
    <row r="261" spans="1:14" x14ac:dyDescent="0.25">
      <c r="A261" s="3" t="s">
        <v>272</v>
      </c>
      <c r="B261" s="4">
        <v>-77.78</v>
      </c>
      <c r="C261" s="4">
        <v>-1.42</v>
      </c>
      <c r="D261" s="4">
        <v>-0.45</v>
      </c>
      <c r="E261" s="4">
        <v>3.3531021048660403E-2</v>
      </c>
      <c r="F261" s="3">
        <v>259</v>
      </c>
      <c r="G261" s="3">
        <v>1</v>
      </c>
      <c r="H261" s="5">
        <v>1426987868.1300001</v>
      </c>
      <c r="I261" s="5">
        <v>1441966278.1300001</v>
      </c>
      <c r="J261" s="5">
        <v>15444910</v>
      </c>
      <c r="K261" s="5">
        <v>466500</v>
      </c>
      <c r="L261" s="5">
        <v>20649530</v>
      </c>
      <c r="M261" s="5">
        <v>-18539950</v>
      </c>
      <c r="N261" s="5">
        <v>-19151200</v>
      </c>
    </row>
    <row r="262" spans="1:14" x14ac:dyDescent="0.25">
      <c r="A262" s="3" t="s">
        <v>273</v>
      </c>
      <c r="B262" s="4">
        <v>-70.36</v>
      </c>
      <c r="C262" s="4">
        <v>-0.14000000000000001</v>
      </c>
      <c r="D262" s="4">
        <v>-0.06</v>
      </c>
      <c r="E262" s="4">
        <v>3.2712244155802289E-2</v>
      </c>
      <c r="F262" s="3">
        <v>260</v>
      </c>
      <c r="G262" s="3">
        <v>1</v>
      </c>
      <c r="H262" s="5">
        <v>578018323.79999995</v>
      </c>
      <c r="I262" s="5">
        <v>464066323.80000001</v>
      </c>
      <c r="J262" s="5">
        <v>0</v>
      </c>
      <c r="K262" s="5">
        <v>113952000</v>
      </c>
      <c r="L262" s="5">
        <v>1267171000</v>
      </c>
      <c r="M262" s="5">
        <v>-6596000</v>
      </c>
      <c r="N262" s="5">
        <v>-28739000</v>
      </c>
    </row>
    <row r="263" spans="1:14" x14ac:dyDescent="0.25">
      <c r="A263" s="3" t="s">
        <v>274</v>
      </c>
      <c r="B263" s="4">
        <v>-3.32</v>
      </c>
      <c r="C263" s="4">
        <v>14.24</v>
      </c>
      <c r="D263" s="4">
        <v>-0.75</v>
      </c>
      <c r="E263" s="4">
        <v>3.2635713215537751E-2</v>
      </c>
      <c r="F263" s="3">
        <v>261</v>
      </c>
      <c r="G263" s="3">
        <v>1</v>
      </c>
      <c r="H263" s="5">
        <v>24806861.379999999</v>
      </c>
      <c r="I263" s="5">
        <v>40203251.380000003</v>
      </c>
      <c r="J263" s="5">
        <v>21486230</v>
      </c>
      <c r="K263" s="5">
        <v>6089840</v>
      </c>
      <c r="L263" s="5">
        <v>59265130</v>
      </c>
      <c r="M263" s="5">
        <v>-12101570</v>
      </c>
      <c r="N263" s="5">
        <v>-46131700</v>
      </c>
    </row>
    <row r="264" spans="1:14" x14ac:dyDescent="0.25">
      <c r="A264" s="3" t="s">
        <v>275</v>
      </c>
      <c r="B264" s="4">
        <v>-68.75</v>
      </c>
      <c r="C264" s="4">
        <v>7.0000000000000007E-2</v>
      </c>
      <c r="D264" s="4">
        <v>0.03</v>
      </c>
      <c r="E264" s="4">
        <v>3.2339909025073978E-2</v>
      </c>
      <c r="F264" s="3">
        <v>262</v>
      </c>
      <c r="G264" s="3">
        <v>1</v>
      </c>
      <c r="H264" s="5">
        <v>34372817.5</v>
      </c>
      <c r="I264" s="5">
        <v>-889415402.5</v>
      </c>
      <c r="J264" s="5">
        <v>146724790</v>
      </c>
      <c r="K264" s="5">
        <v>1070513010</v>
      </c>
      <c r="L264" s="5">
        <v>541924660</v>
      </c>
      <c r="M264" s="5">
        <v>12937070</v>
      </c>
      <c r="N264" s="5">
        <v>71641500</v>
      </c>
    </row>
    <row r="265" spans="1:14" x14ac:dyDescent="0.25">
      <c r="A265" s="3" t="s">
        <v>276</v>
      </c>
      <c r="B265" s="4">
        <v>-87.3</v>
      </c>
      <c r="C265" s="4">
        <v>-3.67</v>
      </c>
      <c r="D265" s="4">
        <v>-3.67</v>
      </c>
      <c r="E265" s="4">
        <v>3.2300936736068202E-2</v>
      </c>
      <c r="F265" s="3">
        <v>263</v>
      </c>
      <c r="G265" s="3">
        <v>1</v>
      </c>
      <c r="H265" s="5">
        <v>5200500</v>
      </c>
      <c r="I265" s="5">
        <v>5200290</v>
      </c>
      <c r="J265" s="5">
        <v>0</v>
      </c>
      <c r="K265" s="5">
        <v>210</v>
      </c>
      <c r="L265" s="5">
        <v>171600</v>
      </c>
      <c r="M265" s="5">
        <v>-59570</v>
      </c>
      <c r="N265" s="5">
        <v>-115740</v>
      </c>
    </row>
    <row r="266" spans="1:14" x14ac:dyDescent="0.25">
      <c r="A266" s="3" t="s">
        <v>277</v>
      </c>
      <c r="B266" s="4">
        <v>-85.62</v>
      </c>
      <c r="C266" s="4">
        <v>-3.66</v>
      </c>
      <c r="D266" s="4">
        <v>-0.54</v>
      </c>
      <c r="E266" s="4">
        <v>3.1893829104732978E-2</v>
      </c>
      <c r="F266" s="3">
        <v>264</v>
      </c>
      <c r="G266" s="3">
        <v>1</v>
      </c>
      <c r="H266" s="5">
        <v>2525297.4449999998</v>
      </c>
      <c r="I266" s="5">
        <v>37741057.445</v>
      </c>
      <c r="J266" s="5">
        <v>37410260</v>
      </c>
      <c r="K266" s="5">
        <v>2194500</v>
      </c>
      <c r="L266" s="5">
        <v>3049880</v>
      </c>
      <c r="M266" s="5">
        <v>-440790</v>
      </c>
      <c r="N266" s="5">
        <v>-24710740</v>
      </c>
    </row>
    <row r="267" spans="1:14" x14ac:dyDescent="0.25">
      <c r="A267" s="3" t="s">
        <v>278</v>
      </c>
      <c r="B267" s="4">
        <v>-70.16</v>
      </c>
      <c r="C267" s="4">
        <v>-0.43</v>
      </c>
      <c r="D267" s="4">
        <v>-0.14000000000000001</v>
      </c>
      <c r="E267" s="4">
        <v>3.1735113225821412E-2</v>
      </c>
      <c r="F267" s="3">
        <v>265</v>
      </c>
      <c r="G267" s="3">
        <v>1</v>
      </c>
      <c r="H267" s="5">
        <v>89710852000</v>
      </c>
      <c r="I267" s="5">
        <v>89353583000</v>
      </c>
      <c r="J267" s="5">
        <v>2271529000</v>
      </c>
      <c r="K267" s="5">
        <v>2628798000</v>
      </c>
      <c r="L267" s="5">
        <v>3626396000</v>
      </c>
      <c r="M267" s="5">
        <v>-1273502000</v>
      </c>
      <c r="N267" s="5">
        <v>-1285640000</v>
      </c>
    </row>
    <row r="268" spans="1:14" x14ac:dyDescent="0.25">
      <c r="A268" s="3" t="s">
        <v>279</v>
      </c>
      <c r="B268" s="4">
        <v>-54.32</v>
      </c>
      <c r="C268" s="4">
        <v>4.6900000000000004</v>
      </c>
      <c r="D268" s="4">
        <v>-28.69</v>
      </c>
      <c r="E268" s="4">
        <v>3.121756731427397E-2</v>
      </c>
      <c r="F268" s="3">
        <v>266</v>
      </c>
      <c r="G268" s="3">
        <v>1</v>
      </c>
      <c r="H268" s="5">
        <v>163344564.40000001</v>
      </c>
      <c r="I268" s="5">
        <v>163237084.40000001</v>
      </c>
      <c r="J268" s="5">
        <v>0</v>
      </c>
      <c r="K268" s="5">
        <v>107480</v>
      </c>
      <c r="L268" s="5">
        <v>0</v>
      </c>
      <c r="M268" s="5">
        <v>-3004940</v>
      </c>
      <c r="N268" s="5">
        <v>-3270540</v>
      </c>
    </row>
    <row r="269" spans="1:14" x14ac:dyDescent="0.25">
      <c r="A269" s="3" t="s">
        <v>280</v>
      </c>
      <c r="B269" s="4">
        <v>-69.459999999999994</v>
      </c>
      <c r="C269" s="4">
        <v>-0.47</v>
      </c>
      <c r="D269" s="4">
        <v>-0.15</v>
      </c>
      <c r="E269" s="4">
        <v>3.1184365372390652E-2</v>
      </c>
      <c r="F269" s="3">
        <v>267</v>
      </c>
      <c r="G269" s="3">
        <v>1</v>
      </c>
      <c r="H269" s="5">
        <v>261872838.36000001</v>
      </c>
      <c r="I269" s="5">
        <v>258427368.36000001</v>
      </c>
      <c r="J269" s="5">
        <v>1959760</v>
      </c>
      <c r="K269" s="5">
        <v>5405230</v>
      </c>
      <c r="L269" s="5">
        <v>22619540</v>
      </c>
      <c r="M269" s="5">
        <v>-3720340</v>
      </c>
      <c r="N269" s="5">
        <v>-4760240</v>
      </c>
    </row>
    <row r="270" spans="1:14" x14ac:dyDescent="0.25">
      <c r="A270" s="3" t="s">
        <v>281</v>
      </c>
      <c r="B270" s="4">
        <v>-67.680000000000007</v>
      </c>
      <c r="C270" s="4">
        <v>-0.19</v>
      </c>
      <c r="D270" s="4">
        <v>-0.15</v>
      </c>
      <c r="E270" s="4">
        <v>3.089170775471569E-2</v>
      </c>
      <c r="F270" s="3">
        <v>268</v>
      </c>
      <c r="G270" s="3">
        <v>1</v>
      </c>
      <c r="H270" s="5">
        <v>4844620319</v>
      </c>
      <c r="I270" s="5">
        <v>4744457319</v>
      </c>
      <c r="J270" s="5">
        <v>69463000</v>
      </c>
      <c r="K270" s="5">
        <v>169626000</v>
      </c>
      <c r="L270" s="5">
        <v>383481000</v>
      </c>
      <c r="M270" s="5">
        <v>-70102000</v>
      </c>
      <c r="N270" s="5">
        <v>-146372000</v>
      </c>
    </row>
    <row r="271" spans="1:14" x14ac:dyDescent="0.25">
      <c r="A271" s="3" t="s">
        <v>282</v>
      </c>
      <c r="B271" s="4">
        <v>-14.24</v>
      </c>
      <c r="C271" s="4">
        <v>11.27</v>
      </c>
      <c r="D271" s="4">
        <v>-1.1000000000000001</v>
      </c>
      <c r="E271" s="4">
        <v>3.0745408623239601E-2</v>
      </c>
      <c r="F271" s="3">
        <v>269</v>
      </c>
      <c r="G271" s="3">
        <v>1</v>
      </c>
      <c r="H271" s="5">
        <v>159948837.12</v>
      </c>
      <c r="I271" s="5">
        <v>239858977.12</v>
      </c>
      <c r="J271" s="5">
        <v>80588820</v>
      </c>
      <c r="K271" s="5">
        <v>678680</v>
      </c>
      <c r="L271" s="5">
        <v>442609810</v>
      </c>
      <c r="M271" s="5">
        <v>-16842740</v>
      </c>
      <c r="N271" s="5">
        <v>-135479890</v>
      </c>
    </row>
    <row r="272" spans="1:14" x14ac:dyDescent="0.25">
      <c r="A272" s="3" t="s">
        <v>283</v>
      </c>
      <c r="B272" s="4">
        <v>-86.23</v>
      </c>
      <c r="C272" s="4">
        <v>-4.22</v>
      </c>
      <c r="D272" s="4">
        <v>-0.13</v>
      </c>
      <c r="E272" s="4">
        <v>3.0732418749122799E-2</v>
      </c>
      <c r="F272" s="3">
        <v>270</v>
      </c>
      <c r="G272" s="3">
        <v>1</v>
      </c>
      <c r="H272" s="5">
        <v>71764863937.919998</v>
      </c>
      <c r="I272" s="5">
        <v>72059551937.919998</v>
      </c>
      <c r="J272" s="5">
        <v>1006371000</v>
      </c>
      <c r="K272" s="5">
        <v>711683000</v>
      </c>
      <c r="L272" s="5">
        <v>3601979000</v>
      </c>
      <c r="M272" s="5">
        <v>-835643000</v>
      </c>
      <c r="N272" s="5">
        <v>-935384000</v>
      </c>
    </row>
    <row r="273" spans="1:14" x14ac:dyDescent="0.25">
      <c r="A273" s="3" t="s">
        <v>284</v>
      </c>
      <c r="B273" s="4">
        <v>-67.22</v>
      </c>
      <c r="C273" s="4">
        <v>-0.23</v>
      </c>
      <c r="D273" s="4">
        <v>-0.21</v>
      </c>
      <c r="E273" s="4">
        <v>3.0479855705127259E-2</v>
      </c>
      <c r="F273" s="3">
        <v>271</v>
      </c>
      <c r="G273" s="3">
        <v>1</v>
      </c>
      <c r="H273" s="5">
        <v>37192333796.550003</v>
      </c>
      <c r="I273" s="5">
        <v>36630241796.550003</v>
      </c>
      <c r="J273" s="5">
        <v>0</v>
      </c>
      <c r="K273" s="5">
        <v>562092000</v>
      </c>
      <c r="L273" s="5">
        <v>1300205000</v>
      </c>
      <c r="M273" s="5">
        <v>-544925000</v>
      </c>
      <c r="N273" s="5">
        <v>-484276000</v>
      </c>
    </row>
    <row r="274" spans="1:14" x14ac:dyDescent="0.25">
      <c r="A274" s="3" t="s">
        <v>285</v>
      </c>
      <c r="B274" s="4">
        <v>0.22</v>
      </c>
      <c r="C274" s="4">
        <v>14.19</v>
      </c>
      <c r="D274" s="4">
        <v>-0.43</v>
      </c>
      <c r="E274" s="4">
        <v>3.0361995214180228E-2</v>
      </c>
      <c r="F274" s="3">
        <v>272</v>
      </c>
      <c r="G274" s="3">
        <v>1</v>
      </c>
      <c r="H274" s="5">
        <v>36535.456100000003</v>
      </c>
      <c r="I274" s="5">
        <v>-848464.54390000005</v>
      </c>
      <c r="J274" s="5">
        <v>955000</v>
      </c>
      <c r="K274" s="5">
        <v>1840000</v>
      </c>
      <c r="L274" s="5">
        <v>41000</v>
      </c>
      <c r="M274" s="5">
        <v>-3857000</v>
      </c>
      <c r="N274" s="5">
        <v>-2044000</v>
      </c>
    </row>
    <row r="275" spans="1:14" x14ac:dyDescent="0.25">
      <c r="A275" s="3" t="s">
        <v>286</v>
      </c>
      <c r="B275" s="4">
        <v>-66.180000000000007</v>
      </c>
      <c r="C275" s="4">
        <v>-0.09</v>
      </c>
      <c r="D275" s="4">
        <v>-0.09</v>
      </c>
      <c r="E275" s="4">
        <v>3.0263837129763691E-2</v>
      </c>
      <c r="F275" s="3">
        <v>273</v>
      </c>
      <c r="G275" s="3">
        <v>1</v>
      </c>
      <c r="H275" s="5">
        <v>13888181.75</v>
      </c>
      <c r="I275" s="5">
        <v>13729141.75</v>
      </c>
      <c r="J275" s="5">
        <v>7980</v>
      </c>
      <c r="K275" s="5">
        <v>167020</v>
      </c>
      <c r="L275" s="5">
        <v>0</v>
      </c>
      <c r="M275" s="5">
        <v>-207440</v>
      </c>
      <c r="N275" s="5">
        <v>-212090</v>
      </c>
    </row>
    <row r="276" spans="1:14" x14ac:dyDescent="0.25">
      <c r="A276" s="3" t="s">
        <v>287</v>
      </c>
      <c r="B276" s="4">
        <v>-60.3</v>
      </c>
      <c r="C276" s="4">
        <v>1.0900000000000001</v>
      </c>
      <c r="D276" s="4">
        <v>-0.64</v>
      </c>
      <c r="E276" s="4">
        <v>2.9927933345825369E-2</v>
      </c>
      <c r="F276" s="3">
        <v>274</v>
      </c>
      <c r="G276" s="3">
        <v>1</v>
      </c>
      <c r="H276" s="5">
        <v>35791573.412100002</v>
      </c>
      <c r="I276" s="5">
        <v>35310253.412100002</v>
      </c>
      <c r="J276" s="5">
        <v>0</v>
      </c>
      <c r="K276" s="5">
        <v>481320</v>
      </c>
      <c r="L276" s="5">
        <v>0</v>
      </c>
      <c r="M276" s="5">
        <v>-585610</v>
      </c>
      <c r="N276" s="5">
        <v>-631110</v>
      </c>
    </row>
    <row r="277" spans="1:14" x14ac:dyDescent="0.25">
      <c r="A277" s="3" t="s">
        <v>288</v>
      </c>
      <c r="B277" s="4">
        <v>-65.180000000000007</v>
      </c>
      <c r="C277" s="4">
        <v>-0.02</v>
      </c>
      <c r="D277" s="4">
        <v>-0.01</v>
      </c>
      <c r="E277" s="4">
        <v>2.9862604021777199E-2</v>
      </c>
      <c r="F277" s="3">
        <v>275</v>
      </c>
      <c r="G277" s="3">
        <v>1</v>
      </c>
      <c r="H277" s="5">
        <v>1205786436.0799999</v>
      </c>
      <c r="I277" s="5">
        <v>1063041436.08</v>
      </c>
      <c r="J277" s="5">
        <v>0</v>
      </c>
      <c r="K277" s="5">
        <v>142745000</v>
      </c>
      <c r="L277" s="5">
        <v>696060000</v>
      </c>
      <c r="M277" s="5">
        <v>-16309000</v>
      </c>
      <c r="N277" s="5">
        <v>-12362000</v>
      </c>
    </row>
    <row r="278" spans="1:14" x14ac:dyDescent="0.25">
      <c r="A278" s="3" t="s">
        <v>289</v>
      </c>
      <c r="B278" s="4">
        <v>-3.16</v>
      </c>
      <c r="C278" s="4">
        <v>12.63</v>
      </c>
      <c r="D278" s="4">
        <v>9.34</v>
      </c>
      <c r="E278" s="4">
        <v>2.9831203011760201E-2</v>
      </c>
      <c r="F278" s="3">
        <v>276</v>
      </c>
      <c r="G278" s="3">
        <v>1</v>
      </c>
      <c r="H278" s="5">
        <v>1191715585.6700001</v>
      </c>
      <c r="I278" s="5">
        <v>1039119585.67</v>
      </c>
      <c r="J278" s="5">
        <v>0</v>
      </c>
      <c r="K278" s="5">
        <v>152596000</v>
      </c>
      <c r="L278" s="5">
        <v>200000</v>
      </c>
      <c r="M278" s="5">
        <v>-329163000</v>
      </c>
      <c r="N278" s="5">
        <v>1687572000</v>
      </c>
    </row>
    <row r="279" spans="1:14" x14ac:dyDescent="0.25">
      <c r="A279" s="3" t="s">
        <v>290</v>
      </c>
      <c r="B279" s="4">
        <v>-66.2</v>
      </c>
      <c r="C279" s="4">
        <v>-0.28000000000000003</v>
      </c>
      <c r="D279" s="4">
        <v>-0.19</v>
      </c>
      <c r="E279" s="4">
        <v>2.9707946742108079E-2</v>
      </c>
      <c r="F279" s="3">
        <v>277</v>
      </c>
      <c r="G279" s="3">
        <v>1</v>
      </c>
      <c r="H279" s="5">
        <v>4079979789.75</v>
      </c>
      <c r="I279" s="5">
        <v>3961931789.75</v>
      </c>
      <c r="J279" s="5">
        <v>0</v>
      </c>
      <c r="K279" s="5">
        <v>118048000</v>
      </c>
      <c r="L279" s="5">
        <v>244352000</v>
      </c>
      <c r="M279" s="5">
        <v>-59848000</v>
      </c>
      <c r="N279" s="5">
        <v>-123196000</v>
      </c>
    </row>
    <row r="280" spans="1:14" x14ac:dyDescent="0.25">
      <c r="A280" s="3" t="s">
        <v>291</v>
      </c>
      <c r="B280" s="4">
        <v>-64.52</v>
      </c>
      <c r="C280" s="4">
        <v>0.03</v>
      </c>
      <c r="D280" s="4">
        <v>0.03</v>
      </c>
      <c r="E280" s="4">
        <v>2.9606300587152391E-2</v>
      </c>
      <c r="F280" s="3">
        <v>278</v>
      </c>
      <c r="G280" s="3">
        <v>1</v>
      </c>
      <c r="H280" s="5">
        <v>7053182318.4200001</v>
      </c>
      <c r="I280" s="5">
        <v>7359947318.4200001</v>
      </c>
      <c r="J280" s="5">
        <v>584625000</v>
      </c>
      <c r="K280" s="5">
        <v>277860000</v>
      </c>
      <c r="L280" s="5">
        <v>376658000</v>
      </c>
      <c r="M280" s="5">
        <v>-114073000</v>
      </c>
      <c r="N280" s="5">
        <v>109401000</v>
      </c>
    </row>
    <row r="281" spans="1:14" x14ac:dyDescent="0.25">
      <c r="A281" s="3" t="s">
        <v>292</v>
      </c>
      <c r="B281" s="4">
        <v>-47.85</v>
      </c>
      <c r="C281" s="4">
        <v>3.6</v>
      </c>
      <c r="D281" s="4">
        <v>-0.23</v>
      </c>
      <c r="E281" s="4">
        <v>2.955375770327064E-2</v>
      </c>
      <c r="F281" s="3">
        <v>279</v>
      </c>
      <c r="G281" s="3">
        <v>1</v>
      </c>
      <c r="H281" s="5">
        <v>523571647.5</v>
      </c>
      <c r="I281" s="5">
        <v>6603271647.5</v>
      </c>
      <c r="J281" s="5">
        <v>6546900000</v>
      </c>
      <c r="K281" s="5">
        <v>467200000</v>
      </c>
      <c r="L281" s="5">
        <v>757600000</v>
      </c>
      <c r="M281" s="5">
        <v>-138000000</v>
      </c>
      <c r="N281" s="5">
        <v>-1609200000</v>
      </c>
    </row>
    <row r="282" spans="1:14" x14ac:dyDescent="0.25">
      <c r="A282" s="3" t="s">
        <v>293</v>
      </c>
      <c r="B282" s="4">
        <v>-63.64</v>
      </c>
      <c r="C282" s="4">
        <v>0.2</v>
      </c>
      <c r="D282" s="4">
        <v>-0.02</v>
      </c>
      <c r="E282" s="4">
        <v>2.9543196672167839E-2</v>
      </c>
      <c r="F282" s="3">
        <v>280</v>
      </c>
      <c r="G282" s="3">
        <v>1</v>
      </c>
      <c r="H282" s="5">
        <v>86589927.450000003</v>
      </c>
      <c r="I282" s="5">
        <v>92552337.450000003</v>
      </c>
      <c r="J282" s="5">
        <v>6235000</v>
      </c>
      <c r="K282" s="5">
        <v>272590</v>
      </c>
      <c r="L282" s="5">
        <v>0</v>
      </c>
      <c r="M282" s="5">
        <v>-1454380</v>
      </c>
      <c r="N282" s="5">
        <v>-206540</v>
      </c>
    </row>
    <row r="283" spans="1:14" x14ac:dyDescent="0.25">
      <c r="A283" s="3" t="s">
        <v>294</v>
      </c>
      <c r="B283" s="4">
        <v>-65.849999999999994</v>
      </c>
      <c r="C283" s="4">
        <v>-0.27</v>
      </c>
      <c r="D283" s="4">
        <v>-0.22</v>
      </c>
      <c r="E283" s="4">
        <v>2.9514431069992311E-2</v>
      </c>
      <c r="F283" s="3">
        <v>281</v>
      </c>
      <c r="G283" s="3">
        <v>1</v>
      </c>
      <c r="H283" s="5">
        <v>1167298560.26</v>
      </c>
      <c r="I283" s="5">
        <v>1090607560.26</v>
      </c>
      <c r="J283" s="5">
        <v>7933000</v>
      </c>
      <c r="K283" s="5">
        <v>84624000</v>
      </c>
      <c r="L283" s="5">
        <v>10981000</v>
      </c>
      <c r="M283" s="5">
        <v>-16561000</v>
      </c>
      <c r="N283" s="5">
        <v>-21201000</v>
      </c>
    </row>
    <row r="284" spans="1:14" x14ac:dyDescent="0.25">
      <c r="A284" s="3" t="s">
        <v>295</v>
      </c>
      <c r="B284" s="4">
        <v>-47.37</v>
      </c>
      <c r="C284" s="4">
        <v>3.58</v>
      </c>
      <c r="D284" s="4">
        <v>-0.32</v>
      </c>
      <c r="E284" s="4">
        <v>2.918152737658445E-2</v>
      </c>
      <c r="F284" s="3">
        <v>282</v>
      </c>
      <c r="G284" s="3">
        <v>1</v>
      </c>
      <c r="H284" s="5">
        <v>12046387769.5</v>
      </c>
      <c r="I284" s="5">
        <v>12343460769.5</v>
      </c>
      <c r="J284" s="5">
        <v>856616000</v>
      </c>
      <c r="K284" s="5">
        <v>559543000</v>
      </c>
      <c r="L284" s="5">
        <v>363641000</v>
      </c>
      <c r="M284" s="5">
        <v>-260582000</v>
      </c>
      <c r="N284" s="5">
        <v>-378084000</v>
      </c>
    </row>
    <row r="285" spans="1:14" x14ac:dyDescent="0.25">
      <c r="A285" s="3" t="s">
        <v>296</v>
      </c>
      <c r="B285" s="4">
        <v>-64.53</v>
      </c>
      <c r="C285" s="4">
        <v>-0.19</v>
      </c>
      <c r="D285" s="4">
        <v>-0.15</v>
      </c>
      <c r="E285" s="4">
        <v>2.8942107960136298E-2</v>
      </c>
      <c r="F285" s="3">
        <v>283</v>
      </c>
      <c r="G285" s="3">
        <v>1</v>
      </c>
      <c r="H285" s="5">
        <v>77680685.25</v>
      </c>
      <c r="I285" s="5">
        <v>74730685.25</v>
      </c>
      <c r="J285" s="5">
        <v>0</v>
      </c>
      <c r="K285" s="5">
        <v>2950000</v>
      </c>
      <c r="L285" s="5">
        <v>11679000</v>
      </c>
      <c r="M285" s="5">
        <v>-1158000</v>
      </c>
      <c r="N285" s="5">
        <v>-1984000</v>
      </c>
    </row>
    <row r="286" spans="1:14" x14ac:dyDescent="0.25">
      <c r="A286" s="3" t="s">
        <v>297</v>
      </c>
      <c r="B286" s="4">
        <v>-63.6</v>
      </c>
      <c r="C286" s="4">
        <v>-0.08</v>
      </c>
      <c r="D286" s="4">
        <v>-7.0000000000000007E-2</v>
      </c>
      <c r="E286" s="4">
        <v>2.8699773720087179E-2</v>
      </c>
      <c r="F286" s="3">
        <v>284</v>
      </c>
      <c r="G286" s="3">
        <v>1</v>
      </c>
      <c r="H286" s="5">
        <v>1124358217.3599999</v>
      </c>
      <c r="I286" s="5">
        <v>935172217.3599999</v>
      </c>
      <c r="J286" s="5">
        <v>17221000</v>
      </c>
      <c r="K286" s="5">
        <v>206407000</v>
      </c>
      <c r="L286" s="5">
        <v>401779000</v>
      </c>
      <c r="M286" s="5">
        <v>-14704000</v>
      </c>
      <c r="N286" s="5">
        <v>-69818000</v>
      </c>
    </row>
    <row r="287" spans="1:14" x14ac:dyDescent="0.25">
      <c r="A287" s="3" t="s">
        <v>298</v>
      </c>
      <c r="B287" s="4">
        <v>-64.900000000000006</v>
      </c>
      <c r="C287" s="4">
        <v>-0.35</v>
      </c>
      <c r="D287" s="4">
        <v>-0.34</v>
      </c>
      <c r="E287" s="4">
        <v>2.867215935372423E-2</v>
      </c>
      <c r="F287" s="3">
        <v>285</v>
      </c>
      <c r="G287" s="3">
        <v>1</v>
      </c>
      <c r="H287" s="5">
        <v>53817808</v>
      </c>
      <c r="I287" s="5">
        <v>51498568</v>
      </c>
      <c r="J287" s="5">
        <v>0</v>
      </c>
      <c r="K287" s="5">
        <v>2319240</v>
      </c>
      <c r="L287" s="5">
        <v>0</v>
      </c>
      <c r="M287" s="5">
        <v>-793480</v>
      </c>
      <c r="N287" s="5">
        <v>-793750</v>
      </c>
    </row>
    <row r="288" spans="1:14" x14ac:dyDescent="0.25">
      <c r="A288" s="3" t="s">
        <v>299</v>
      </c>
      <c r="B288" s="4">
        <v>-5.72</v>
      </c>
      <c r="C288" s="4">
        <v>12.99</v>
      </c>
      <c r="D288" s="4">
        <v>-10.63</v>
      </c>
      <c r="E288" s="4">
        <v>2.8603543447453288E-2</v>
      </c>
      <c r="F288" s="3">
        <v>286</v>
      </c>
      <c r="G288" s="3">
        <v>1</v>
      </c>
      <c r="H288" s="5">
        <v>35070828.659999996</v>
      </c>
      <c r="I288" s="5">
        <v>35018828.659999996</v>
      </c>
      <c r="J288" s="5">
        <v>0</v>
      </c>
      <c r="K288" s="5">
        <v>52000</v>
      </c>
      <c r="L288" s="5">
        <v>1364000</v>
      </c>
      <c r="M288" s="5">
        <v>-6119000</v>
      </c>
      <c r="N288" s="5">
        <v>-6535000</v>
      </c>
    </row>
    <row r="289" spans="1:14" x14ac:dyDescent="0.25">
      <c r="A289" s="3" t="s">
        <v>300</v>
      </c>
      <c r="B289" s="4">
        <v>-63.37</v>
      </c>
      <c r="C289" s="4">
        <v>-0.1</v>
      </c>
      <c r="D289" s="4">
        <v>-7.0000000000000007E-2</v>
      </c>
      <c r="E289" s="4">
        <v>2.8499634775025481E-2</v>
      </c>
      <c r="F289" s="3">
        <v>287</v>
      </c>
      <c r="G289" s="3">
        <v>1</v>
      </c>
      <c r="H289" s="5">
        <v>2966646007.2600002</v>
      </c>
      <c r="I289" s="5">
        <v>2783065007.2600002</v>
      </c>
      <c r="J289" s="5">
        <v>0</v>
      </c>
      <c r="K289" s="5">
        <v>183581000</v>
      </c>
      <c r="L289" s="5">
        <v>423239000</v>
      </c>
      <c r="M289" s="5">
        <v>-43921000</v>
      </c>
      <c r="N289" s="5">
        <v>-43193000</v>
      </c>
    </row>
    <row r="290" spans="1:14" x14ac:dyDescent="0.25">
      <c r="A290" s="3" t="s">
        <v>301</v>
      </c>
      <c r="B290" s="4">
        <v>-62.73</v>
      </c>
      <c r="C290" s="4">
        <v>0.03</v>
      </c>
      <c r="D290" s="4">
        <v>-0.04</v>
      </c>
      <c r="E290" s="4">
        <v>2.8484929581332991E-2</v>
      </c>
      <c r="F290" s="3">
        <v>288</v>
      </c>
      <c r="G290" s="3">
        <v>1</v>
      </c>
      <c r="H290" s="5">
        <v>8227.7651600000008</v>
      </c>
      <c r="I290" s="5">
        <v>25592777.765160002</v>
      </c>
      <c r="J290" s="5">
        <v>25606970</v>
      </c>
      <c r="K290" s="5">
        <v>22420</v>
      </c>
      <c r="L290" s="5">
        <v>0</v>
      </c>
      <c r="M290" s="5">
        <v>-408000</v>
      </c>
      <c r="N290" s="5">
        <v>-560140</v>
      </c>
    </row>
    <row r="291" spans="1:14" x14ac:dyDescent="0.25">
      <c r="A291" s="3" t="s">
        <v>302</v>
      </c>
      <c r="B291" s="4">
        <v>1.02</v>
      </c>
      <c r="C291" s="4">
        <v>13.59</v>
      </c>
      <c r="D291" s="4">
        <v>0.4</v>
      </c>
      <c r="E291" s="4">
        <v>2.829335154347954E-2</v>
      </c>
      <c r="F291" s="3">
        <v>289</v>
      </c>
      <c r="G291" s="3">
        <v>1</v>
      </c>
      <c r="H291" s="5">
        <v>22081.7677</v>
      </c>
      <c r="I291" s="5">
        <v>575111.76769999997</v>
      </c>
      <c r="J291" s="5">
        <v>632890</v>
      </c>
      <c r="K291" s="5">
        <v>79860</v>
      </c>
      <c r="L291" s="5">
        <v>750870</v>
      </c>
      <c r="M291" s="5">
        <v>566460</v>
      </c>
      <c r="N291" s="5">
        <v>702130</v>
      </c>
    </row>
    <row r="292" spans="1:14" x14ac:dyDescent="0.25">
      <c r="A292" s="3" t="s">
        <v>303</v>
      </c>
      <c r="B292" s="4">
        <v>-17.91</v>
      </c>
      <c r="C292" s="4">
        <v>10.06</v>
      </c>
      <c r="D292" s="4">
        <v>-9.82</v>
      </c>
      <c r="E292" s="4">
        <v>2.7838609489732491E-2</v>
      </c>
      <c r="F292" s="3">
        <v>290</v>
      </c>
      <c r="G292" s="3">
        <v>1</v>
      </c>
      <c r="H292" s="5">
        <v>49894405.200000003</v>
      </c>
      <c r="I292" s="5">
        <v>50239195.200000003</v>
      </c>
      <c r="J292" s="5">
        <v>550000</v>
      </c>
      <c r="K292" s="5">
        <v>205210</v>
      </c>
      <c r="L292" s="5">
        <v>0</v>
      </c>
      <c r="M292" s="5">
        <v>-2805570</v>
      </c>
      <c r="N292" s="5">
        <v>-2768010</v>
      </c>
    </row>
    <row r="293" spans="1:14" x14ac:dyDescent="0.25">
      <c r="A293" s="3" t="s">
        <v>304</v>
      </c>
      <c r="B293" s="4">
        <v>-61.76</v>
      </c>
      <c r="C293" s="4">
        <v>0.01</v>
      </c>
      <c r="D293" s="4">
        <v>0.01</v>
      </c>
      <c r="E293" s="4">
        <v>2.783643454757509E-2</v>
      </c>
      <c r="F293" s="3">
        <v>291</v>
      </c>
      <c r="G293" s="3">
        <v>1</v>
      </c>
      <c r="H293" s="5">
        <v>54325838.770000003</v>
      </c>
      <c r="I293" s="5">
        <v>54926938.770000003</v>
      </c>
      <c r="J293" s="5">
        <v>677850</v>
      </c>
      <c r="K293" s="5">
        <v>76750</v>
      </c>
      <c r="L293" s="5">
        <v>0</v>
      </c>
      <c r="M293" s="5">
        <v>-889300</v>
      </c>
      <c r="N293" s="5">
        <v>909840</v>
      </c>
    </row>
    <row r="294" spans="1:14" x14ac:dyDescent="0.25">
      <c r="A294" s="3" t="s">
        <v>305</v>
      </c>
      <c r="B294" s="4">
        <v>-63.06</v>
      </c>
      <c r="C294" s="4">
        <v>2.1800000000000002</v>
      </c>
      <c r="D294" s="4">
        <v>-36.93</v>
      </c>
      <c r="E294" s="4">
        <v>2.7785119833025871E-2</v>
      </c>
      <c r="F294" s="3">
        <v>292</v>
      </c>
      <c r="G294" s="3">
        <v>1</v>
      </c>
      <c r="H294" s="5">
        <v>11249901.378599999</v>
      </c>
      <c r="I294" s="5">
        <v>11426001.378599999</v>
      </c>
      <c r="J294" s="5">
        <v>180400</v>
      </c>
      <c r="K294" s="5">
        <v>4300</v>
      </c>
      <c r="L294" s="5">
        <v>0</v>
      </c>
      <c r="M294" s="5">
        <v>-181180</v>
      </c>
      <c r="N294" s="5">
        <v>-398890</v>
      </c>
    </row>
    <row r="295" spans="1:14" x14ac:dyDescent="0.25">
      <c r="A295" s="3" t="s">
        <v>306</v>
      </c>
      <c r="B295" s="4">
        <v>-1.02</v>
      </c>
      <c r="C295" s="4">
        <v>17.34</v>
      </c>
      <c r="D295" s="4">
        <v>-66.709999999999994</v>
      </c>
      <c r="E295" s="4">
        <v>2.7445354774463211E-2</v>
      </c>
      <c r="F295" s="3">
        <v>293</v>
      </c>
      <c r="G295" s="3">
        <v>1</v>
      </c>
      <c r="H295" s="5">
        <v>9477677.6999999993</v>
      </c>
      <c r="I295" s="5">
        <v>9477677.6999999993</v>
      </c>
      <c r="J295" s="5">
        <v>0</v>
      </c>
      <c r="K295" s="5">
        <v>0</v>
      </c>
      <c r="L295" s="5">
        <v>0</v>
      </c>
      <c r="M295" s="5">
        <v>-9301000</v>
      </c>
      <c r="N295" s="5">
        <v>-25149000</v>
      </c>
    </row>
    <row r="296" spans="1:14" x14ac:dyDescent="0.25">
      <c r="A296" s="3" t="s">
        <v>307</v>
      </c>
      <c r="B296" s="4">
        <v>-62.34</v>
      </c>
      <c r="C296" s="4">
        <v>-0.3</v>
      </c>
      <c r="D296" s="4">
        <v>-0.1</v>
      </c>
      <c r="E296" s="4">
        <v>2.7278487368204821E-2</v>
      </c>
      <c r="F296" s="3">
        <v>294</v>
      </c>
      <c r="G296" s="3">
        <v>1</v>
      </c>
      <c r="H296" s="5">
        <v>1848404282.3399999</v>
      </c>
      <c r="I296" s="5">
        <v>1766372282.3399999</v>
      </c>
      <c r="J296" s="5">
        <v>0</v>
      </c>
      <c r="K296" s="5">
        <v>82032000</v>
      </c>
      <c r="L296" s="5">
        <v>510886000</v>
      </c>
      <c r="M296" s="5">
        <v>-28336000</v>
      </c>
      <c r="N296" s="5">
        <v>-30504000</v>
      </c>
    </row>
    <row r="297" spans="1:14" x14ac:dyDescent="0.25">
      <c r="A297" s="3" t="s">
        <v>308</v>
      </c>
      <c r="B297" s="4">
        <v>-0.28999999999999998</v>
      </c>
      <c r="C297" s="4">
        <v>13.1</v>
      </c>
      <c r="D297" s="4">
        <v>-2.0099999999999998</v>
      </c>
      <c r="E297" s="4">
        <v>2.722345534090934E-2</v>
      </c>
      <c r="F297" s="3">
        <v>295</v>
      </c>
      <c r="G297" s="3">
        <v>1</v>
      </c>
      <c r="H297" s="5">
        <v>4947896.5199999996</v>
      </c>
      <c r="I297" s="5">
        <v>5553896.5199999996</v>
      </c>
      <c r="J297" s="5">
        <v>2307000</v>
      </c>
      <c r="K297" s="5">
        <v>1701000</v>
      </c>
      <c r="L297" s="5">
        <v>170000</v>
      </c>
      <c r="M297" s="5">
        <v>-19478000</v>
      </c>
      <c r="N297" s="5">
        <v>-17320000</v>
      </c>
    </row>
    <row r="298" spans="1:14" x14ac:dyDescent="0.25">
      <c r="A298" s="3" t="s">
        <v>309</v>
      </c>
      <c r="B298" s="4">
        <v>-63.29</v>
      </c>
      <c r="C298" s="4">
        <v>-0.56999999999999995</v>
      </c>
      <c r="D298" s="4">
        <v>-0.51</v>
      </c>
      <c r="E298" s="4">
        <v>2.7007244430359071E-2</v>
      </c>
      <c r="F298" s="3">
        <v>296</v>
      </c>
      <c r="G298" s="3">
        <v>1</v>
      </c>
      <c r="H298" s="5">
        <v>13452076661.66</v>
      </c>
      <c r="I298" s="5">
        <v>13347214661.66</v>
      </c>
      <c r="J298" s="5">
        <v>0</v>
      </c>
      <c r="K298" s="5">
        <v>104862000</v>
      </c>
      <c r="L298" s="5">
        <v>0</v>
      </c>
      <c r="M298" s="5">
        <v>-210902000</v>
      </c>
      <c r="N298" s="5">
        <v>-221315000</v>
      </c>
    </row>
    <row r="299" spans="1:14" x14ac:dyDescent="0.25">
      <c r="A299" s="3" t="s">
        <v>310</v>
      </c>
      <c r="B299" s="4">
        <v>-60.44</v>
      </c>
      <c r="C299" s="4">
        <v>-0.01</v>
      </c>
      <c r="D299" s="4">
        <v>0</v>
      </c>
      <c r="E299" s="4">
        <v>2.695974315495445E-2</v>
      </c>
      <c r="F299" s="3">
        <v>297</v>
      </c>
      <c r="G299" s="3">
        <v>1</v>
      </c>
      <c r="H299" s="5">
        <v>7639861000</v>
      </c>
      <c r="I299" s="5">
        <v>7412212000</v>
      </c>
      <c r="J299" s="5">
        <v>0</v>
      </c>
      <c r="K299" s="5">
        <v>227649000</v>
      </c>
      <c r="L299" s="5">
        <v>759249000</v>
      </c>
      <c r="M299" s="5">
        <v>-122633000</v>
      </c>
      <c r="N299" s="5">
        <v>-6326000</v>
      </c>
    </row>
    <row r="300" spans="1:14" x14ac:dyDescent="0.25">
      <c r="A300" s="3" t="s">
        <v>311</v>
      </c>
      <c r="B300" s="4">
        <v>-59.6</v>
      </c>
      <c r="C300" s="4">
        <v>-0.03</v>
      </c>
      <c r="D300" s="4">
        <v>-0.02</v>
      </c>
      <c r="E300" s="4">
        <v>2.637820460921602E-2</v>
      </c>
      <c r="F300" s="3">
        <v>298</v>
      </c>
      <c r="G300" s="3">
        <v>1</v>
      </c>
      <c r="H300" s="5">
        <v>22894879</v>
      </c>
      <c r="I300" s="5">
        <v>15291589</v>
      </c>
      <c r="J300" s="5">
        <v>1365520</v>
      </c>
      <c r="K300" s="5">
        <v>8968810</v>
      </c>
      <c r="L300" s="5">
        <v>12810250</v>
      </c>
      <c r="M300" s="5">
        <v>-256560</v>
      </c>
      <c r="N300" s="5">
        <v>-480020</v>
      </c>
    </row>
    <row r="301" spans="1:14" x14ac:dyDescent="0.25">
      <c r="A301" s="3" t="s">
        <v>312</v>
      </c>
      <c r="B301" s="4">
        <v>-60.3</v>
      </c>
      <c r="C301" s="4">
        <v>-0.23</v>
      </c>
      <c r="D301" s="4">
        <v>-0.1</v>
      </c>
      <c r="E301" s="4">
        <v>2.6218144655102232E-2</v>
      </c>
      <c r="F301" s="3">
        <v>299</v>
      </c>
      <c r="G301" s="3">
        <v>1</v>
      </c>
      <c r="H301" s="5">
        <v>5576505.648</v>
      </c>
      <c r="I301" s="5">
        <v>8792595.648</v>
      </c>
      <c r="J301" s="5">
        <v>3541040</v>
      </c>
      <c r="K301" s="5">
        <v>324950</v>
      </c>
      <c r="L301" s="5">
        <v>4180910</v>
      </c>
      <c r="M301" s="5">
        <v>-145810</v>
      </c>
      <c r="N301" s="5">
        <v>-5094200</v>
      </c>
    </row>
    <row r="302" spans="1:14" x14ac:dyDescent="0.25">
      <c r="A302" s="3" t="s">
        <v>313</v>
      </c>
      <c r="B302" s="4">
        <v>-59.79</v>
      </c>
      <c r="C302" s="4">
        <v>-0.23</v>
      </c>
      <c r="D302" s="4">
        <v>-0.09</v>
      </c>
      <c r="E302" s="4">
        <v>2.5904424191128789E-2</v>
      </c>
      <c r="F302" s="3">
        <v>300</v>
      </c>
      <c r="G302" s="3">
        <v>1</v>
      </c>
      <c r="H302" s="5">
        <v>1445697120.7</v>
      </c>
      <c r="I302" s="5">
        <v>1547900120.7</v>
      </c>
      <c r="J302" s="5">
        <v>150853000</v>
      </c>
      <c r="K302" s="5">
        <v>48650000</v>
      </c>
      <c r="L302" s="5">
        <v>333615000</v>
      </c>
      <c r="M302" s="5">
        <v>-25887000</v>
      </c>
      <c r="N302" s="5">
        <v>-39136000</v>
      </c>
    </row>
    <row r="303" spans="1:14" x14ac:dyDescent="0.25">
      <c r="A303" s="3" t="s">
        <v>314</v>
      </c>
      <c r="B303" s="4">
        <v>-0.72</v>
      </c>
      <c r="C303" s="4">
        <v>12.52</v>
      </c>
      <c r="D303" s="4">
        <v>-2.65</v>
      </c>
      <c r="E303" s="4">
        <v>2.5690304278084729E-2</v>
      </c>
      <c r="F303" s="3">
        <v>301</v>
      </c>
      <c r="G303" s="3">
        <v>1</v>
      </c>
      <c r="H303" s="5">
        <v>6694537.7199999997</v>
      </c>
      <c r="I303" s="5">
        <v>22820537.719999999</v>
      </c>
      <c r="J303" s="5">
        <v>33158000</v>
      </c>
      <c r="K303" s="5">
        <v>17032000</v>
      </c>
      <c r="L303" s="5">
        <v>0</v>
      </c>
      <c r="M303" s="5">
        <v>-31771000</v>
      </c>
      <c r="N303" s="5">
        <v>-138963000</v>
      </c>
    </row>
    <row r="304" spans="1:14" x14ac:dyDescent="0.25">
      <c r="A304" s="3" t="s">
        <v>315</v>
      </c>
      <c r="B304" s="4">
        <v>-58.34</v>
      </c>
      <c r="C304" s="4">
        <v>-0.01</v>
      </c>
      <c r="D304" s="4">
        <v>0</v>
      </c>
      <c r="E304" s="4">
        <v>2.5660009958568191E-2</v>
      </c>
      <c r="F304" s="3">
        <v>302</v>
      </c>
      <c r="G304" s="3">
        <v>1</v>
      </c>
      <c r="H304" s="5">
        <v>118237310.73</v>
      </c>
      <c r="I304" s="5">
        <v>91821310.730000004</v>
      </c>
      <c r="J304" s="5">
        <v>4169000</v>
      </c>
      <c r="K304" s="5">
        <v>30585000</v>
      </c>
      <c r="L304" s="5">
        <v>55219000</v>
      </c>
      <c r="M304" s="5">
        <v>-1574000</v>
      </c>
      <c r="N304" s="5">
        <v>-326000</v>
      </c>
    </row>
    <row r="305" spans="1:14" x14ac:dyDescent="0.25">
      <c r="A305" s="3" t="s">
        <v>316</v>
      </c>
      <c r="B305" s="4">
        <v>-58.67</v>
      </c>
      <c r="C305" s="4">
        <v>-0.11</v>
      </c>
      <c r="D305" s="4">
        <v>-0.09</v>
      </c>
      <c r="E305" s="4">
        <v>2.555795643722961E-2</v>
      </c>
      <c r="F305" s="3">
        <v>303</v>
      </c>
      <c r="G305" s="3">
        <v>1</v>
      </c>
      <c r="H305" s="5">
        <v>2004526569.99</v>
      </c>
      <c r="I305" s="5">
        <v>1910167569.99</v>
      </c>
      <c r="J305" s="5">
        <v>0</v>
      </c>
      <c r="K305" s="5">
        <v>94359000</v>
      </c>
      <c r="L305" s="5">
        <v>333849000</v>
      </c>
      <c r="M305" s="5">
        <v>-32559000</v>
      </c>
      <c r="N305" s="5">
        <v>-40835000</v>
      </c>
    </row>
    <row r="306" spans="1:14" x14ac:dyDescent="0.25">
      <c r="A306" s="3" t="s">
        <v>317</v>
      </c>
      <c r="B306" s="4">
        <v>-53.38</v>
      </c>
      <c r="C306" s="4">
        <v>1.06</v>
      </c>
      <c r="D306" s="4">
        <v>-0.81</v>
      </c>
      <c r="E306" s="4">
        <v>2.5525528730586809E-2</v>
      </c>
      <c r="F306" s="3">
        <v>304</v>
      </c>
      <c r="G306" s="3">
        <v>1</v>
      </c>
      <c r="H306" s="5">
        <v>2894678700.4200001</v>
      </c>
      <c r="I306" s="5">
        <v>2979742700.4200001</v>
      </c>
      <c r="J306" s="5">
        <v>136431000</v>
      </c>
      <c r="K306" s="5">
        <v>51367000</v>
      </c>
      <c r="L306" s="5">
        <v>125808000</v>
      </c>
      <c r="M306" s="5">
        <v>-55822000</v>
      </c>
      <c r="N306" s="5">
        <v>-96426000</v>
      </c>
    </row>
    <row r="307" spans="1:14" x14ac:dyDescent="0.25">
      <c r="A307" s="3" t="s">
        <v>318</v>
      </c>
      <c r="B307" s="4">
        <v>-43.7</v>
      </c>
      <c r="C307" s="4">
        <v>3.02</v>
      </c>
      <c r="D307" s="4">
        <v>-0.08</v>
      </c>
      <c r="E307" s="4">
        <v>2.5338343530807529E-2</v>
      </c>
      <c r="F307" s="3">
        <v>305</v>
      </c>
      <c r="G307" s="3">
        <v>1</v>
      </c>
      <c r="H307" s="5">
        <v>150210066386.16</v>
      </c>
      <c r="I307" s="5">
        <v>190273066386.16</v>
      </c>
      <c r="J307" s="5">
        <v>53864000000</v>
      </c>
      <c r="K307" s="5">
        <v>13801000000</v>
      </c>
      <c r="L307" s="5">
        <v>66517000000</v>
      </c>
      <c r="M307" s="5">
        <v>-4354000000</v>
      </c>
      <c r="N307" s="5">
        <v>-11817000000</v>
      </c>
    </row>
    <row r="308" spans="1:14" x14ac:dyDescent="0.25">
      <c r="A308" s="3" t="s">
        <v>319</v>
      </c>
      <c r="B308" s="4">
        <v>-22.16</v>
      </c>
      <c r="C308" s="4">
        <v>7.69</v>
      </c>
      <c r="D308" s="4">
        <v>-4.53</v>
      </c>
      <c r="E308" s="4">
        <v>2.464169210806447E-2</v>
      </c>
      <c r="F308" s="3">
        <v>306</v>
      </c>
      <c r="G308" s="3">
        <v>1</v>
      </c>
      <c r="H308" s="5">
        <v>333899458.97000003</v>
      </c>
      <c r="I308" s="5">
        <v>335512198.97000003</v>
      </c>
      <c r="J308" s="5">
        <v>4723500</v>
      </c>
      <c r="K308" s="5">
        <v>3110760</v>
      </c>
      <c r="L308" s="5">
        <v>0</v>
      </c>
      <c r="M308" s="5">
        <v>-15142600</v>
      </c>
      <c r="N308" s="5">
        <v>-16581560</v>
      </c>
    </row>
    <row r="309" spans="1:14" x14ac:dyDescent="0.25">
      <c r="A309" s="3" t="s">
        <v>320</v>
      </c>
      <c r="B309" s="4">
        <v>-57.05</v>
      </c>
      <c r="C309" s="4">
        <v>-0.11</v>
      </c>
      <c r="D309" s="4">
        <v>-0.03</v>
      </c>
      <c r="E309" s="4">
        <v>2.4566879273768098E-2</v>
      </c>
      <c r="F309" s="3">
        <v>307</v>
      </c>
      <c r="G309" s="3">
        <v>1</v>
      </c>
      <c r="H309" s="5">
        <v>462810823.31</v>
      </c>
      <c r="I309" s="5">
        <v>5252884823.3100004</v>
      </c>
      <c r="J309" s="5">
        <v>4889149000</v>
      </c>
      <c r="K309" s="5">
        <v>99075000</v>
      </c>
      <c r="L309" s="5">
        <v>688759000</v>
      </c>
      <c r="M309" s="5">
        <v>-92078000</v>
      </c>
      <c r="N309" s="5">
        <v>-221265000</v>
      </c>
    </row>
    <row r="310" spans="1:14" x14ac:dyDescent="0.25">
      <c r="A310" s="3" t="s">
        <v>321</v>
      </c>
      <c r="B310" s="4">
        <v>-56.62</v>
      </c>
      <c r="C310" s="4">
        <v>-0.04</v>
      </c>
      <c r="D310" s="4">
        <v>-0.03</v>
      </c>
      <c r="E310" s="4">
        <v>2.4502998677894971E-2</v>
      </c>
      <c r="F310" s="3">
        <v>308</v>
      </c>
      <c r="G310" s="3">
        <v>1</v>
      </c>
      <c r="H310" s="5">
        <v>7726364963.8500004</v>
      </c>
      <c r="I310" s="5">
        <v>6847168963.8500004</v>
      </c>
      <c r="J310" s="5">
        <v>0</v>
      </c>
      <c r="K310" s="5">
        <v>879196000</v>
      </c>
      <c r="L310" s="5">
        <v>1429664000</v>
      </c>
      <c r="M310" s="5">
        <v>-120932000</v>
      </c>
      <c r="N310" s="5">
        <v>-73694000</v>
      </c>
    </row>
    <row r="311" spans="1:14" x14ac:dyDescent="0.25">
      <c r="A311" s="3" t="s">
        <v>322</v>
      </c>
      <c r="B311" s="4">
        <v>0.46</v>
      </c>
      <c r="C311" s="4">
        <v>11.95</v>
      </c>
      <c r="D311" s="4">
        <v>2.56</v>
      </c>
      <c r="E311" s="4">
        <v>2.4318065252886038E-2</v>
      </c>
      <c r="F311" s="3">
        <v>309</v>
      </c>
      <c r="G311" s="3">
        <v>1</v>
      </c>
      <c r="H311" s="5">
        <v>14290762.5</v>
      </c>
      <c r="I311" s="5">
        <v>-9927237.5</v>
      </c>
      <c r="J311" s="5">
        <v>1387000</v>
      </c>
      <c r="K311" s="5">
        <v>25605000</v>
      </c>
      <c r="L311" s="5">
        <v>13031000</v>
      </c>
      <c r="M311" s="5">
        <v>-21443000</v>
      </c>
      <c r="N311" s="5">
        <v>211334000</v>
      </c>
    </row>
    <row r="312" spans="1:14" x14ac:dyDescent="0.25">
      <c r="A312" s="3" t="s">
        <v>323</v>
      </c>
      <c r="B312" s="4">
        <v>-57.53</v>
      </c>
      <c r="C312" s="4">
        <v>-0.34</v>
      </c>
      <c r="D312" s="4">
        <v>-0.08</v>
      </c>
      <c r="E312" s="4">
        <v>2.4189763053007751E-2</v>
      </c>
      <c r="F312" s="3">
        <v>310</v>
      </c>
      <c r="G312" s="3">
        <v>1</v>
      </c>
      <c r="H312" s="5">
        <v>58985254.200000003</v>
      </c>
      <c r="I312" s="5">
        <v>62291494.200000003</v>
      </c>
      <c r="J312" s="5">
        <v>3444040</v>
      </c>
      <c r="K312" s="5">
        <v>137800</v>
      </c>
      <c r="L312" s="5">
        <v>0</v>
      </c>
      <c r="M312" s="5">
        <v>-1082710</v>
      </c>
      <c r="N312" s="5">
        <v>-960090</v>
      </c>
    </row>
    <row r="313" spans="1:14" x14ac:dyDescent="0.25">
      <c r="A313" s="3" t="s">
        <v>324</v>
      </c>
      <c r="B313" s="4">
        <v>-7.07</v>
      </c>
      <c r="C313" s="4">
        <v>10.43</v>
      </c>
      <c r="D313" s="4">
        <v>-0.53</v>
      </c>
      <c r="E313" s="4">
        <v>2.3990639664138429E-2</v>
      </c>
      <c r="F313" s="3">
        <v>311</v>
      </c>
      <c r="G313" s="3">
        <v>1</v>
      </c>
      <c r="H313" s="5">
        <v>6447.3245999999999</v>
      </c>
      <c r="I313" s="5">
        <v>22425077.3246</v>
      </c>
      <c r="J313" s="5">
        <v>22418630</v>
      </c>
      <c r="K313" s="5">
        <v>0</v>
      </c>
      <c r="L313" s="5">
        <v>6077080</v>
      </c>
      <c r="M313" s="5">
        <v>-3172680</v>
      </c>
      <c r="N313" s="5">
        <v>-13774170</v>
      </c>
    </row>
    <row r="314" spans="1:14" x14ac:dyDescent="0.25">
      <c r="A314" s="3" t="s">
        <v>325</v>
      </c>
      <c r="B314" s="4">
        <v>-62.64</v>
      </c>
      <c r="C314" s="4">
        <v>-1.5</v>
      </c>
      <c r="D314" s="4">
        <v>-0.15</v>
      </c>
      <c r="E314" s="4">
        <v>2.398728556449466E-2</v>
      </c>
      <c r="F314" s="3">
        <v>312</v>
      </c>
      <c r="G314" s="3">
        <v>1</v>
      </c>
      <c r="H314" s="5">
        <v>8741.6133000000009</v>
      </c>
      <c r="I314" s="5">
        <v>133729741.6133</v>
      </c>
      <c r="J314" s="5">
        <v>161715000</v>
      </c>
      <c r="K314" s="5">
        <v>27994000</v>
      </c>
      <c r="L314" s="5">
        <v>223325000</v>
      </c>
      <c r="M314" s="5">
        <v>-2135000</v>
      </c>
      <c r="N314" s="5">
        <v>-60817000</v>
      </c>
    </row>
    <row r="315" spans="1:14" x14ac:dyDescent="0.25">
      <c r="A315" s="3" t="s">
        <v>326</v>
      </c>
      <c r="B315" s="4">
        <v>-54.43</v>
      </c>
      <c r="C315" s="4">
        <v>0.2</v>
      </c>
      <c r="D315" s="4">
        <v>-0.16</v>
      </c>
      <c r="E315" s="4">
        <v>2.3815931853074429E-2</v>
      </c>
      <c r="F315" s="3">
        <v>313</v>
      </c>
      <c r="G315" s="3">
        <v>1</v>
      </c>
      <c r="H315" s="5">
        <v>112017470.40000001</v>
      </c>
      <c r="I315" s="5">
        <v>113851290.40000001</v>
      </c>
      <c r="J315" s="5">
        <v>2344760</v>
      </c>
      <c r="K315" s="5">
        <v>510940</v>
      </c>
      <c r="L315" s="5">
        <v>0</v>
      </c>
      <c r="M315" s="5">
        <v>-2091650</v>
      </c>
      <c r="N315" s="5">
        <v>-768550</v>
      </c>
    </row>
    <row r="316" spans="1:14" x14ac:dyDescent="0.25">
      <c r="A316" s="3" t="s">
        <v>327</v>
      </c>
      <c r="B316" s="4">
        <v>-58.54</v>
      </c>
      <c r="C316" s="4">
        <v>-0.7</v>
      </c>
      <c r="D316" s="4">
        <v>-0.18</v>
      </c>
      <c r="E316" s="4">
        <v>2.3755412710117031E-2</v>
      </c>
      <c r="F316" s="3">
        <v>314</v>
      </c>
      <c r="G316" s="3">
        <v>1</v>
      </c>
      <c r="H316" s="5">
        <v>54492683.850000001</v>
      </c>
      <c r="I316" s="5">
        <v>330621683.85000002</v>
      </c>
      <c r="J316" s="5">
        <v>393180000</v>
      </c>
      <c r="K316" s="5">
        <v>117051000</v>
      </c>
      <c r="L316" s="5">
        <v>310641000</v>
      </c>
      <c r="M316" s="5">
        <v>-5648000</v>
      </c>
      <c r="N316" s="5">
        <v>-122754000</v>
      </c>
    </row>
    <row r="317" spans="1:14" x14ac:dyDescent="0.25">
      <c r="A317" s="3" t="s">
        <v>328</v>
      </c>
      <c r="B317" s="4">
        <v>-18.2</v>
      </c>
      <c r="C317" s="4">
        <v>7.96</v>
      </c>
      <c r="D317" s="4">
        <v>-0.49</v>
      </c>
      <c r="E317" s="4">
        <v>2.3750220778724539E-2</v>
      </c>
      <c r="F317" s="3">
        <v>315</v>
      </c>
      <c r="G317" s="3">
        <v>1</v>
      </c>
      <c r="H317" s="5">
        <v>1182096131.3599999</v>
      </c>
      <c r="I317" s="5">
        <v>1158372411.3599999</v>
      </c>
      <c r="J317" s="5">
        <v>329170</v>
      </c>
      <c r="K317" s="5">
        <v>24052890</v>
      </c>
      <c r="L317" s="5">
        <v>171016460</v>
      </c>
      <c r="M317" s="5">
        <v>-63635840</v>
      </c>
      <c r="N317" s="5">
        <v>-72171930</v>
      </c>
    </row>
    <row r="318" spans="1:14" x14ac:dyDescent="0.25">
      <c r="A318" s="3" t="s">
        <v>329</v>
      </c>
      <c r="B318" s="4">
        <v>-56.37</v>
      </c>
      <c r="C318" s="4">
        <v>-0.25</v>
      </c>
      <c r="D318" s="4">
        <v>-0.08</v>
      </c>
      <c r="E318" s="4">
        <v>2.373185765527689E-2</v>
      </c>
      <c r="F318" s="3">
        <v>316</v>
      </c>
      <c r="G318" s="3">
        <v>1</v>
      </c>
      <c r="H318" s="5">
        <v>226914633.72</v>
      </c>
      <c r="I318" s="5">
        <v>232682633.72</v>
      </c>
      <c r="J318" s="5">
        <v>12945000</v>
      </c>
      <c r="K318" s="5">
        <v>7177000</v>
      </c>
      <c r="L318" s="5">
        <v>12532000</v>
      </c>
      <c r="M318" s="5">
        <v>-4128000</v>
      </c>
      <c r="N318" s="5">
        <v>-6245000</v>
      </c>
    </row>
    <row r="319" spans="1:14" x14ac:dyDescent="0.25">
      <c r="A319" s="3" t="s">
        <v>330</v>
      </c>
      <c r="B319" s="4">
        <v>-0.51</v>
      </c>
      <c r="C319" s="4">
        <v>11.74</v>
      </c>
      <c r="D319" s="4">
        <v>-0.48</v>
      </c>
      <c r="E319" s="4">
        <v>2.3725228378637161E-2</v>
      </c>
      <c r="F319" s="3">
        <v>317</v>
      </c>
      <c r="G319" s="3">
        <v>1</v>
      </c>
      <c r="H319" s="5">
        <v>920.40480000000002</v>
      </c>
      <c r="I319" s="5">
        <v>166772920.4048</v>
      </c>
      <c r="J319" s="5">
        <v>178083000</v>
      </c>
      <c r="K319" s="5">
        <v>11311000</v>
      </c>
      <c r="L319" s="5">
        <v>7596412000</v>
      </c>
      <c r="M319" s="5">
        <v>-329833000</v>
      </c>
      <c r="N319" s="5">
        <v>-327997000</v>
      </c>
    </row>
    <row r="320" spans="1:14" x14ac:dyDescent="0.25">
      <c r="A320" s="3" t="s">
        <v>331</v>
      </c>
      <c r="B320" s="4">
        <v>-54.01</v>
      </c>
      <c r="C320" s="4">
        <v>0.24</v>
      </c>
      <c r="D320" s="4">
        <v>-0.47</v>
      </c>
      <c r="E320" s="4">
        <v>2.361175981795233E-2</v>
      </c>
      <c r="F320" s="3">
        <v>318</v>
      </c>
      <c r="G320" s="3">
        <v>1</v>
      </c>
      <c r="H320" s="5">
        <v>1743255.4473000001</v>
      </c>
      <c r="I320" s="5">
        <v>1776855.4473000001</v>
      </c>
      <c r="J320" s="5">
        <v>101200</v>
      </c>
      <c r="K320" s="5">
        <v>67600</v>
      </c>
      <c r="L320" s="5">
        <v>332020</v>
      </c>
      <c r="M320" s="5">
        <v>-32900</v>
      </c>
      <c r="N320" s="5">
        <v>-40360</v>
      </c>
    </row>
    <row r="321" spans="1:14" x14ac:dyDescent="0.25">
      <c r="A321" s="3" t="s">
        <v>332</v>
      </c>
      <c r="B321" s="4">
        <v>-0.61</v>
      </c>
      <c r="C321" s="4">
        <v>11.71</v>
      </c>
      <c r="D321" s="4">
        <v>-1.02</v>
      </c>
      <c r="E321" s="4">
        <v>2.3596272179379239E-2</v>
      </c>
      <c r="F321" s="3">
        <v>319</v>
      </c>
      <c r="G321" s="3">
        <v>1</v>
      </c>
      <c r="H321" s="5">
        <v>38.795395999999997</v>
      </c>
      <c r="I321" s="5">
        <v>7445818.7953960001</v>
      </c>
      <c r="J321" s="5">
        <v>9668270</v>
      </c>
      <c r="K321" s="5">
        <v>2222490</v>
      </c>
      <c r="L321" s="5">
        <v>16720330</v>
      </c>
      <c r="M321" s="5">
        <v>-12179980</v>
      </c>
      <c r="N321" s="5">
        <v>-13699360</v>
      </c>
    </row>
    <row r="322" spans="1:14" x14ac:dyDescent="0.25">
      <c r="A322" s="3" t="s">
        <v>333</v>
      </c>
      <c r="B322" s="4">
        <v>-56.38</v>
      </c>
      <c r="C322" s="4">
        <v>-0.39</v>
      </c>
      <c r="D322" s="4">
        <v>-0.13</v>
      </c>
      <c r="E322" s="4">
        <v>2.3323891229884031E-2</v>
      </c>
      <c r="F322" s="3">
        <v>320</v>
      </c>
      <c r="G322" s="3">
        <v>1</v>
      </c>
      <c r="H322" s="5">
        <v>3521156678.23</v>
      </c>
      <c r="I322" s="5">
        <v>3606735678.23</v>
      </c>
      <c r="J322" s="5">
        <v>308082000</v>
      </c>
      <c r="K322" s="5">
        <v>222503000</v>
      </c>
      <c r="L322" s="5">
        <v>336888000</v>
      </c>
      <c r="M322" s="5">
        <v>-63977000</v>
      </c>
      <c r="N322" s="5">
        <v>-87942000</v>
      </c>
    </row>
    <row r="323" spans="1:14" x14ac:dyDescent="0.25">
      <c r="A323" s="3" t="s">
        <v>334</v>
      </c>
      <c r="B323" s="4">
        <v>-0.15</v>
      </c>
      <c r="C323" s="4">
        <v>11.71</v>
      </c>
      <c r="D323" s="4">
        <v>-1.26</v>
      </c>
      <c r="E323" s="4">
        <v>2.3265272079453541E-2</v>
      </c>
      <c r="F323" s="3">
        <v>321</v>
      </c>
      <c r="G323" s="3">
        <v>1</v>
      </c>
      <c r="H323" s="5">
        <v>38.254958999999999</v>
      </c>
      <c r="I323" s="5">
        <v>264278.25495899998</v>
      </c>
      <c r="J323" s="5">
        <v>750000</v>
      </c>
      <c r="K323" s="5">
        <v>485760</v>
      </c>
      <c r="L323" s="5">
        <v>3841770</v>
      </c>
      <c r="M323" s="5">
        <v>-1798370</v>
      </c>
      <c r="N323" s="5">
        <v>-1858920</v>
      </c>
    </row>
    <row r="324" spans="1:14" x14ac:dyDescent="0.25">
      <c r="A324" s="3" t="s">
        <v>335</v>
      </c>
      <c r="B324" s="4">
        <v>10</v>
      </c>
      <c r="C324" s="4">
        <v>13.78</v>
      </c>
      <c r="D324" s="4">
        <v>-0.1</v>
      </c>
      <c r="E324" s="4">
        <v>2.3187972031903401E-2</v>
      </c>
      <c r="F324" s="3">
        <v>322</v>
      </c>
      <c r="G324" s="3">
        <v>1</v>
      </c>
      <c r="H324" s="5">
        <v>59590486.060000002</v>
      </c>
      <c r="I324" s="5">
        <v>990701486.05999994</v>
      </c>
      <c r="J324" s="5">
        <v>1029880000</v>
      </c>
      <c r="K324" s="5">
        <v>98769000</v>
      </c>
      <c r="L324" s="5">
        <v>575919000</v>
      </c>
      <c r="M324" s="5">
        <v>99065000</v>
      </c>
      <c r="N324" s="5">
        <v>-128170000</v>
      </c>
    </row>
    <row r="325" spans="1:14" x14ac:dyDescent="0.25">
      <c r="A325" s="3" t="s">
        <v>336</v>
      </c>
      <c r="B325" s="4">
        <v>-56.32</v>
      </c>
      <c r="C325" s="4">
        <v>-0.43</v>
      </c>
      <c r="D325" s="4">
        <v>-0.24</v>
      </c>
      <c r="E325" s="4">
        <v>2.3149962275291171E-2</v>
      </c>
      <c r="F325" s="3">
        <v>323</v>
      </c>
      <c r="G325" s="3">
        <v>1</v>
      </c>
      <c r="H325" s="5">
        <v>4179735244.1300001</v>
      </c>
      <c r="I325" s="5">
        <v>4168865244.1300001</v>
      </c>
      <c r="J325" s="5">
        <v>67035000</v>
      </c>
      <c r="K325" s="5">
        <v>77905000</v>
      </c>
      <c r="L325" s="5">
        <v>337630000</v>
      </c>
      <c r="M325" s="5">
        <v>-74022000</v>
      </c>
      <c r="N325" s="5">
        <v>-90281000</v>
      </c>
    </row>
    <row r="326" spans="1:14" x14ac:dyDescent="0.25">
      <c r="A326" s="3" t="s">
        <v>337</v>
      </c>
      <c r="B326" s="4">
        <v>-0.41</v>
      </c>
      <c r="C326" s="4">
        <v>11.36</v>
      </c>
      <c r="D326" s="4">
        <v>-0.41</v>
      </c>
      <c r="E326" s="4">
        <v>2.257888244115952E-2</v>
      </c>
      <c r="F326" s="3">
        <v>324</v>
      </c>
      <c r="G326" s="3">
        <v>1</v>
      </c>
      <c r="H326" s="5">
        <v>10285363.800000001</v>
      </c>
      <c r="I326" s="5">
        <v>7858363.8000000007</v>
      </c>
      <c r="J326" s="5">
        <v>12874000</v>
      </c>
      <c r="K326" s="5">
        <v>15301000</v>
      </c>
      <c r="L326" s="5">
        <v>8511000</v>
      </c>
      <c r="M326" s="5">
        <v>-19161000</v>
      </c>
      <c r="N326" s="5">
        <v>-16485000</v>
      </c>
    </row>
    <row r="327" spans="1:14" x14ac:dyDescent="0.25">
      <c r="A327" s="3" t="s">
        <v>338</v>
      </c>
      <c r="B327" s="4">
        <v>-54.35</v>
      </c>
      <c r="C327" s="4">
        <v>-0.28000000000000003</v>
      </c>
      <c r="D327" s="4">
        <v>-0.2</v>
      </c>
      <c r="E327" s="4">
        <v>2.2371808964493801E-2</v>
      </c>
      <c r="F327" s="3">
        <v>325</v>
      </c>
      <c r="G327" s="3">
        <v>1</v>
      </c>
      <c r="H327" s="5">
        <v>837769623.75</v>
      </c>
      <c r="I327" s="5">
        <v>766109623.75</v>
      </c>
      <c r="J327" s="5">
        <v>11942000</v>
      </c>
      <c r="K327" s="5">
        <v>83602000</v>
      </c>
      <c r="L327" s="5">
        <v>0</v>
      </c>
      <c r="M327" s="5">
        <v>-14095000</v>
      </c>
      <c r="N327" s="5">
        <v>-17434000</v>
      </c>
    </row>
    <row r="328" spans="1:14" x14ac:dyDescent="0.25">
      <c r="A328" s="3" t="s">
        <v>339</v>
      </c>
      <c r="B328" s="4">
        <v>0.38</v>
      </c>
      <c r="C328" s="4">
        <v>11.38</v>
      </c>
      <c r="D328" s="4">
        <v>-0.18</v>
      </c>
      <c r="E328" s="4">
        <v>2.219209001640195E-2</v>
      </c>
      <c r="F328" s="3">
        <v>326</v>
      </c>
      <c r="G328" s="3">
        <v>1</v>
      </c>
      <c r="H328" s="5">
        <v>199435662.13999999</v>
      </c>
      <c r="I328" s="5">
        <v>-13174337.860000011</v>
      </c>
      <c r="J328" s="5">
        <v>0</v>
      </c>
      <c r="K328" s="5">
        <v>212610000</v>
      </c>
      <c r="L328" s="5">
        <v>38913000</v>
      </c>
      <c r="M328" s="5">
        <v>-35118000</v>
      </c>
      <c r="N328" s="5">
        <v>-77424000</v>
      </c>
    </row>
    <row r="329" spans="1:14" x14ac:dyDescent="0.25">
      <c r="A329" s="3" t="s">
        <v>340</v>
      </c>
      <c r="B329" s="4">
        <v>-6.59</v>
      </c>
      <c r="C329" s="4">
        <v>9.8699999999999992</v>
      </c>
      <c r="D329" s="4">
        <v>-0.66</v>
      </c>
      <c r="E329" s="4">
        <v>2.2050438452361491E-2</v>
      </c>
      <c r="F329" s="3">
        <v>327</v>
      </c>
      <c r="G329" s="3">
        <v>1</v>
      </c>
      <c r="H329" s="5">
        <v>35211956.640000001</v>
      </c>
      <c r="I329" s="5">
        <v>41595646.640000001</v>
      </c>
      <c r="J329" s="5">
        <v>6548120</v>
      </c>
      <c r="K329" s="5">
        <v>164430</v>
      </c>
      <c r="L329" s="5">
        <v>11555660</v>
      </c>
      <c r="M329" s="5">
        <v>-6307180</v>
      </c>
      <c r="N329" s="5">
        <v>-13106590</v>
      </c>
    </row>
    <row r="330" spans="1:14" x14ac:dyDescent="0.25">
      <c r="A330" s="3" t="s">
        <v>341</v>
      </c>
      <c r="B330" s="4">
        <v>-52.34</v>
      </c>
      <c r="C330" s="4">
        <v>-0.01</v>
      </c>
      <c r="D330" s="4">
        <v>0</v>
      </c>
      <c r="E330" s="4">
        <v>2.1946486540321719E-2</v>
      </c>
      <c r="F330" s="3">
        <v>328</v>
      </c>
      <c r="G330" s="3">
        <v>1</v>
      </c>
      <c r="H330" s="5">
        <v>1377727564.1500001</v>
      </c>
      <c r="I330" s="5">
        <v>1624537564.1500001</v>
      </c>
      <c r="J330" s="5">
        <v>368355000</v>
      </c>
      <c r="K330" s="5">
        <v>121545000</v>
      </c>
      <c r="L330" s="5">
        <v>349982000</v>
      </c>
      <c r="M330" s="5">
        <v>-31037000</v>
      </c>
      <c r="N330" s="5">
        <v>-4987000</v>
      </c>
    </row>
    <row r="331" spans="1:14" x14ac:dyDescent="0.25">
      <c r="A331" s="3" t="s">
        <v>342</v>
      </c>
      <c r="B331" s="4">
        <v>-0.84</v>
      </c>
      <c r="C331" s="4">
        <v>10.99</v>
      </c>
      <c r="D331" s="4">
        <v>-0.56000000000000005</v>
      </c>
      <c r="E331" s="4">
        <v>2.1747019427936311E-2</v>
      </c>
      <c r="F331" s="3">
        <v>329</v>
      </c>
      <c r="G331" s="3">
        <v>1</v>
      </c>
      <c r="H331" s="5">
        <v>238615.9</v>
      </c>
      <c r="I331" s="5">
        <v>1192875.8999999999</v>
      </c>
      <c r="J331" s="5">
        <v>968530</v>
      </c>
      <c r="K331" s="5">
        <v>14270</v>
      </c>
      <c r="L331" s="5">
        <v>3776260</v>
      </c>
      <c r="M331" s="5">
        <v>-1422570</v>
      </c>
      <c r="N331" s="5">
        <v>-1614490</v>
      </c>
    </row>
    <row r="332" spans="1:14" x14ac:dyDescent="0.25">
      <c r="A332" s="3" t="s">
        <v>343</v>
      </c>
      <c r="B332" s="4">
        <v>-54.85</v>
      </c>
      <c r="C332" s="4">
        <v>-0.61</v>
      </c>
      <c r="D332" s="4">
        <v>-0.4</v>
      </c>
      <c r="E332" s="4">
        <v>2.1689199686320451E-2</v>
      </c>
      <c r="F332" s="3">
        <v>330</v>
      </c>
      <c r="G332" s="3">
        <v>1</v>
      </c>
      <c r="H332" s="5">
        <v>681284945.25</v>
      </c>
      <c r="I332" s="5">
        <v>655730945.25</v>
      </c>
      <c r="J332" s="5">
        <v>0</v>
      </c>
      <c r="K332" s="5">
        <v>25554000</v>
      </c>
      <c r="L332" s="5">
        <v>0</v>
      </c>
      <c r="M332" s="5">
        <v>-11955000</v>
      </c>
      <c r="N332" s="5">
        <v>-17405000</v>
      </c>
    </row>
    <row r="333" spans="1:14" x14ac:dyDescent="0.25">
      <c r="A333" s="3" t="s">
        <v>344</v>
      </c>
      <c r="B333" s="4">
        <v>-0.37</v>
      </c>
      <c r="C333" s="4">
        <v>11.07</v>
      </c>
      <c r="D333" s="4">
        <v>-1.42</v>
      </c>
      <c r="E333" s="4">
        <v>2.1521379330623831E-2</v>
      </c>
      <c r="F333" s="3">
        <v>331</v>
      </c>
      <c r="G333" s="3">
        <v>1</v>
      </c>
      <c r="H333" s="5">
        <v>6.6699099999999998</v>
      </c>
      <c r="I333" s="5">
        <v>1379006.6699099999</v>
      </c>
      <c r="J333" s="5">
        <v>2340000</v>
      </c>
      <c r="K333" s="5">
        <v>961000</v>
      </c>
      <c r="L333" s="5">
        <v>0</v>
      </c>
      <c r="M333" s="5">
        <v>-3747000</v>
      </c>
      <c r="N333" s="5">
        <v>-19018000</v>
      </c>
    </row>
    <row r="334" spans="1:14" x14ac:dyDescent="0.25">
      <c r="A334" s="3" t="s">
        <v>345</v>
      </c>
      <c r="B334" s="4">
        <v>-51.67</v>
      </c>
      <c r="C334" s="4">
        <v>-0.03</v>
      </c>
      <c r="D334" s="4">
        <v>-0.02</v>
      </c>
      <c r="E334" s="4">
        <v>2.1470164491433599E-2</v>
      </c>
      <c r="F334" s="3">
        <v>332</v>
      </c>
      <c r="G334" s="3">
        <v>1</v>
      </c>
      <c r="H334" s="5">
        <v>60649683.479999997</v>
      </c>
      <c r="I334" s="5">
        <v>55947373.479999997</v>
      </c>
      <c r="J334" s="5">
        <v>2534490</v>
      </c>
      <c r="K334" s="5">
        <v>7236800</v>
      </c>
      <c r="L334" s="5">
        <v>2904950</v>
      </c>
      <c r="M334" s="5">
        <v>-1082710</v>
      </c>
      <c r="N334" s="5">
        <v>-896690</v>
      </c>
    </row>
    <row r="335" spans="1:14" x14ac:dyDescent="0.25">
      <c r="A335" s="3" t="s">
        <v>346</v>
      </c>
      <c r="B335" s="4">
        <v>-10.55</v>
      </c>
      <c r="C335" s="4">
        <v>8.8000000000000007</v>
      </c>
      <c r="D335" s="4">
        <v>-0.53</v>
      </c>
      <c r="E335" s="4">
        <v>2.1434825303364741E-2</v>
      </c>
      <c r="F335" s="3">
        <v>333</v>
      </c>
      <c r="G335" s="3">
        <v>1</v>
      </c>
      <c r="H335" s="5">
        <v>295608000</v>
      </c>
      <c r="I335" s="5">
        <v>374956000</v>
      </c>
      <c r="J335" s="5">
        <v>98554000</v>
      </c>
      <c r="K335" s="5">
        <v>19206000</v>
      </c>
      <c r="L335" s="5">
        <v>110451000</v>
      </c>
      <c r="M335" s="5">
        <v>-35547000</v>
      </c>
      <c r="N335" s="5">
        <v>-102818000</v>
      </c>
    </row>
    <row r="336" spans="1:14" x14ac:dyDescent="0.25">
      <c r="A336" s="3" t="s">
        <v>347</v>
      </c>
      <c r="B336" s="4">
        <v>-0.92</v>
      </c>
      <c r="C336" s="4">
        <v>10.78</v>
      </c>
      <c r="D336" s="4">
        <v>-1.6</v>
      </c>
      <c r="E336" s="4">
        <v>2.0989148562148702E-2</v>
      </c>
      <c r="F336" s="3">
        <v>334</v>
      </c>
      <c r="G336" s="3">
        <v>1</v>
      </c>
      <c r="H336" s="5">
        <v>1584.7517</v>
      </c>
      <c r="I336" s="5">
        <v>5657584.7516999999</v>
      </c>
      <c r="J336" s="5">
        <v>7656000</v>
      </c>
      <c r="K336" s="5">
        <v>2000000</v>
      </c>
      <c r="L336" s="5">
        <v>9445000</v>
      </c>
      <c r="M336" s="5">
        <v>-6174000</v>
      </c>
      <c r="N336" s="5">
        <v>-17975000</v>
      </c>
    </row>
    <row r="337" spans="1:14" x14ac:dyDescent="0.25">
      <c r="A337" s="3" t="s">
        <v>348</v>
      </c>
      <c r="B337" s="4">
        <v>-50.65</v>
      </c>
      <c r="C337" s="4">
        <v>0.06</v>
      </c>
      <c r="D337" s="4">
        <v>-0.81</v>
      </c>
      <c r="E337" s="4">
        <v>2.0946514873838858E-2</v>
      </c>
      <c r="F337" s="3">
        <v>335</v>
      </c>
      <c r="G337" s="3">
        <v>1</v>
      </c>
      <c r="H337" s="5">
        <v>718958479.20000005</v>
      </c>
      <c r="I337" s="5">
        <v>1186178549.2</v>
      </c>
      <c r="J337" s="5">
        <v>474871770</v>
      </c>
      <c r="K337" s="5">
        <v>7651700</v>
      </c>
      <c r="L337" s="5">
        <v>342557920</v>
      </c>
      <c r="M337" s="5">
        <v>-23418240</v>
      </c>
      <c r="N337" s="5">
        <v>-37391310</v>
      </c>
    </row>
    <row r="338" spans="1:14" x14ac:dyDescent="0.25">
      <c r="A338" s="3" t="s">
        <v>349</v>
      </c>
      <c r="B338" s="4">
        <v>-0.18</v>
      </c>
      <c r="C338" s="4">
        <v>10.86</v>
      </c>
      <c r="D338" s="4">
        <v>-1.67</v>
      </c>
      <c r="E338" s="4">
        <v>2.07487930106381E-2</v>
      </c>
      <c r="F338" s="3">
        <v>336</v>
      </c>
      <c r="G338" s="3">
        <v>1</v>
      </c>
      <c r="H338" s="5">
        <v>29097.46</v>
      </c>
      <c r="I338" s="5">
        <v>3712097.46</v>
      </c>
      <c r="J338" s="5">
        <v>5186000</v>
      </c>
      <c r="K338" s="5">
        <v>1503000</v>
      </c>
      <c r="L338" s="5">
        <v>8895000</v>
      </c>
      <c r="M338" s="5">
        <v>-20326280</v>
      </c>
      <c r="N338" s="5">
        <v>-21308000</v>
      </c>
    </row>
    <row r="339" spans="1:14" x14ac:dyDescent="0.25">
      <c r="A339" s="3" t="s">
        <v>350</v>
      </c>
      <c r="B339" s="4">
        <v>-51.46</v>
      </c>
      <c r="C339" s="4">
        <v>-0.27</v>
      </c>
      <c r="D339" s="4">
        <v>-0.14000000000000001</v>
      </c>
      <c r="E339" s="4">
        <v>2.062359628451791E-2</v>
      </c>
      <c r="F339" s="3">
        <v>337</v>
      </c>
      <c r="G339" s="3">
        <v>1</v>
      </c>
      <c r="H339" s="5">
        <v>97947432.659999996</v>
      </c>
      <c r="I339" s="5">
        <v>280339432.66000003</v>
      </c>
      <c r="J339" s="5">
        <v>217349000</v>
      </c>
      <c r="K339" s="5">
        <v>34957000</v>
      </c>
      <c r="L339" s="5">
        <v>113297000</v>
      </c>
      <c r="M339" s="5">
        <v>-5448000</v>
      </c>
      <c r="N339" s="5">
        <v>-86755000</v>
      </c>
    </row>
    <row r="340" spans="1:14" x14ac:dyDescent="0.25">
      <c r="A340" s="3" t="s">
        <v>351</v>
      </c>
      <c r="B340" s="4">
        <v>13.95</v>
      </c>
      <c r="C340" s="4">
        <v>13.63</v>
      </c>
      <c r="D340" s="4">
        <v>0.18</v>
      </c>
      <c r="E340" s="4">
        <v>2.0363844420511111E-2</v>
      </c>
      <c r="F340" s="3">
        <v>338</v>
      </c>
      <c r="G340" s="3">
        <v>1</v>
      </c>
      <c r="H340" s="5">
        <v>61994454689.220001</v>
      </c>
      <c r="I340" s="5">
        <v>68847454689.220001</v>
      </c>
      <c r="J340" s="5">
        <v>7949000000</v>
      </c>
      <c r="K340" s="5">
        <v>1096000000</v>
      </c>
      <c r="L340" s="5">
        <v>20101000000</v>
      </c>
      <c r="M340" s="5">
        <v>4936000000</v>
      </c>
      <c r="N340" s="5">
        <v>2889000000</v>
      </c>
    </row>
    <row r="341" spans="1:14" x14ac:dyDescent="0.25">
      <c r="A341" s="3" t="s">
        <v>352</v>
      </c>
      <c r="B341" s="4">
        <v>-49.88</v>
      </c>
      <c r="C341" s="4">
        <v>-0.06</v>
      </c>
      <c r="D341" s="4">
        <v>-0.02</v>
      </c>
      <c r="E341" s="4">
        <v>2.0275615850613372E-2</v>
      </c>
      <c r="F341" s="3">
        <v>339</v>
      </c>
      <c r="G341" s="3">
        <v>1</v>
      </c>
      <c r="H341" s="5">
        <v>254124730.86000001</v>
      </c>
      <c r="I341" s="5">
        <v>1362694730.8599999</v>
      </c>
      <c r="J341" s="5">
        <v>1172369000</v>
      </c>
      <c r="K341" s="5">
        <v>63799000</v>
      </c>
      <c r="L341" s="5">
        <v>175635000</v>
      </c>
      <c r="M341" s="5">
        <v>-27317000</v>
      </c>
      <c r="N341" s="5">
        <v>-34993000</v>
      </c>
    </row>
    <row r="342" spans="1:14" x14ac:dyDescent="0.25">
      <c r="A342" s="3" t="s">
        <v>353</v>
      </c>
      <c r="B342" s="4">
        <v>-0.03</v>
      </c>
      <c r="C342" s="4">
        <v>11.84</v>
      </c>
      <c r="D342" s="4">
        <v>-19.59</v>
      </c>
      <c r="E342" s="4">
        <v>2.00307127857083E-2</v>
      </c>
      <c r="F342" s="3">
        <v>340</v>
      </c>
      <c r="G342" s="3">
        <v>1</v>
      </c>
      <c r="H342" s="5">
        <v>36606.838799999998</v>
      </c>
      <c r="I342" s="5">
        <v>111746.8388</v>
      </c>
      <c r="J342" s="5">
        <v>93970</v>
      </c>
      <c r="K342" s="5">
        <v>18830</v>
      </c>
      <c r="L342" s="5">
        <v>412680</v>
      </c>
      <c r="M342" s="5">
        <v>-4154630</v>
      </c>
      <c r="N342" s="5">
        <v>-5849830</v>
      </c>
    </row>
    <row r="343" spans="1:14" x14ac:dyDescent="0.25">
      <c r="A343" s="3" t="s">
        <v>354</v>
      </c>
      <c r="B343" s="4">
        <v>-49.31</v>
      </c>
      <c r="C343" s="4">
        <v>-0.03</v>
      </c>
      <c r="D343" s="4">
        <v>-0.03</v>
      </c>
      <c r="E343" s="4">
        <v>2.000758292034582E-2</v>
      </c>
      <c r="F343" s="3">
        <v>341</v>
      </c>
      <c r="G343" s="3">
        <v>1</v>
      </c>
      <c r="H343" s="5">
        <v>9552.6407999999992</v>
      </c>
      <c r="I343" s="5">
        <v>-261265867.3592</v>
      </c>
      <c r="J343" s="5">
        <v>0</v>
      </c>
      <c r="K343" s="5">
        <v>261275420</v>
      </c>
      <c r="L343" s="5">
        <v>33567080</v>
      </c>
      <c r="M343" s="5">
        <v>5298250</v>
      </c>
      <c r="N343" s="5">
        <v>-23667010</v>
      </c>
    </row>
    <row r="344" spans="1:14" x14ac:dyDescent="0.25">
      <c r="A344" s="3" t="s">
        <v>355</v>
      </c>
      <c r="B344" s="4">
        <v>-49.01</v>
      </c>
      <c r="C344" s="4">
        <v>0.01</v>
      </c>
      <c r="D344" s="4">
        <v>0.01</v>
      </c>
      <c r="E344" s="4">
        <v>1.9945197283801348E-2</v>
      </c>
      <c r="F344" s="3">
        <v>342</v>
      </c>
      <c r="G344" s="3">
        <v>1</v>
      </c>
      <c r="H344" s="5">
        <v>19739200</v>
      </c>
      <c r="I344" s="5">
        <v>17398200</v>
      </c>
      <c r="J344" s="5">
        <v>0</v>
      </c>
      <c r="K344" s="5">
        <v>2341000</v>
      </c>
      <c r="L344" s="5">
        <v>1975000</v>
      </c>
      <c r="M344" s="5">
        <v>-355000</v>
      </c>
      <c r="N344" s="5">
        <v>143000</v>
      </c>
    </row>
    <row r="345" spans="1:14" x14ac:dyDescent="0.25">
      <c r="A345" s="3" t="s">
        <v>356</v>
      </c>
      <c r="B345" s="4">
        <v>-61.3</v>
      </c>
      <c r="C345" s="4">
        <v>-2.61</v>
      </c>
      <c r="D345" s="4">
        <v>-0.25</v>
      </c>
      <c r="E345" s="4">
        <v>1.9931451356706389E-2</v>
      </c>
      <c r="F345" s="3">
        <v>343</v>
      </c>
      <c r="G345" s="3">
        <v>1</v>
      </c>
      <c r="H345" s="5">
        <v>1565511162.49</v>
      </c>
      <c r="I345" s="5">
        <v>1574672162.49</v>
      </c>
      <c r="J345" s="5">
        <v>65091000</v>
      </c>
      <c r="K345" s="5">
        <v>55930000</v>
      </c>
      <c r="L345" s="5">
        <v>144180000</v>
      </c>
      <c r="M345" s="5">
        <v>-25689000</v>
      </c>
      <c r="N345" s="5">
        <v>-62072000</v>
      </c>
    </row>
    <row r="346" spans="1:14" x14ac:dyDescent="0.25">
      <c r="A346" s="3" t="s">
        <v>357</v>
      </c>
      <c r="B346" s="4">
        <v>-49.75</v>
      </c>
      <c r="C346" s="4">
        <v>-0.16</v>
      </c>
      <c r="D346" s="4">
        <v>-0.08</v>
      </c>
      <c r="E346" s="4">
        <v>1.9894645946941739E-2</v>
      </c>
      <c r="F346" s="3">
        <v>344</v>
      </c>
      <c r="G346" s="3">
        <v>1</v>
      </c>
      <c r="H346" s="5">
        <v>586613492</v>
      </c>
      <c r="I346" s="5">
        <v>531019492</v>
      </c>
      <c r="J346" s="5">
        <v>0</v>
      </c>
      <c r="K346" s="5">
        <v>55594000</v>
      </c>
      <c r="L346" s="5">
        <v>206935000</v>
      </c>
      <c r="M346" s="5">
        <v>-10674000</v>
      </c>
      <c r="N346" s="5">
        <v>-103034000</v>
      </c>
    </row>
    <row r="347" spans="1:14" x14ac:dyDescent="0.25">
      <c r="A347" s="3" t="s">
        <v>358</v>
      </c>
      <c r="B347" s="4">
        <v>-0.4</v>
      </c>
      <c r="C347" s="4">
        <v>10.5</v>
      </c>
      <c r="D347" s="4">
        <v>-1.76</v>
      </c>
      <c r="E347" s="4">
        <v>1.982742444425576E-2</v>
      </c>
      <c r="F347" s="3">
        <v>345</v>
      </c>
      <c r="G347" s="3">
        <v>1</v>
      </c>
      <c r="H347" s="5">
        <v>92264004.900000006</v>
      </c>
      <c r="I347" s="5">
        <v>54016004.900000013</v>
      </c>
      <c r="J347" s="5">
        <v>0</v>
      </c>
      <c r="K347" s="5">
        <v>38248000</v>
      </c>
      <c r="L347" s="5">
        <v>189896000</v>
      </c>
      <c r="M347" s="5">
        <v>-136717000</v>
      </c>
      <c r="N347" s="5">
        <v>-280885000</v>
      </c>
    </row>
    <row r="348" spans="1:14" x14ac:dyDescent="0.25">
      <c r="A348" s="3" t="s">
        <v>359</v>
      </c>
      <c r="B348" s="4">
        <v>-49.93</v>
      </c>
      <c r="C348" s="4">
        <v>-0.28999999999999998</v>
      </c>
      <c r="D348" s="4">
        <v>-0.28999999999999998</v>
      </c>
      <c r="E348" s="4">
        <v>1.9589925200173559E-2</v>
      </c>
      <c r="F348" s="3">
        <v>346</v>
      </c>
      <c r="G348" s="3">
        <v>1</v>
      </c>
      <c r="H348" s="5">
        <v>691994562.65999997</v>
      </c>
      <c r="I348" s="5">
        <v>652003732.65999997</v>
      </c>
      <c r="J348" s="5">
        <v>0</v>
      </c>
      <c r="K348" s="5">
        <v>39990830</v>
      </c>
      <c r="L348" s="5">
        <v>0</v>
      </c>
      <c r="M348" s="5">
        <v>-13059500</v>
      </c>
      <c r="N348" s="5">
        <v>-11787070</v>
      </c>
    </row>
    <row r="349" spans="1:14" x14ac:dyDescent="0.25">
      <c r="A349" s="3" t="s">
        <v>360</v>
      </c>
      <c r="B349" s="4">
        <v>-49.33</v>
      </c>
      <c r="C349" s="4">
        <v>-0.19</v>
      </c>
      <c r="D349" s="4">
        <v>-0.09</v>
      </c>
      <c r="E349" s="4">
        <v>1.954608946004361E-2</v>
      </c>
      <c r="F349" s="3">
        <v>347</v>
      </c>
      <c r="G349" s="3">
        <v>1</v>
      </c>
      <c r="H349" s="5">
        <v>23991307.487</v>
      </c>
      <c r="I349" s="5">
        <v>98753897.487000003</v>
      </c>
      <c r="J349" s="5">
        <v>75413610</v>
      </c>
      <c r="K349" s="5">
        <v>651020</v>
      </c>
      <c r="L349" s="5">
        <v>89811240</v>
      </c>
      <c r="M349" s="5">
        <v>-2002090</v>
      </c>
      <c r="N349" s="5">
        <v>-22189820</v>
      </c>
    </row>
    <row r="350" spans="1:14" x14ac:dyDescent="0.25">
      <c r="A350" s="3" t="s">
        <v>361</v>
      </c>
      <c r="B350" s="4">
        <v>-44.8</v>
      </c>
      <c r="C350" s="4">
        <v>0.73</v>
      </c>
      <c r="D350" s="4">
        <v>-0.41</v>
      </c>
      <c r="E350" s="4">
        <v>1.933886227411747E-2</v>
      </c>
      <c r="F350" s="3">
        <v>348</v>
      </c>
      <c r="G350" s="3">
        <v>1</v>
      </c>
      <c r="H350" s="5">
        <v>8688344499.7800007</v>
      </c>
      <c r="I350" s="5">
        <v>9148954499.7800007</v>
      </c>
      <c r="J350" s="5">
        <v>626622000</v>
      </c>
      <c r="K350" s="5">
        <v>166012000</v>
      </c>
      <c r="L350" s="5">
        <v>538268000</v>
      </c>
      <c r="M350" s="5">
        <v>-204197000</v>
      </c>
      <c r="N350" s="5">
        <v>-354510000</v>
      </c>
    </row>
    <row r="351" spans="1:14" x14ac:dyDescent="0.25">
      <c r="A351" s="3" t="s">
        <v>362</v>
      </c>
      <c r="B351" s="4">
        <v>-48.07</v>
      </c>
      <c r="C351" s="4">
        <v>-0.1</v>
      </c>
      <c r="D351" s="4">
        <v>-0.06</v>
      </c>
      <c r="E351" s="4">
        <v>1.9032079085074489E-2</v>
      </c>
      <c r="F351" s="3">
        <v>349</v>
      </c>
      <c r="G351" s="3">
        <v>1</v>
      </c>
      <c r="H351" s="5">
        <v>26369907.960000001</v>
      </c>
      <c r="I351" s="5">
        <v>23698907.960000001</v>
      </c>
      <c r="J351" s="5">
        <v>0</v>
      </c>
      <c r="K351" s="5">
        <v>2671000</v>
      </c>
      <c r="L351" s="5">
        <v>8084000</v>
      </c>
      <c r="M351" s="5">
        <v>-493000</v>
      </c>
      <c r="N351" s="5">
        <v>-668000</v>
      </c>
    </row>
    <row r="352" spans="1:14" x14ac:dyDescent="0.25">
      <c r="A352" s="3" t="s">
        <v>363</v>
      </c>
      <c r="B352" s="4">
        <v>-110.83</v>
      </c>
      <c r="C352" s="4">
        <v>0.17</v>
      </c>
      <c r="D352" s="4">
        <v>-205.66</v>
      </c>
      <c r="E352" s="4">
        <v>1.8994874995802279E-2</v>
      </c>
      <c r="F352" s="3">
        <v>350</v>
      </c>
      <c r="G352" s="3">
        <v>1</v>
      </c>
      <c r="H352" s="5">
        <v>8715896.0700000003</v>
      </c>
      <c r="I352" s="5">
        <v>10358376.07</v>
      </c>
      <c r="J352" s="5">
        <v>1645030</v>
      </c>
      <c r="K352" s="5">
        <v>2550</v>
      </c>
      <c r="L352" s="5">
        <v>0</v>
      </c>
      <c r="M352" s="5">
        <v>-93460</v>
      </c>
      <c r="N352" s="5">
        <v>-524430</v>
      </c>
    </row>
    <row r="353" spans="1:14" x14ac:dyDescent="0.25">
      <c r="A353" s="3" t="s">
        <v>364</v>
      </c>
      <c r="B353" s="4">
        <v>0.04</v>
      </c>
      <c r="C353" s="4">
        <v>10.41</v>
      </c>
      <c r="D353" s="4">
        <v>-4.83</v>
      </c>
      <c r="E353" s="4">
        <v>1.870284577115993E-2</v>
      </c>
      <c r="F353" s="3">
        <v>351</v>
      </c>
      <c r="G353" s="3">
        <v>1</v>
      </c>
      <c r="H353" s="5">
        <v>3073.7795999999998</v>
      </c>
      <c r="I353" s="5">
        <v>-443536.22039999999</v>
      </c>
      <c r="J353" s="5">
        <v>0</v>
      </c>
      <c r="K353" s="5">
        <v>446610</v>
      </c>
      <c r="L353" s="5">
        <v>633100</v>
      </c>
      <c r="M353" s="5">
        <v>-11876020</v>
      </c>
      <c r="N353" s="5">
        <v>-18004100</v>
      </c>
    </row>
    <row r="354" spans="1:14" x14ac:dyDescent="0.25">
      <c r="A354" s="3" t="s">
        <v>365</v>
      </c>
      <c r="B354" s="4">
        <v>-1.59</v>
      </c>
      <c r="C354" s="4">
        <v>9.7200000000000006</v>
      </c>
      <c r="D354" s="4">
        <v>-0.96</v>
      </c>
      <c r="E354" s="4">
        <v>1.8464560701280729E-2</v>
      </c>
      <c r="F354" s="3">
        <v>352</v>
      </c>
      <c r="G354" s="3">
        <v>1</v>
      </c>
      <c r="H354" s="5">
        <v>1169762.355</v>
      </c>
      <c r="I354" s="5">
        <v>9705242.3550000004</v>
      </c>
      <c r="J354" s="5">
        <v>8569490</v>
      </c>
      <c r="K354" s="5">
        <v>34010</v>
      </c>
      <c r="L354" s="5">
        <v>2155740</v>
      </c>
      <c r="M354" s="5">
        <v>-6086500</v>
      </c>
      <c r="N354" s="5">
        <v>-9737460</v>
      </c>
    </row>
    <row r="355" spans="1:14" x14ac:dyDescent="0.25">
      <c r="A355" s="3" t="s">
        <v>366</v>
      </c>
      <c r="B355" s="4">
        <v>0.15</v>
      </c>
      <c r="C355" s="4">
        <v>10.1</v>
      </c>
      <c r="D355" s="4">
        <v>-1.94</v>
      </c>
      <c r="E355" s="4">
        <v>1.8296551371943071E-2</v>
      </c>
      <c r="F355" s="3">
        <v>353</v>
      </c>
      <c r="G355" s="3">
        <v>1</v>
      </c>
      <c r="H355" s="5">
        <v>33741.085500000001</v>
      </c>
      <c r="I355" s="5">
        <v>-5563258.9145</v>
      </c>
      <c r="J355" s="5">
        <v>0</v>
      </c>
      <c r="K355" s="5">
        <v>5597000</v>
      </c>
      <c r="L355" s="5">
        <v>1369000</v>
      </c>
      <c r="M355" s="5">
        <v>-37295000</v>
      </c>
      <c r="N355" s="5">
        <v>-14424000</v>
      </c>
    </row>
    <row r="356" spans="1:14" x14ac:dyDescent="0.25">
      <c r="A356" s="3" t="s">
        <v>367</v>
      </c>
      <c r="B356" s="4">
        <v>-57.04</v>
      </c>
      <c r="C356" s="4">
        <v>-2.16</v>
      </c>
      <c r="D356" s="4">
        <v>-1.99</v>
      </c>
      <c r="E356" s="4">
        <v>1.8259411420915989E-2</v>
      </c>
      <c r="F356" s="3">
        <v>354</v>
      </c>
      <c r="G356" s="3">
        <v>1</v>
      </c>
      <c r="H356" s="5">
        <v>394238209.94999999</v>
      </c>
      <c r="I356" s="5">
        <v>390480889.94999999</v>
      </c>
      <c r="J356" s="5">
        <v>0</v>
      </c>
      <c r="K356" s="5">
        <v>3757320</v>
      </c>
      <c r="L356" s="5">
        <v>5565320</v>
      </c>
      <c r="M356" s="5">
        <v>-6846280</v>
      </c>
      <c r="N356" s="5">
        <v>-31980470</v>
      </c>
    </row>
    <row r="357" spans="1:14" x14ac:dyDescent="0.25">
      <c r="A357" s="3" t="s">
        <v>368</v>
      </c>
      <c r="B357" s="4">
        <v>-31.4</v>
      </c>
      <c r="C357" s="4">
        <v>3.12</v>
      </c>
      <c r="D357" s="4">
        <v>-0.28999999999999998</v>
      </c>
      <c r="E357" s="4">
        <v>1.797404703541922E-2</v>
      </c>
      <c r="F357" s="3">
        <v>355</v>
      </c>
      <c r="G357" s="3">
        <v>1</v>
      </c>
      <c r="H357" s="5">
        <v>11980205509.450001</v>
      </c>
      <c r="I357" s="5">
        <v>12597212509.450001</v>
      </c>
      <c r="J357" s="5">
        <v>1142547000</v>
      </c>
      <c r="K357" s="5">
        <v>525540000</v>
      </c>
      <c r="L357" s="5">
        <v>739016000</v>
      </c>
      <c r="M357" s="5">
        <v>-401207000</v>
      </c>
      <c r="N357" s="5">
        <v>-436373000</v>
      </c>
    </row>
    <row r="358" spans="1:14" x14ac:dyDescent="0.25">
      <c r="A358" s="3" t="s">
        <v>369</v>
      </c>
      <c r="B358" s="4">
        <v>-45.47</v>
      </c>
      <c r="C358" s="4">
        <v>0.08</v>
      </c>
      <c r="D358" s="4">
        <v>0.08</v>
      </c>
      <c r="E358" s="4">
        <v>1.796997690217968E-2</v>
      </c>
      <c r="F358" s="3">
        <v>356</v>
      </c>
      <c r="G358" s="3">
        <v>1</v>
      </c>
      <c r="H358" s="5">
        <v>67019424.030000001</v>
      </c>
      <c r="I358" s="5">
        <v>29826414.030000001</v>
      </c>
      <c r="J358" s="5">
        <v>0</v>
      </c>
      <c r="K358" s="5">
        <v>37193010</v>
      </c>
      <c r="L358" s="5">
        <v>22394280</v>
      </c>
      <c r="M358" s="5">
        <v>-655910</v>
      </c>
      <c r="N358" s="5">
        <v>25207500</v>
      </c>
    </row>
    <row r="359" spans="1:14" x14ac:dyDescent="0.25">
      <c r="A359" s="3" t="s">
        <v>370</v>
      </c>
      <c r="B359" s="4">
        <v>-0.11</v>
      </c>
      <c r="C359" s="4">
        <v>10.02</v>
      </c>
      <c r="D359" s="4">
        <v>-3.34</v>
      </c>
      <c r="E359" s="4">
        <v>1.79562581431006E-2</v>
      </c>
      <c r="F359" s="3">
        <v>357</v>
      </c>
      <c r="G359" s="3">
        <v>1</v>
      </c>
      <c r="H359" s="5">
        <v>1046053.9934</v>
      </c>
      <c r="I359" s="5">
        <v>527093.99340000004</v>
      </c>
      <c r="J359" s="5">
        <v>0</v>
      </c>
      <c r="K359" s="5">
        <v>518960</v>
      </c>
      <c r="L359" s="5">
        <v>1582480</v>
      </c>
      <c r="M359" s="5">
        <v>-4863630</v>
      </c>
      <c r="N359" s="5">
        <v>-4474000</v>
      </c>
    </row>
    <row r="360" spans="1:14" x14ac:dyDescent="0.25">
      <c r="A360" s="3" t="s">
        <v>371</v>
      </c>
      <c r="B360" s="4">
        <v>-47.06</v>
      </c>
      <c r="C360" s="4">
        <v>-0.3</v>
      </c>
      <c r="D360" s="4">
        <v>-0.18</v>
      </c>
      <c r="E360" s="4">
        <v>1.7805948850450441E-2</v>
      </c>
      <c r="F360" s="3">
        <v>358</v>
      </c>
      <c r="G360" s="3">
        <v>1</v>
      </c>
      <c r="H360" s="5">
        <v>355692814.92000002</v>
      </c>
      <c r="I360" s="5">
        <v>356421214.92000002</v>
      </c>
      <c r="J360" s="5">
        <v>5605440</v>
      </c>
      <c r="K360" s="5">
        <v>4877040</v>
      </c>
      <c r="L360" s="5">
        <v>37202630</v>
      </c>
      <c r="M360" s="5">
        <v>-7574300</v>
      </c>
      <c r="N360" s="5">
        <v>-14873180</v>
      </c>
    </row>
    <row r="361" spans="1:14" x14ac:dyDescent="0.25">
      <c r="A361" s="3" t="s">
        <v>372</v>
      </c>
      <c r="B361" s="4">
        <v>-45.48</v>
      </c>
      <c r="C361" s="4">
        <v>0</v>
      </c>
      <c r="D361" s="4">
        <v>0</v>
      </c>
      <c r="E361" s="4">
        <v>1.772958503914104E-2</v>
      </c>
      <c r="F361" s="3">
        <v>359</v>
      </c>
      <c r="G361" s="3">
        <v>1</v>
      </c>
      <c r="H361" s="5">
        <v>23500750</v>
      </c>
      <c r="I361" s="5">
        <v>2577530</v>
      </c>
      <c r="J361" s="5">
        <v>64860</v>
      </c>
      <c r="K361" s="5">
        <v>20988080</v>
      </c>
      <c r="L361" s="5">
        <v>27013100</v>
      </c>
      <c r="M361" s="5">
        <v>-56670</v>
      </c>
      <c r="N361" s="5">
        <v>-238950</v>
      </c>
    </row>
    <row r="362" spans="1:14" x14ac:dyDescent="0.25">
      <c r="A362" s="3" t="s">
        <v>373</v>
      </c>
      <c r="B362" s="4">
        <v>-40.96</v>
      </c>
      <c r="C362" s="4">
        <v>1.02</v>
      </c>
      <c r="D362" s="4">
        <v>-0.82</v>
      </c>
      <c r="E362" s="4">
        <v>1.772103180018127E-2</v>
      </c>
      <c r="F362" s="3">
        <v>360</v>
      </c>
      <c r="G362" s="3">
        <v>1</v>
      </c>
      <c r="H362" s="5">
        <v>8214556662.04</v>
      </c>
      <c r="I362" s="5">
        <v>8528642662.0400009</v>
      </c>
      <c r="J362" s="5">
        <v>379528000</v>
      </c>
      <c r="K362" s="5">
        <v>65442000</v>
      </c>
      <c r="L362" s="5">
        <v>412260000</v>
      </c>
      <c r="M362" s="5">
        <v>-208209000</v>
      </c>
      <c r="N362" s="5">
        <v>-281890000</v>
      </c>
    </row>
    <row r="363" spans="1:14" x14ac:dyDescent="0.25">
      <c r="A363" s="3" t="s">
        <v>374</v>
      </c>
      <c r="B363" s="4">
        <v>-47.88</v>
      </c>
      <c r="C363" s="4">
        <v>-0.69</v>
      </c>
      <c r="D363" s="4">
        <v>-0.37</v>
      </c>
      <c r="E363" s="4">
        <v>1.7149961539074322E-2</v>
      </c>
      <c r="F363" s="3">
        <v>361</v>
      </c>
      <c r="G363" s="3">
        <v>1</v>
      </c>
      <c r="H363" s="5">
        <v>10587970.41</v>
      </c>
      <c r="I363" s="5">
        <v>8570970.4100000001</v>
      </c>
      <c r="J363" s="5">
        <v>118000</v>
      </c>
      <c r="K363" s="5">
        <v>2135000</v>
      </c>
      <c r="L363" s="5">
        <v>2951000</v>
      </c>
      <c r="M363" s="5">
        <v>-179000</v>
      </c>
      <c r="N363" s="5">
        <v>-2726000</v>
      </c>
    </row>
    <row r="364" spans="1:14" x14ac:dyDescent="0.25">
      <c r="A364" s="3" t="s">
        <v>375</v>
      </c>
      <c r="B364" s="4">
        <v>-45.61</v>
      </c>
      <c r="C364" s="4">
        <v>-0.22</v>
      </c>
      <c r="D364" s="4">
        <v>-0.15</v>
      </c>
      <c r="E364" s="4">
        <v>1.7145449960222391E-2</v>
      </c>
      <c r="F364" s="3">
        <v>362</v>
      </c>
      <c r="G364" s="3">
        <v>1</v>
      </c>
      <c r="H364" s="5">
        <v>306013105.5</v>
      </c>
      <c r="I364" s="5">
        <v>302431105.5</v>
      </c>
      <c r="J364" s="5">
        <v>3253000</v>
      </c>
      <c r="K364" s="5">
        <v>6835000</v>
      </c>
      <c r="L364" s="5">
        <v>11565000</v>
      </c>
      <c r="M364" s="5">
        <v>-6631000</v>
      </c>
      <c r="N364" s="5">
        <v>-7391000</v>
      </c>
    </row>
    <row r="365" spans="1:14" x14ac:dyDescent="0.25">
      <c r="A365" s="3" t="s">
        <v>376</v>
      </c>
      <c r="B365" s="4">
        <v>-13.4</v>
      </c>
      <c r="C365" s="4">
        <v>6.73</v>
      </c>
      <c r="D365" s="4">
        <v>-1.5</v>
      </c>
      <c r="E365" s="4">
        <v>1.7030656697020939E-2</v>
      </c>
      <c r="F365" s="3">
        <v>363</v>
      </c>
      <c r="G365" s="3">
        <v>1</v>
      </c>
      <c r="H365" s="5">
        <v>147303963.44999999</v>
      </c>
      <c r="I365" s="5">
        <v>150701753.44999999</v>
      </c>
      <c r="J365" s="5">
        <v>4451530</v>
      </c>
      <c r="K365" s="5">
        <v>1053740</v>
      </c>
      <c r="L365" s="5">
        <v>532780</v>
      </c>
      <c r="M365" s="5">
        <v>-11247130</v>
      </c>
      <c r="N365" s="5">
        <v>-13782380</v>
      </c>
    </row>
    <row r="366" spans="1:14" x14ac:dyDescent="0.25">
      <c r="A366" s="3" t="s">
        <v>377</v>
      </c>
      <c r="B366" s="4">
        <v>-3.12</v>
      </c>
      <c r="C366" s="4">
        <v>8.91</v>
      </c>
      <c r="D366" s="4">
        <v>-1.29</v>
      </c>
      <c r="E366" s="4">
        <v>1.7007469127704788E-2</v>
      </c>
      <c r="F366" s="3">
        <v>364</v>
      </c>
      <c r="G366" s="3">
        <v>1</v>
      </c>
      <c r="H366" s="5">
        <v>192324501.53400001</v>
      </c>
      <c r="I366" s="5">
        <v>171058501.53400001</v>
      </c>
      <c r="J366" s="5">
        <v>1241000</v>
      </c>
      <c r="K366" s="5">
        <v>22507000</v>
      </c>
      <c r="L366" s="5">
        <v>147103000</v>
      </c>
      <c r="M366" s="5">
        <v>-54883000</v>
      </c>
      <c r="N366" s="5">
        <v>-53865000</v>
      </c>
    </row>
    <row r="367" spans="1:14" x14ac:dyDescent="0.25">
      <c r="A367" s="3" t="s">
        <v>378</v>
      </c>
      <c r="B367" s="4">
        <v>-45.35</v>
      </c>
      <c r="C367" s="4">
        <v>-0.32</v>
      </c>
      <c r="D367" s="4">
        <v>-7.0000000000000007E-2</v>
      </c>
      <c r="E367" s="4">
        <v>1.6711026754573841E-2</v>
      </c>
      <c r="F367" s="3">
        <v>365</v>
      </c>
      <c r="G367" s="3">
        <v>1</v>
      </c>
      <c r="H367" s="5">
        <v>4501389.5999999996</v>
      </c>
      <c r="I367" s="5">
        <v>21679389.600000001</v>
      </c>
      <c r="J367" s="5">
        <v>17306000</v>
      </c>
      <c r="K367" s="5">
        <v>128000</v>
      </c>
      <c r="L367" s="5">
        <v>4555000</v>
      </c>
      <c r="M367" s="5">
        <v>-478000</v>
      </c>
      <c r="N367" s="5">
        <v>-1696000</v>
      </c>
    </row>
    <row r="368" spans="1:14" x14ac:dyDescent="0.25">
      <c r="A368" s="3" t="s">
        <v>379</v>
      </c>
      <c r="B368" s="4">
        <v>-44.32</v>
      </c>
      <c r="C368" s="4">
        <v>-0.1</v>
      </c>
      <c r="D368" s="4">
        <v>-7.0000000000000007E-2</v>
      </c>
      <c r="E368" s="4">
        <v>1.6709197922092949E-2</v>
      </c>
      <c r="F368" s="3">
        <v>366</v>
      </c>
      <c r="G368" s="3">
        <v>1</v>
      </c>
      <c r="H368" s="5">
        <v>22082608</v>
      </c>
      <c r="I368" s="5">
        <v>19679608</v>
      </c>
      <c r="J368" s="5">
        <v>0</v>
      </c>
      <c r="K368" s="5">
        <v>2403000</v>
      </c>
      <c r="L368" s="5">
        <v>8044000</v>
      </c>
      <c r="M368" s="5">
        <v>-444000</v>
      </c>
      <c r="N368" s="5">
        <v>-471000</v>
      </c>
    </row>
    <row r="369" spans="1:14" x14ac:dyDescent="0.25">
      <c r="A369" s="3" t="s">
        <v>380</v>
      </c>
      <c r="B369" s="4">
        <v>-44.04</v>
      </c>
      <c r="C369" s="4">
        <v>-0.08</v>
      </c>
      <c r="D369" s="4">
        <v>-0.05</v>
      </c>
      <c r="E369" s="4">
        <v>1.6597545429758699E-2</v>
      </c>
      <c r="F369" s="3">
        <v>367</v>
      </c>
      <c r="G369" s="3">
        <v>1</v>
      </c>
      <c r="H369" s="5">
        <v>253608675.75</v>
      </c>
      <c r="I369" s="5">
        <v>408488675.75</v>
      </c>
      <c r="J369" s="5">
        <v>179617000</v>
      </c>
      <c r="K369" s="5">
        <v>24737000</v>
      </c>
      <c r="L369" s="5">
        <v>2675000</v>
      </c>
      <c r="M369" s="5">
        <v>-9275000</v>
      </c>
      <c r="N369" s="5">
        <v>-23856000</v>
      </c>
    </row>
    <row r="370" spans="1:14" x14ac:dyDescent="0.25">
      <c r="A370" s="3" t="s">
        <v>381</v>
      </c>
      <c r="B370" s="4">
        <v>-43.92</v>
      </c>
      <c r="C370" s="4">
        <v>-0.11</v>
      </c>
      <c r="D370" s="4">
        <v>-0.08</v>
      </c>
      <c r="E370" s="4">
        <v>1.6430807060617881E-2</v>
      </c>
      <c r="F370" s="3">
        <v>368</v>
      </c>
      <c r="G370" s="3">
        <v>1</v>
      </c>
      <c r="H370" s="5">
        <v>410515892.10000002</v>
      </c>
      <c r="I370" s="5">
        <v>458618892.10000002</v>
      </c>
      <c r="J370" s="5">
        <v>73116000</v>
      </c>
      <c r="K370" s="5">
        <v>25013000</v>
      </c>
      <c r="L370" s="5">
        <v>204727000</v>
      </c>
      <c r="M370" s="5">
        <v>-10441000</v>
      </c>
      <c r="N370" s="5">
        <v>-37822000</v>
      </c>
    </row>
    <row r="371" spans="1:14" x14ac:dyDescent="0.25">
      <c r="A371" s="3" t="s">
        <v>382</v>
      </c>
      <c r="B371" s="4">
        <v>-40.28</v>
      </c>
      <c r="C371" s="4">
        <v>0.66</v>
      </c>
      <c r="D371" s="4">
        <v>-0.68</v>
      </c>
      <c r="E371" s="4">
        <v>1.6287002332344609E-2</v>
      </c>
      <c r="F371" s="3">
        <v>369</v>
      </c>
      <c r="G371" s="3">
        <v>1</v>
      </c>
      <c r="H371" s="5">
        <v>14744763</v>
      </c>
      <c r="I371" s="5">
        <v>15344423</v>
      </c>
      <c r="J371" s="5">
        <v>600290</v>
      </c>
      <c r="K371" s="5">
        <v>630</v>
      </c>
      <c r="L371" s="5">
        <v>9290</v>
      </c>
      <c r="M371" s="5">
        <v>-380970</v>
      </c>
      <c r="N371" s="5">
        <v>-403370</v>
      </c>
    </row>
    <row r="372" spans="1:14" x14ac:dyDescent="0.25">
      <c r="A372" s="3" t="s">
        <v>383</v>
      </c>
      <c r="B372" s="4">
        <v>-41.74</v>
      </c>
      <c r="C372" s="4">
        <v>0.3</v>
      </c>
      <c r="D372" s="4">
        <v>-0.22</v>
      </c>
      <c r="E372" s="4">
        <v>1.6239191734162699E-2</v>
      </c>
      <c r="F372" s="3">
        <v>370</v>
      </c>
      <c r="G372" s="3">
        <v>1</v>
      </c>
      <c r="H372" s="5">
        <v>2967233.727</v>
      </c>
      <c r="I372" s="5">
        <v>47838233.726999998</v>
      </c>
      <c r="J372" s="5">
        <v>45795000</v>
      </c>
      <c r="K372" s="5">
        <v>924000</v>
      </c>
      <c r="L372" s="5">
        <v>31623000</v>
      </c>
      <c r="M372" s="5">
        <v>-1146000</v>
      </c>
      <c r="N372" s="5">
        <v>-8291000</v>
      </c>
    </row>
    <row r="373" spans="1:14" x14ac:dyDescent="0.25">
      <c r="A373" s="3" t="s">
        <v>384</v>
      </c>
      <c r="B373" s="4">
        <v>-46.09</v>
      </c>
      <c r="C373" s="4">
        <v>-0.66</v>
      </c>
      <c r="D373" s="4">
        <v>-0.3</v>
      </c>
      <c r="E373" s="4">
        <v>1.614227772638337E-2</v>
      </c>
      <c r="F373" s="3">
        <v>371</v>
      </c>
      <c r="G373" s="3">
        <v>1</v>
      </c>
      <c r="H373" s="5">
        <v>1846767781.4400001</v>
      </c>
      <c r="I373" s="5">
        <v>1830645781.4400001</v>
      </c>
      <c r="J373" s="5">
        <v>35249000</v>
      </c>
      <c r="K373" s="5">
        <v>51371000</v>
      </c>
      <c r="L373" s="5">
        <v>169117000</v>
      </c>
      <c r="M373" s="5">
        <v>-39718000</v>
      </c>
      <c r="N373" s="5">
        <v>-48832000</v>
      </c>
    </row>
    <row r="374" spans="1:14" x14ac:dyDescent="0.25">
      <c r="A374" s="3" t="s">
        <v>385</v>
      </c>
      <c r="B374" s="4">
        <v>-43.57</v>
      </c>
      <c r="C374" s="4">
        <v>-0.21</v>
      </c>
      <c r="D374" s="4">
        <v>-0.06</v>
      </c>
      <c r="E374" s="4">
        <v>1.5929106844230601E-2</v>
      </c>
      <c r="F374" s="3">
        <v>372</v>
      </c>
      <c r="G374" s="3">
        <v>1</v>
      </c>
      <c r="H374" s="5">
        <v>4126405780</v>
      </c>
      <c r="I374" s="5">
        <v>4641592780</v>
      </c>
      <c r="J374" s="5">
        <v>700772000</v>
      </c>
      <c r="K374" s="5">
        <v>185585000</v>
      </c>
      <c r="L374" s="5">
        <v>550950000</v>
      </c>
      <c r="M374" s="5">
        <v>-106525000</v>
      </c>
      <c r="N374" s="5">
        <v>-95765000</v>
      </c>
    </row>
    <row r="375" spans="1:14" x14ac:dyDescent="0.25">
      <c r="A375" s="3" t="s">
        <v>386</v>
      </c>
      <c r="B375" s="4">
        <v>-37.880000000000003</v>
      </c>
      <c r="C375" s="4">
        <v>1.01</v>
      </c>
      <c r="D375" s="4">
        <v>-0.35</v>
      </c>
      <c r="E375" s="4">
        <v>1.587652708760974E-2</v>
      </c>
      <c r="F375" s="3">
        <v>373</v>
      </c>
      <c r="G375" s="3">
        <v>1</v>
      </c>
      <c r="H375" s="5">
        <v>794250</v>
      </c>
      <c r="I375" s="5">
        <v>793220</v>
      </c>
      <c r="J375" s="5">
        <v>0</v>
      </c>
      <c r="K375" s="5">
        <v>1030</v>
      </c>
      <c r="L375" s="5">
        <v>29150</v>
      </c>
      <c r="M375" s="5">
        <v>-20940</v>
      </c>
      <c r="N375" s="5">
        <v>-23690</v>
      </c>
    </row>
    <row r="376" spans="1:14" x14ac:dyDescent="0.25">
      <c r="A376" s="3" t="s">
        <v>387</v>
      </c>
      <c r="B376" s="4">
        <v>-42.58</v>
      </c>
      <c r="C376" s="4">
        <v>-0.04</v>
      </c>
      <c r="D376" s="4">
        <v>-0.01</v>
      </c>
      <c r="E376" s="4">
        <v>1.5817211932353251E-2</v>
      </c>
      <c r="F376" s="3">
        <v>374</v>
      </c>
      <c r="G376" s="3">
        <v>1</v>
      </c>
      <c r="H376" s="5">
        <v>60783739.439999998</v>
      </c>
      <c r="I376" s="5">
        <v>62974739.439999998</v>
      </c>
      <c r="J376" s="5">
        <v>37761000</v>
      </c>
      <c r="K376" s="5">
        <v>35570000</v>
      </c>
      <c r="L376" s="5">
        <v>188227000</v>
      </c>
      <c r="M376" s="5">
        <v>-1479000</v>
      </c>
      <c r="N376" s="5">
        <v>-4268000</v>
      </c>
    </row>
    <row r="377" spans="1:14" x14ac:dyDescent="0.25">
      <c r="A377" s="3" t="s">
        <v>388</v>
      </c>
      <c r="B377" s="4">
        <v>-43.19</v>
      </c>
      <c r="C377" s="4">
        <v>-0.26</v>
      </c>
      <c r="D377" s="4">
        <v>-0.08</v>
      </c>
      <c r="E377" s="4">
        <v>1.554559093951436E-2</v>
      </c>
      <c r="F377" s="3">
        <v>375</v>
      </c>
      <c r="G377" s="3">
        <v>1</v>
      </c>
      <c r="H377" s="5">
        <v>19398558.399999999</v>
      </c>
      <c r="I377" s="5">
        <v>64787558.399999999</v>
      </c>
      <c r="J377" s="5">
        <v>45470000</v>
      </c>
      <c r="K377" s="5">
        <v>81000</v>
      </c>
      <c r="L377" s="5">
        <v>317519000</v>
      </c>
      <c r="M377" s="5">
        <v>-1500000</v>
      </c>
      <c r="N377" s="5">
        <v>-8636000</v>
      </c>
    </row>
    <row r="378" spans="1:14" x14ac:dyDescent="0.25">
      <c r="A378" s="3" t="s">
        <v>389</v>
      </c>
      <c r="B378" s="4">
        <v>-48.42</v>
      </c>
      <c r="C378" s="4">
        <v>-1.37</v>
      </c>
      <c r="D378" s="4">
        <v>-0.45</v>
      </c>
      <c r="E378" s="4">
        <v>1.550398115711331E-2</v>
      </c>
      <c r="F378" s="3">
        <v>376</v>
      </c>
      <c r="G378" s="3">
        <v>1</v>
      </c>
      <c r="H378" s="5">
        <v>994878049.35000002</v>
      </c>
      <c r="I378" s="5">
        <v>985033049.35000002</v>
      </c>
      <c r="J378" s="5">
        <v>22006000</v>
      </c>
      <c r="K378" s="5">
        <v>31851000</v>
      </c>
      <c r="L378" s="5">
        <v>260031000</v>
      </c>
      <c r="M378" s="5">
        <v>-20342000</v>
      </c>
      <c r="N378" s="5">
        <v>-76986000</v>
      </c>
    </row>
    <row r="379" spans="1:14" x14ac:dyDescent="0.25">
      <c r="A379" s="3" t="s">
        <v>390</v>
      </c>
      <c r="B379" s="4">
        <v>-33.479999999999997</v>
      </c>
      <c r="C379" s="4">
        <v>1.85</v>
      </c>
      <c r="D379" s="4">
        <v>-1.1000000000000001</v>
      </c>
      <c r="E379" s="4">
        <v>1.5435662576797189E-2</v>
      </c>
      <c r="F379" s="3">
        <v>377</v>
      </c>
      <c r="G379" s="3">
        <v>1</v>
      </c>
      <c r="H379" s="5">
        <v>16091180.1</v>
      </c>
      <c r="I379" s="5">
        <v>16037500.1</v>
      </c>
      <c r="J379" s="5">
        <v>0</v>
      </c>
      <c r="K379" s="5">
        <v>53680</v>
      </c>
      <c r="L379" s="5">
        <v>738170</v>
      </c>
      <c r="M379" s="5">
        <v>-479000</v>
      </c>
      <c r="N379" s="5">
        <v>-1599300</v>
      </c>
    </row>
    <row r="380" spans="1:14" x14ac:dyDescent="0.25">
      <c r="A380" s="3" t="s">
        <v>391</v>
      </c>
      <c r="B380" s="4">
        <v>-42.71</v>
      </c>
      <c r="C380" s="4">
        <v>-0.22</v>
      </c>
      <c r="D380" s="4">
        <v>-0.15</v>
      </c>
      <c r="E380" s="4">
        <v>1.535058030806993E-2</v>
      </c>
      <c r="F380" s="3">
        <v>378</v>
      </c>
      <c r="G380" s="3">
        <v>1</v>
      </c>
      <c r="H380" s="5">
        <v>1358261102.9100001</v>
      </c>
      <c r="I380" s="5">
        <v>1290234102.9100001</v>
      </c>
      <c r="J380" s="5">
        <v>16193000</v>
      </c>
      <c r="K380" s="5">
        <v>84220000</v>
      </c>
      <c r="L380" s="5">
        <v>419813000</v>
      </c>
      <c r="M380" s="5">
        <v>-30211000</v>
      </c>
      <c r="N380" s="5">
        <v>-58527000</v>
      </c>
    </row>
    <row r="381" spans="1:14" x14ac:dyDescent="0.25">
      <c r="A381" s="3" t="s">
        <v>392</v>
      </c>
      <c r="B381" s="4">
        <v>-16.89</v>
      </c>
      <c r="C381" s="4">
        <v>5.36</v>
      </c>
      <c r="D381" s="4">
        <v>-1.73</v>
      </c>
      <c r="E381" s="4">
        <v>1.518789771303759E-2</v>
      </c>
      <c r="F381" s="3">
        <v>379</v>
      </c>
      <c r="G381" s="3">
        <v>1</v>
      </c>
      <c r="H381" s="5">
        <v>2094264223.0799999</v>
      </c>
      <c r="I381" s="5">
        <v>1980245323.0799999</v>
      </c>
      <c r="J381" s="5">
        <v>0</v>
      </c>
      <c r="K381" s="5">
        <v>114018900</v>
      </c>
      <c r="L381" s="5">
        <v>95488190</v>
      </c>
      <c r="M381" s="5">
        <v>-117238990</v>
      </c>
      <c r="N381" s="5">
        <v>-338362780</v>
      </c>
    </row>
    <row r="382" spans="1:14" x14ac:dyDescent="0.25">
      <c r="A382" s="3" t="s">
        <v>393</v>
      </c>
      <c r="B382" s="4">
        <v>-37.619999999999997</v>
      </c>
      <c r="C382" s="4">
        <v>1.08</v>
      </c>
      <c r="D382" s="4">
        <v>-4.1900000000000004</v>
      </c>
      <c r="E382" s="4">
        <v>1.5177116782824679E-2</v>
      </c>
      <c r="F382" s="3">
        <v>380</v>
      </c>
      <c r="G382" s="3">
        <v>1</v>
      </c>
      <c r="H382" s="5">
        <v>143195608.97</v>
      </c>
      <c r="I382" s="5">
        <v>131780778.97</v>
      </c>
      <c r="J382" s="5">
        <v>0</v>
      </c>
      <c r="K382" s="5">
        <v>11414830</v>
      </c>
      <c r="L382" s="5">
        <v>23050210</v>
      </c>
      <c r="M382" s="5">
        <v>-3503250</v>
      </c>
      <c r="N382" s="5">
        <v>-57464890</v>
      </c>
    </row>
    <row r="383" spans="1:14" x14ac:dyDescent="0.25">
      <c r="A383" s="3" t="s">
        <v>394</v>
      </c>
      <c r="B383" s="4">
        <v>-0.14000000000000001</v>
      </c>
      <c r="C383" s="4">
        <v>13.87</v>
      </c>
      <c r="D383" s="4">
        <v>-76.7</v>
      </c>
      <c r="E383" s="4">
        <v>1.4947525488175109E-2</v>
      </c>
      <c r="F383" s="3">
        <v>381</v>
      </c>
      <c r="G383" s="3">
        <v>1</v>
      </c>
      <c r="H383" s="5">
        <v>7398017.1399999997</v>
      </c>
      <c r="I383" s="5">
        <v>11562637.140000001</v>
      </c>
      <c r="J383" s="5">
        <v>5403180</v>
      </c>
      <c r="K383" s="5">
        <v>1238560</v>
      </c>
      <c r="L383" s="5">
        <v>0</v>
      </c>
      <c r="M383" s="5">
        <v>-83093730</v>
      </c>
      <c r="N383" s="5">
        <v>-97882780</v>
      </c>
    </row>
    <row r="384" spans="1:14" x14ac:dyDescent="0.25">
      <c r="A384" s="3" t="s">
        <v>395</v>
      </c>
      <c r="B384" s="4">
        <v>-43.33</v>
      </c>
      <c r="C384" s="4">
        <v>-0.52</v>
      </c>
      <c r="D384" s="4">
        <v>-0.18</v>
      </c>
      <c r="E384" s="4">
        <v>1.4861715771122479E-2</v>
      </c>
      <c r="F384" s="3">
        <v>382</v>
      </c>
      <c r="G384" s="3">
        <v>1</v>
      </c>
      <c r="H384" s="5">
        <v>155333962.5</v>
      </c>
      <c r="I384" s="5">
        <v>156174962.5</v>
      </c>
      <c r="J384" s="5">
        <v>1519000</v>
      </c>
      <c r="K384" s="5">
        <v>678000</v>
      </c>
      <c r="L384" s="5">
        <v>132369000</v>
      </c>
      <c r="M384" s="5">
        <v>-3604000</v>
      </c>
      <c r="N384" s="5">
        <v>-3529000</v>
      </c>
    </row>
    <row r="385" spans="1:14" x14ac:dyDescent="0.25">
      <c r="A385" s="3" t="s">
        <v>396</v>
      </c>
      <c r="B385" s="4">
        <v>-44.73</v>
      </c>
      <c r="C385" s="4">
        <v>-0.82</v>
      </c>
      <c r="D385" s="4">
        <v>-0.34</v>
      </c>
      <c r="E385" s="4">
        <v>1.483053193303948E-2</v>
      </c>
      <c r="F385" s="3">
        <v>383</v>
      </c>
      <c r="G385" s="3">
        <v>1</v>
      </c>
      <c r="H385" s="5">
        <v>1965167784.8</v>
      </c>
      <c r="I385" s="5">
        <v>2078178784.8</v>
      </c>
      <c r="J385" s="5">
        <v>180439000</v>
      </c>
      <c r="K385" s="5">
        <v>67428000</v>
      </c>
      <c r="L385" s="5">
        <v>249365000</v>
      </c>
      <c r="M385" s="5">
        <v>-46459000</v>
      </c>
      <c r="N385" s="5">
        <v>-186733000</v>
      </c>
    </row>
    <row r="386" spans="1:14" x14ac:dyDescent="0.25">
      <c r="A386" s="3" t="s">
        <v>397</v>
      </c>
      <c r="B386" s="4">
        <v>-42.54</v>
      </c>
      <c r="C386" s="4">
        <v>-0.41</v>
      </c>
      <c r="D386" s="4">
        <v>-0.11</v>
      </c>
      <c r="E386" s="4">
        <v>1.4704101384254939E-2</v>
      </c>
      <c r="F386" s="3">
        <v>384</v>
      </c>
      <c r="G386" s="3">
        <v>1</v>
      </c>
      <c r="H386" s="5">
        <v>1826809402.4000001</v>
      </c>
      <c r="I386" s="5">
        <v>1737623402.4000001</v>
      </c>
      <c r="J386" s="5">
        <v>7069000</v>
      </c>
      <c r="K386" s="5">
        <v>96255000</v>
      </c>
      <c r="L386" s="5">
        <v>1235576000</v>
      </c>
      <c r="M386" s="5">
        <v>-40848000</v>
      </c>
      <c r="N386" s="5">
        <v>-43328000</v>
      </c>
    </row>
    <row r="387" spans="1:14" x14ac:dyDescent="0.25">
      <c r="A387" s="3" t="s">
        <v>398</v>
      </c>
      <c r="B387" s="4">
        <v>-0.9</v>
      </c>
      <c r="C387" s="4">
        <v>8.5500000000000007</v>
      </c>
      <c r="D387" s="4">
        <v>-0.98</v>
      </c>
      <c r="E387" s="4">
        <v>1.4653095434335789E-2</v>
      </c>
      <c r="F387" s="3">
        <v>385</v>
      </c>
      <c r="G387" s="3">
        <v>1</v>
      </c>
      <c r="H387" s="5">
        <v>2339473.7000000002</v>
      </c>
      <c r="I387" s="5">
        <v>5479153.7000000002</v>
      </c>
      <c r="J387" s="5">
        <v>3343710</v>
      </c>
      <c r="K387" s="5">
        <v>204030</v>
      </c>
      <c r="L387" s="5">
        <v>13728920</v>
      </c>
      <c r="M387" s="5">
        <v>-6060660</v>
      </c>
      <c r="N387" s="5">
        <v>-5601230</v>
      </c>
    </row>
    <row r="388" spans="1:14" x14ac:dyDescent="0.25">
      <c r="A388" s="3" t="s">
        <v>399</v>
      </c>
      <c r="B388" s="4">
        <v>-42.2</v>
      </c>
      <c r="C388" s="4">
        <v>-0.42</v>
      </c>
      <c r="D388" s="4">
        <v>-0.06</v>
      </c>
      <c r="E388" s="4">
        <v>1.4474419916427381E-2</v>
      </c>
      <c r="F388" s="3">
        <v>386</v>
      </c>
      <c r="G388" s="3">
        <v>1</v>
      </c>
      <c r="H388" s="5">
        <v>1428534893.96</v>
      </c>
      <c r="I388" s="5">
        <v>1580305893.96</v>
      </c>
      <c r="J388" s="5">
        <v>450708000</v>
      </c>
      <c r="K388" s="5">
        <v>298937000</v>
      </c>
      <c r="L388" s="5">
        <v>467499000</v>
      </c>
      <c r="M388" s="5">
        <v>-37450000</v>
      </c>
      <c r="N388" s="5">
        <v>-54460000</v>
      </c>
    </row>
    <row r="389" spans="1:14" x14ac:dyDescent="0.25">
      <c r="A389" s="3" t="s">
        <v>400</v>
      </c>
      <c r="B389" s="4">
        <v>-3.25</v>
      </c>
      <c r="C389" s="4">
        <v>7.8</v>
      </c>
      <c r="D389" s="4">
        <v>1.0900000000000001</v>
      </c>
      <c r="E389" s="4">
        <v>1.433984674860835E-2</v>
      </c>
      <c r="F389" s="3">
        <v>387</v>
      </c>
      <c r="G389" s="3">
        <v>1</v>
      </c>
      <c r="H389" s="5">
        <v>5410.8682710000003</v>
      </c>
      <c r="I389" s="5">
        <v>2315100.8682710002</v>
      </c>
      <c r="J389" s="5">
        <v>2314160</v>
      </c>
      <c r="K389" s="5">
        <v>4470</v>
      </c>
      <c r="L389" s="5">
        <v>0</v>
      </c>
      <c r="M389" s="5">
        <v>-712490</v>
      </c>
      <c r="N389" s="5">
        <v>4235380</v>
      </c>
    </row>
    <row r="390" spans="1:14" x14ac:dyDescent="0.25">
      <c r="A390" s="3" t="s">
        <v>401</v>
      </c>
      <c r="B390" s="4">
        <v>-40.24</v>
      </c>
      <c r="C390" s="4">
        <v>-7.0000000000000007E-2</v>
      </c>
      <c r="D390" s="4">
        <v>-0.04</v>
      </c>
      <c r="E390" s="4">
        <v>1.4276469898461239E-2</v>
      </c>
      <c r="F390" s="3">
        <v>388</v>
      </c>
      <c r="G390" s="3">
        <v>1</v>
      </c>
      <c r="H390" s="5">
        <v>1117987991.04</v>
      </c>
      <c r="I390" s="5">
        <v>1136999991.04</v>
      </c>
      <c r="J390" s="5">
        <v>19012000</v>
      </c>
      <c r="K390" s="5">
        <v>0</v>
      </c>
      <c r="L390" s="5">
        <v>0</v>
      </c>
      <c r="M390" s="5">
        <v>-28252000</v>
      </c>
      <c r="N390" s="5">
        <v>-42528000</v>
      </c>
    </row>
    <row r="391" spans="1:14" x14ac:dyDescent="0.25">
      <c r="A391" s="3" t="s">
        <v>402</v>
      </c>
      <c r="B391" s="4">
        <v>-42.6</v>
      </c>
      <c r="C391" s="4">
        <v>-0.61</v>
      </c>
      <c r="D391" s="4">
        <v>-0.27</v>
      </c>
      <c r="E391" s="4">
        <v>1.4132500052908149E-2</v>
      </c>
      <c r="F391" s="3">
        <v>389</v>
      </c>
      <c r="G391" s="3">
        <v>1</v>
      </c>
      <c r="H391" s="5">
        <v>1835665179.6600001</v>
      </c>
      <c r="I391" s="5">
        <v>1838204179.6600001</v>
      </c>
      <c r="J391" s="5">
        <v>7199000</v>
      </c>
      <c r="K391" s="5">
        <v>4660000</v>
      </c>
      <c r="L391" s="5">
        <v>1228409000</v>
      </c>
      <c r="M391" s="5">
        <v>-43148000</v>
      </c>
      <c r="N391" s="5">
        <v>-87287000</v>
      </c>
    </row>
    <row r="392" spans="1:14" x14ac:dyDescent="0.25">
      <c r="A392" s="3" t="s">
        <v>403</v>
      </c>
      <c r="B392" s="4">
        <v>-14.22</v>
      </c>
      <c r="C392" s="4">
        <v>6.42</v>
      </c>
      <c r="D392" s="4">
        <v>-15.61</v>
      </c>
      <c r="E392" s="4">
        <v>1.392061324587231E-2</v>
      </c>
      <c r="F392" s="3">
        <v>390</v>
      </c>
      <c r="G392" s="3">
        <v>1</v>
      </c>
      <c r="H392" s="5">
        <v>28314433.949200001</v>
      </c>
      <c r="I392" s="5">
        <v>28563653.949200001</v>
      </c>
      <c r="J392" s="5">
        <v>261260</v>
      </c>
      <c r="K392" s="5">
        <v>12040</v>
      </c>
      <c r="L392" s="5">
        <v>0</v>
      </c>
      <c r="M392" s="5">
        <v>-2008790</v>
      </c>
      <c r="N392" s="5">
        <v>-2086300</v>
      </c>
    </row>
    <row r="393" spans="1:14" x14ac:dyDescent="0.25">
      <c r="A393" s="3" t="s">
        <v>404</v>
      </c>
      <c r="B393" s="4">
        <v>-39</v>
      </c>
      <c r="C393" s="4">
        <v>0.05</v>
      </c>
      <c r="D393" s="4">
        <v>0.04</v>
      </c>
      <c r="E393" s="4">
        <v>1.387116388881717E-2</v>
      </c>
      <c r="F393" s="3">
        <v>391</v>
      </c>
      <c r="G393" s="3">
        <v>1</v>
      </c>
      <c r="H393" s="5">
        <v>39654037.280000001</v>
      </c>
      <c r="I393" s="5">
        <v>40060417.280000001</v>
      </c>
      <c r="J393" s="5">
        <v>500000</v>
      </c>
      <c r="K393" s="5">
        <v>93620</v>
      </c>
      <c r="L393" s="5">
        <v>0</v>
      </c>
      <c r="M393" s="5">
        <v>-1027170</v>
      </c>
      <c r="N393" s="5">
        <v>1752980</v>
      </c>
    </row>
    <row r="394" spans="1:14" x14ac:dyDescent="0.25">
      <c r="A394" s="3" t="s">
        <v>405</v>
      </c>
      <c r="B394" s="4">
        <v>-0.34</v>
      </c>
      <c r="C394" s="4">
        <v>8.3699999999999992</v>
      </c>
      <c r="D394" s="4">
        <v>-0.78</v>
      </c>
      <c r="E394" s="4">
        <v>1.382499552058932E-2</v>
      </c>
      <c r="F394" s="3">
        <v>392</v>
      </c>
      <c r="G394" s="3">
        <v>1</v>
      </c>
      <c r="H394" s="5">
        <v>24.769082999999998</v>
      </c>
      <c r="I394" s="5">
        <v>12976524.769083001</v>
      </c>
      <c r="J394" s="5">
        <v>28278880</v>
      </c>
      <c r="K394" s="5">
        <v>15302380</v>
      </c>
      <c r="L394" s="5">
        <v>0</v>
      </c>
      <c r="M394" s="5">
        <v>-38312260</v>
      </c>
      <c r="N394" s="5">
        <v>-49724050</v>
      </c>
    </row>
    <row r="395" spans="1:14" x14ac:dyDescent="0.25">
      <c r="A395" s="3" t="s">
        <v>406</v>
      </c>
      <c r="B395" s="4">
        <v>-40.42</v>
      </c>
      <c r="C395" s="4">
        <v>-0.33</v>
      </c>
      <c r="D395" s="4">
        <v>-0.19</v>
      </c>
      <c r="E395" s="4">
        <v>1.3607706419970139E-2</v>
      </c>
      <c r="F395" s="3">
        <v>393</v>
      </c>
      <c r="G395" s="3">
        <v>1</v>
      </c>
      <c r="H395" s="5">
        <v>8146037.1118000001</v>
      </c>
      <c r="I395" s="5">
        <v>7817617.1118000001</v>
      </c>
      <c r="J395" s="5">
        <v>0</v>
      </c>
      <c r="K395" s="5">
        <v>328420</v>
      </c>
      <c r="L395" s="5">
        <v>100660</v>
      </c>
      <c r="M395" s="5">
        <v>-193400</v>
      </c>
      <c r="N395" s="5">
        <v>-162350</v>
      </c>
    </row>
    <row r="396" spans="1:14" x14ac:dyDescent="0.25">
      <c r="A396" s="3" t="s">
        <v>407</v>
      </c>
      <c r="B396" s="4">
        <v>-38.619999999999997</v>
      </c>
      <c r="C396" s="4">
        <v>-7.0000000000000007E-2</v>
      </c>
      <c r="D396" s="4">
        <v>-0.05</v>
      </c>
      <c r="E396" s="4">
        <v>1.327188954895718E-2</v>
      </c>
      <c r="F396" s="3">
        <v>394</v>
      </c>
      <c r="G396" s="3">
        <v>1</v>
      </c>
      <c r="H396" s="5">
        <v>201470141.25</v>
      </c>
      <c r="I396" s="5">
        <v>268558771.25</v>
      </c>
      <c r="J396" s="5">
        <v>82487340</v>
      </c>
      <c r="K396" s="5">
        <v>15398710</v>
      </c>
      <c r="L396" s="5">
        <v>282072220</v>
      </c>
      <c r="M396" s="5">
        <v>-6953900</v>
      </c>
      <c r="N396" s="5">
        <v>-23859940</v>
      </c>
    </row>
    <row r="397" spans="1:14" x14ac:dyDescent="0.25">
      <c r="A397" s="3" t="s">
        <v>408</v>
      </c>
      <c r="B397" s="4">
        <v>-0.19</v>
      </c>
      <c r="C397" s="4">
        <v>8.3000000000000007</v>
      </c>
      <c r="D397" s="4">
        <v>-2.2999999999999998</v>
      </c>
      <c r="E397" s="4">
        <v>1.3236690146251069E-2</v>
      </c>
      <c r="F397" s="3">
        <v>395</v>
      </c>
      <c r="G397" s="3">
        <v>1</v>
      </c>
      <c r="H397" s="5">
        <v>8775383.7599999998</v>
      </c>
      <c r="I397" s="5">
        <v>2964323.76</v>
      </c>
      <c r="J397" s="5">
        <v>0</v>
      </c>
      <c r="K397" s="5">
        <v>5811060</v>
      </c>
      <c r="L397" s="5">
        <v>0</v>
      </c>
      <c r="M397" s="5">
        <v>-15569810</v>
      </c>
      <c r="N397" s="5">
        <v>-16754970</v>
      </c>
    </row>
    <row r="398" spans="1:14" x14ac:dyDescent="0.25">
      <c r="A398" s="3" t="s">
        <v>409</v>
      </c>
      <c r="B398" s="4">
        <v>-36.299999999999997</v>
      </c>
      <c r="C398" s="4">
        <v>0.73</v>
      </c>
      <c r="D398" s="4">
        <v>-5.08</v>
      </c>
      <c r="E398" s="4">
        <v>1.31771820199064E-2</v>
      </c>
      <c r="F398" s="3">
        <v>396</v>
      </c>
      <c r="G398" s="3">
        <v>1</v>
      </c>
      <c r="H398" s="5">
        <v>54762764.123499997</v>
      </c>
      <c r="I398" s="5">
        <v>55585064.123499997</v>
      </c>
      <c r="J398" s="5">
        <v>903350</v>
      </c>
      <c r="K398" s="5">
        <v>81050</v>
      </c>
      <c r="L398" s="5">
        <v>0</v>
      </c>
      <c r="M398" s="5">
        <v>-1531290</v>
      </c>
      <c r="N398" s="5">
        <v>-1142120</v>
      </c>
    </row>
    <row r="399" spans="1:14" x14ac:dyDescent="0.25">
      <c r="A399" s="3" t="s">
        <v>410</v>
      </c>
      <c r="B399" s="4">
        <v>-36.26</v>
      </c>
      <c r="C399" s="4">
        <v>0.4</v>
      </c>
      <c r="D399" s="4">
        <v>-0.06</v>
      </c>
      <c r="E399" s="4">
        <v>1.316730750754893E-2</v>
      </c>
      <c r="F399" s="3">
        <v>397</v>
      </c>
      <c r="G399" s="3">
        <v>1</v>
      </c>
      <c r="H399" s="5">
        <v>203478993.99000001</v>
      </c>
      <c r="I399" s="5">
        <v>327376993.99000001</v>
      </c>
      <c r="J399" s="5">
        <v>149700000</v>
      </c>
      <c r="K399" s="5">
        <v>25802000</v>
      </c>
      <c r="L399" s="5">
        <v>144285000</v>
      </c>
      <c r="M399" s="5">
        <v>-9028000</v>
      </c>
      <c r="N399" s="5">
        <v>-13580000</v>
      </c>
    </row>
    <row r="400" spans="1:14" x14ac:dyDescent="0.25">
      <c r="A400" s="3" t="s">
        <v>411</v>
      </c>
      <c r="B400" s="4">
        <v>-12.71</v>
      </c>
      <c r="C400" s="4">
        <v>5.34</v>
      </c>
      <c r="D400" s="4">
        <v>-0.15</v>
      </c>
      <c r="E400" s="4">
        <v>1.2847808716876231E-2</v>
      </c>
      <c r="F400" s="3">
        <v>398</v>
      </c>
      <c r="G400" s="3">
        <v>1</v>
      </c>
      <c r="H400" s="5">
        <v>127805406.02</v>
      </c>
      <c r="I400" s="5">
        <v>1131317406.02</v>
      </c>
      <c r="J400" s="5">
        <v>1032855000</v>
      </c>
      <c r="K400" s="5">
        <v>29343000</v>
      </c>
      <c r="L400" s="5">
        <v>108316000</v>
      </c>
      <c r="M400" s="5">
        <v>-89000000</v>
      </c>
      <c r="N400" s="5">
        <v>-165124000</v>
      </c>
    </row>
    <row r="401" spans="1:14" x14ac:dyDescent="0.25">
      <c r="A401" s="3" t="s">
        <v>412</v>
      </c>
      <c r="B401" s="4">
        <v>-37.29</v>
      </c>
      <c r="C401" s="4">
        <v>0.01</v>
      </c>
      <c r="D401" s="4">
        <v>0.01</v>
      </c>
      <c r="E401" s="4">
        <v>1.2691448206826579E-2</v>
      </c>
      <c r="F401" s="3">
        <v>399</v>
      </c>
      <c r="G401" s="3">
        <v>1</v>
      </c>
      <c r="H401" s="5">
        <v>238242376.71000001</v>
      </c>
      <c r="I401" s="5">
        <v>196145376.71000001</v>
      </c>
      <c r="J401" s="5">
        <v>0</v>
      </c>
      <c r="K401" s="5">
        <v>42097000</v>
      </c>
      <c r="L401" s="5">
        <v>50402000</v>
      </c>
      <c r="M401" s="5">
        <v>-5260000</v>
      </c>
      <c r="N401" s="5">
        <v>781000</v>
      </c>
    </row>
    <row r="402" spans="1:14" x14ac:dyDescent="0.25">
      <c r="A402" s="3" t="s">
        <v>413</v>
      </c>
      <c r="B402" s="4">
        <v>-36.03</v>
      </c>
      <c r="C402" s="4">
        <v>0.27</v>
      </c>
      <c r="D402" s="4">
        <v>0.05</v>
      </c>
      <c r="E402" s="4">
        <v>1.2670558177680759E-2</v>
      </c>
      <c r="F402" s="3">
        <v>400</v>
      </c>
      <c r="G402" s="3">
        <v>1</v>
      </c>
      <c r="H402" s="5">
        <v>533529240.23000002</v>
      </c>
      <c r="I402" s="5">
        <v>474777240.23000002</v>
      </c>
      <c r="J402" s="5">
        <v>0</v>
      </c>
      <c r="K402" s="5">
        <v>58752000</v>
      </c>
      <c r="L402" s="5">
        <v>57613000</v>
      </c>
      <c r="M402" s="5">
        <v>-13178000</v>
      </c>
      <c r="N402" s="5">
        <v>92472000</v>
      </c>
    </row>
    <row r="403" spans="1:14" x14ac:dyDescent="0.25">
      <c r="A403" s="3" t="s">
        <v>414</v>
      </c>
      <c r="B403" s="4">
        <v>-37.06</v>
      </c>
      <c r="C403" s="4">
        <v>0.04</v>
      </c>
      <c r="D403" s="4">
        <v>0.03</v>
      </c>
      <c r="E403" s="4">
        <v>1.263963534999219E-2</v>
      </c>
      <c r="F403" s="3">
        <v>401</v>
      </c>
      <c r="G403" s="3">
        <v>1</v>
      </c>
      <c r="H403" s="5">
        <v>113305688.77</v>
      </c>
      <c r="I403" s="5">
        <v>-758536231.23000002</v>
      </c>
      <c r="J403" s="5">
        <v>164090870</v>
      </c>
      <c r="K403" s="5">
        <v>1035932790</v>
      </c>
      <c r="L403" s="5">
        <v>541487420</v>
      </c>
      <c r="M403" s="5">
        <v>20468090</v>
      </c>
      <c r="N403" s="5">
        <v>38604760</v>
      </c>
    </row>
    <row r="404" spans="1:14" x14ac:dyDescent="0.25">
      <c r="A404" s="3" t="s">
        <v>415</v>
      </c>
      <c r="B404" s="4">
        <v>-52.32</v>
      </c>
      <c r="C404" s="4">
        <v>-3.2</v>
      </c>
      <c r="D404" s="4">
        <v>-0.45</v>
      </c>
      <c r="E404" s="4">
        <v>1.26302412953277E-2</v>
      </c>
      <c r="F404" s="3">
        <v>402</v>
      </c>
      <c r="G404" s="3">
        <v>1</v>
      </c>
      <c r="H404" s="5">
        <v>39856545886.720001</v>
      </c>
      <c r="I404" s="5">
        <v>40431922886.720001</v>
      </c>
      <c r="J404" s="5">
        <v>1130407000</v>
      </c>
      <c r="K404" s="5">
        <v>555030000</v>
      </c>
      <c r="L404" s="5">
        <v>363707000</v>
      </c>
      <c r="M404" s="5">
        <v>-772845000</v>
      </c>
      <c r="N404" s="5">
        <v>-913772000</v>
      </c>
    </row>
    <row r="405" spans="1:14" x14ac:dyDescent="0.25">
      <c r="A405" s="3" t="s">
        <v>416</v>
      </c>
      <c r="B405" s="4">
        <v>-75.319999999999993</v>
      </c>
      <c r="C405" s="4">
        <v>-8.09</v>
      </c>
      <c r="D405" s="4">
        <v>-1.31</v>
      </c>
      <c r="E405" s="4">
        <v>1.2570544282870371E-2</v>
      </c>
      <c r="F405" s="3">
        <v>403</v>
      </c>
      <c r="G405" s="3">
        <v>1</v>
      </c>
      <c r="H405" s="5">
        <v>71155485.239999995</v>
      </c>
      <c r="I405" s="5">
        <v>70597665.239999995</v>
      </c>
      <c r="J405" s="5">
        <v>0</v>
      </c>
      <c r="K405" s="5">
        <v>557820</v>
      </c>
      <c r="L405" s="5">
        <v>1440100</v>
      </c>
      <c r="M405" s="5">
        <v>-937340</v>
      </c>
      <c r="N405" s="5">
        <v>-939440</v>
      </c>
    </row>
    <row r="406" spans="1:14" x14ac:dyDescent="0.25">
      <c r="A406" s="3" t="s">
        <v>417</v>
      </c>
      <c r="B406" s="4">
        <v>-39.229999999999997</v>
      </c>
      <c r="C406" s="4">
        <v>-0.5</v>
      </c>
      <c r="D406" s="4">
        <v>-0.32</v>
      </c>
      <c r="E406" s="4">
        <v>1.2354922277264559E-2</v>
      </c>
      <c r="F406" s="3">
        <v>404</v>
      </c>
      <c r="G406" s="3">
        <v>1</v>
      </c>
      <c r="H406" s="5">
        <v>57538457.909999996</v>
      </c>
      <c r="I406" s="5">
        <v>55544267.909999996</v>
      </c>
      <c r="J406" s="5">
        <v>0</v>
      </c>
      <c r="K406" s="5">
        <v>1994190</v>
      </c>
      <c r="L406" s="5">
        <v>1335530</v>
      </c>
      <c r="M406" s="5">
        <v>-1415700</v>
      </c>
      <c r="N406" s="5">
        <v>-1311380</v>
      </c>
    </row>
    <row r="407" spans="1:14" x14ac:dyDescent="0.25">
      <c r="A407" s="3" t="s">
        <v>418</v>
      </c>
      <c r="B407" s="4">
        <v>-37.81</v>
      </c>
      <c r="C407" s="4">
        <v>-0.21</v>
      </c>
      <c r="D407" s="4">
        <v>-0.15</v>
      </c>
      <c r="E407" s="4">
        <v>1.234676312351644E-2</v>
      </c>
      <c r="F407" s="3">
        <v>405</v>
      </c>
      <c r="G407" s="3">
        <v>1</v>
      </c>
      <c r="H407" s="5">
        <v>874277268.12</v>
      </c>
      <c r="I407" s="5">
        <v>833626498.12</v>
      </c>
      <c r="J407" s="5">
        <v>0</v>
      </c>
      <c r="K407" s="5">
        <v>40650770</v>
      </c>
      <c r="L407" s="5">
        <v>43472170</v>
      </c>
      <c r="M407" s="5">
        <v>-22046450</v>
      </c>
      <c r="N407" s="5">
        <v>-17930020</v>
      </c>
    </row>
    <row r="408" spans="1:14" x14ac:dyDescent="0.25">
      <c r="A408" s="3" t="s">
        <v>419</v>
      </c>
      <c r="B408" s="4">
        <v>-188.21</v>
      </c>
      <c r="C408" s="4">
        <v>0.13</v>
      </c>
      <c r="D408" s="4">
        <v>-488.51</v>
      </c>
      <c r="E408" s="4">
        <v>1.220885750697627E-2</v>
      </c>
      <c r="F408" s="3">
        <v>406</v>
      </c>
      <c r="G408" s="3">
        <v>1</v>
      </c>
      <c r="H408" s="5">
        <v>110411348</v>
      </c>
      <c r="I408" s="5">
        <v>113870128</v>
      </c>
      <c r="J408" s="5">
        <v>3460760</v>
      </c>
      <c r="K408" s="5">
        <v>1980</v>
      </c>
      <c r="L408" s="5">
        <v>0</v>
      </c>
      <c r="M408" s="5">
        <v>-605030</v>
      </c>
      <c r="N408" s="5">
        <v>-967240</v>
      </c>
    </row>
    <row r="409" spans="1:14" x14ac:dyDescent="0.25">
      <c r="A409" s="3" t="s">
        <v>420</v>
      </c>
      <c r="B409" s="4">
        <v>-36.729999999999997</v>
      </c>
      <c r="C409" s="4">
        <v>-0.06</v>
      </c>
      <c r="D409" s="4">
        <v>-0.05</v>
      </c>
      <c r="E409" s="4">
        <v>1.2131023279223999E-2</v>
      </c>
      <c r="F409" s="3">
        <v>407</v>
      </c>
      <c r="G409" s="3">
        <v>1</v>
      </c>
      <c r="H409" s="5">
        <v>75854110</v>
      </c>
      <c r="I409" s="5">
        <v>64250320</v>
      </c>
      <c r="J409" s="5">
        <v>764310</v>
      </c>
      <c r="K409" s="5">
        <v>12368100</v>
      </c>
      <c r="L409" s="5">
        <v>44027940</v>
      </c>
      <c r="M409" s="5">
        <v>-1749030</v>
      </c>
      <c r="N409" s="5">
        <v>-2204660</v>
      </c>
    </row>
    <row r="410" spans="1:14" x14ac:dyDescent="0.25">
      <c r="A410" s="3" t="s">
        <v>421</v>
      </c>
      <c r="B410" s="4">
        <v>-16.190000000000001</v>
      </c>
      <c r="C410" s="4">
        <v>4.4800000000000004</v>
      </c>
      <c r="D410" s="4">
        <v>-2.17</v>
      </c>
      <c r="E410" s="4">
        <v>1.2127138727559611E-2</v>
      </c>
      <c r="F410" s="3">
        <v>408</v>
      </c>
      <c r="G410" s="3">
        <v>1</v>
      </c>
      <c r="H410" s="5">
        <v>6393622.1699999999</v>
      </c>
      <c r="I410" s="5">
        <v>6670322.1699999999</v>
      </c>
      <c r="J410" s="5">
        <v>305310</v>
      </c>
      <c r="K410" s="5">
        <v>28610</v>
      </c>
      <c r="L410" s="5">
        <v>0</v>
      </c>
      <c r="M410" s="5">
        <v>-412030</v>
      </c>
      <c r="N410" s="5">
        <v>-516270</v>
      </c>
    </row>
    <row r="411" spans="1:14" x14ac:dyDescent="0.25">
      <c r="A411" s="3" t="s">
        <v>422</v>
      </c>
      <c r="B411" s="4">
        <v>-44.31</v>
      </c>
      <c r="C411" s="4">
        <v>-1.68</v>
      </c>
      <c r="D411" s="4">
        <v>-0.47</v>
      </c>
      <c r="E411" s="4">
        <v>1.206065774501127E-2</v>
      </c>
      <c r="F411" s="3">
        <v>409</v>
      </c>
      <c r="G411" s="3">
        <v>1</v>
      </c>
      <c r="H411" s="5">
        <v>149423495.68000001</v>
      </c>
      <c r="I411" s="5">
        <v>133160495.68000001</v>
      </c>
      <c r="J411" s="5">
        <v>0</v>
      </c>
      <c r="K411" s="5">
        <v>16263000</v>
      </c>
      <c r="L411" s="5">
        <v>53494000</v>
      </c>
      <c r="M411" s="5">
        <v>-3005000</v>
      </c>
      <c r="N411" s="5">
        <v>-31404000</v>
      </c>
    </row>
    <row r="412" spans="1:14" x14ac:dyDescent="0.25">
      <c r="A412" s="3" t="s">
        <v>423</v>
      </c>
      <c r="B412" s="4">
        <v>-0.48</v>
      </c>
      <c r="C412" s="4">
        <v>7.77</v>
      </c>
      <c r="D412" s="4">
        <v>-1.41</v>
      </c>
      <c r="E412" s="4">
        <v>1.205649930509806E-2</v>
      </c>
      <c r="F412" s="3">
        <v>410</v>
      </c>
      <c r="G412" s="3">
        <v>1</v>
      </c>
      <c r="H412" s="5">
        <v>32587899.600000001</v>
      </c>
      <c r="I412" s="5">
        <v>31299899.59999999</v>
      </c>
      <c r="J412" s="5">
        <v>45041000</v>
      </c>
      <c r="K412" s="5">
        <v>46329000</v>
      </c>
      <c r="L412" s="5">
        <v>7566000</v>
      </c>
      <c r="M412" s="5">
        <v>-64594000</v>
      </c>
      <c r="N412" s="5">
        <v>-76579000</v>
      </c>
    </row>
    <row r="413" spans="1:14" x14ac:dyDescent="0.25">
      <c r="A413" s="3" t="s">
        <v>424</v>
      </c>
      <c r="B413" s="4">
        <v>-37.119999999999997</v>
      </c>
      <c r="C413" s="4">
        <v>-0.18</v>
      </c>
      <c r="D413" s="4">
        <v>-0.16</v>
      </c>
      <c r="E413" s="4">
        <v>1.200445972488396E-2</v>
      </c>
      <c r="F413" s="3">
        <v>411</v>
      </c>
      <c r="G413" s="3">
        <v>1</v>
      </c>
      <c r="H413" s="5">
        <v>4249910798.0999999</v>
      </c>
      <c r="I413" s="5">
        <v>3968303798.0999999</v>
      </c>
      <c r="J413" s="5">
        <v>0</v>
      </c>
      <c r="K413" s="5">
        <v>281607000</v>
      </c>
      <c r="L413" s="5">
        <v>584386000</v>
      </c>
      <c r="M413" s="5">
        <v>-106905000</v>
      </c>
      <c r="N413" s="5">
        <v>-191010000</v>
      </c>
    </row>
    <row r="414" spans="1:14" x14ac:dyDescent="0.25">
      <c r="A414" s="3" t="s">
        <v>425</v>
      </c>
      <c r="B414" s="4">
        <v>-39.04</v>
      </c>
      <c r="C414" s="4">
        <v>-0.63</v>
      </c>
      <c r="D414" s="4">
        <v>-0.28999999999999998</v>
      </c>
      <c r="E414" s="4">
        <v>1.186749755756465E-2</v>
      </c>
      <c r="F414" s="3">
        <v>412</v>
      </c>
      <c r="G414" s="3">
        <v>1</v>
      </c>
      <c r="H414" s="5">
        <v>527710000</v>
      </c>
      <c r="I414" s="5">
        <v>511403000</v>
      </c>
      <c r="J414" s="5">
        <v>29469000</v>
      </c>
      <c r="K414" s="5">
        <v>45776000</v>
      </c>
      <c r="L414" s="5">
        <v>127628000</v>
      </c>
      <c r="M414" s="5">
        <v>-13100000</v>
      </c>
      <c r="N414" s="5">
        <v>-48531000</v>
      </c>
    </row>
    <row r="415" spans="1:14" x14ac:dyDescent="0.25">
      <c r="A415" s="3" t="s">
        <v>426</v>
      </c>
      <c r="B415" s="4">
        <v>0.12</v>
      </c>
      <c r="C415" s="4">
        <v>7.88</v>
      </c>
      <c r="D415" s="4">
        <v>-3.11</v>
      </c>
      <c r="E415" s="4">
        <v>1.167504212225645E-2</v>
      </c>
      <c r="F415" s="3">
        <v>413</v>
      </c>
      <c r="G415" s="3">
        <v>1</v>
      </c>
      <c r="H415" s="5">
        <v>2171143.4706000001</v>
      </c>
      <c r="I415" s="5">
        <v>-1779856.5294000001</v>
      </c>
      <c r="J415" s="5">
        <v>0</v>
      </c>
      <c r="K415" s="5">
        <v>3951000</v>
      </c>
      <c r="L415" s="5">
        <v>0</v>
      </c>
      <c r="M415" s="5">
        <v>-14364000</v>
      </c>
      <c r="N415" s="5">
        <v>-13162000</v>
      </c>
    </row>
    <row r="416" spans="1:14" x14ac:dyDescent="0.25">
      <c r="A416" s="3" t="s">
        <v>427</v>
      </c>
      <c r="B416" s="4">
        <v>-34.61</v>
      </c>
      <c r="C416" s="4">
        <v>0.42</v>
      </c>
      <c r="D416" s="4">
        <v>-2.96</v>
      </c>
      <c r="E416" s="4">
        <v>1.1644458074083361E-2</v>
      </c>
      <c r="F416" s="3">
        <v>414</v>
      </c>
      <c r="G416" s="3">
        <v>1</v>
      </c>
      <c r="H416" s="5">
        <v>4329600</v>
      </c>
      <c r="I416" s="5">
        <v>4356020</v>
      </c>
      <c r="J416" s="5">
        <v>26420</v>
      </c>
      <c r="K416" s="5">
        <v>0</v>
      </c>
      <c r="L416" s="5">
        <v>0</v>
      </c>
      <c r="M416" s="5">
        <v>-125860</v>
      </c>
      <c r="N416" s="5">
        <v>-138710</v>
      </c>
    </row>
    <row r="417" spans="1:14" x14ac:dyDescent="0.25">
      <c r="A417" s="3" t="s">
        <v>428</v>
      </c>
      <c r="B417" s="4">
        <v>-43.85</v>
      </c>
      <c r="C417" s="4">
        <v>-1.78</v>
      </c>
      <c r="D417" s="4">
        <v>-0.56000000000000005</v>
      </c>
      <c r="E417" s="4">
        <v>1.1469656973603569E-2</v>
      </c>
      <c r="F417" s="3">
        <v>415</v>
      </c>
      <c r="G417" s="3">
        <v>1</v>
      </c>
      <c r="H417" s="5">
        <v>231999512.24000001</v>
      </c>
      <c r="I417" s="5">
        <v>232507052.24000001</v>
      </c>
      <c r="J417" s="5">
        <v>669440</v>
      </c>
      <c r="K417" s="5">
        <v>161900</v>
      </c>
      <c r="L417" s="5">
        <v>9686980</v>
      </c>
      <c r="M417" s="5">
        <v>-5302500</v>
      </c>
      <c r="N417" s="5">
        <v>-5561710</v>
      </c>
    </row>
    <row r="418" spans="1:14" x14ac:dyDescent="0.25">
      <c r="A418" s="3" t="s">
        <v>429</v>
      </c>
      <c r="B418" s="4">
        <v>-39.01</v>
      </c>
      <c r="C418" s="4">
        <v>-0.81</v>
      </c>
      <c r="D418" s="4">
        <v>-0.08</v>
      </c>
      <c r="E418" s="4">
        <v>1.13693545723408E-2</v>
      </c>
      <c r="F418" s="3">
        <v>416</v>
      </c>
      <c r="G418" s="3">
        <v>1</v>
      </c>
      <c r="H418" s="5">
        <v>377032823.60000002</v>
      </c>
      <c r="I418" s="5">
        <v>504621823.60000002</v>
      </c>
      <c r="J418" s="5">
        <v>216466000</v>
      </c>
      <c r="K418" s="5">
        <v>88877000</v>
      </c>
      <c r="L418" s="5">
        <v>332927000</v>
      </c>
      <c r="M418" s="5">
        <v>-12937000</v>
      </c>
      <c r="N418" s="5">
        <v>-27030000</v>
      </c>
    </row>
    <row r="419" spans="1:14" x14ac:dyDescent="0.25">
      <c r="A419" s="3" t="s">
        <v>430</v>
      </c>
      <c r="B419" s="4">
        <v>-33.28</v>
      </c>
      <c r="C419" s="4">
        <v>1.17</v>
      </c>
      <c r="D419" s="4">
        <v>-11.37</v>
      </c>
      <c r="E419" s="4">
        <v>1.1366002890773981E-2</v>
      </c>
      <c r="F419" s="3">
        <v>417</v>
      </c>
      <c r="G419" s="3">
        <v>1</v>
      </c>
      <c r="H419" s="5">
        <v>2265118.9054999999</v>
      </c>
      <c r="I419" s="5">
        <v>2316608.9054999999</v>
      </c>
      <c r="J419" s="5">
        <v>52610</v>
      </c>
      <c r="K419" s="5">
        <v>1120</v>
      </c>
      <c r="L419" s="5">
        <v>0</v>
      </c>
      <c r="M419" s="5">
        <v>-69600</v>
      </c>
      <c r="N419" s="5">
        <v>-69600</v>
      </c>
    </row>
    <row r="420" spans="1:14" x14ac:dyDescent="0.25">
      <c r="A420" s="3" t="s">
        <v>431</v>
      </c>
      <c r="B420" s="4">
        <v>-35.99</v>
      </c>
      <c r="C420" s="4">
        <v>0.04</v>
      </c>
      <c r="D420" s="4">
        <v>-3.49</v>
      </c>
      <c r="E420" s="4">
        <v>1.129837298512283E-2</v>
      </c>
      <c r="F420" s="3">
        <v>418</v>
      </c>
      <c r="G420" s="3">
        <v>1</v>
      </c>
      <c r="H420" s="5">
        <v>2006.0334</v>
      </c>
      <c r="I420" s="5">
        <v>5743516.0334000001</v>
      </c>
      <c r="J420" s="5">
        <v>5741510</v>
      </c>
      <c r="K420" s="5">
        <v>0</v>
      </c>
      <c r="L420" s="5">
        <v>252120</v>
      </c>
      <c r="M420" s="5">
        <v>-159570</v>
      </c>
      <c r="N420" s="5">
        <v>-466910</v>
      </c>
    </row>
    <row r="421" spans="1:14" x14ac:dyDescent="0.25">
      <c r="A421" s="3" t="s">
        <v>432</v>
      </c>
      <c r="B421" s="4">
        <v>-32.950000000000003</v>
      </c>
      <c r="C421" s="4">
        <v>0.45</v>
      </c>
      <c r="D421" s="4">
        <v>-7.0000000000000007E-2</v>
      </c>
      <c r="E421" s="4">
        <v>1.126121943031108E-2</v>
      </c>
      <c r="F421" s="3">
        <v>419</v>
      </c>
      <c r="G421" s="3">
        <v>1</v>
      </c>
      <c r="H421" s="5">
        <v>6747529.7999999998</v>
      </c>
      <c r="I421" s="5">
        <v>38200219.799999997</v>
      </c>
      <c r="J421" s="5">
        <v>32133020</v>
      </c>
      <c r="K421" s="5">
        <v>680330</v>
      </c>
      <c r="L421" s="5">
        <v>39492010</v>
      </c>
      <c r="M421" s="5">
        <v>-1159230</v>
      </c>
      <c r="N421" s="5">
        <v>-2423960</v>
      </c>
    </row>
    <row r="422" spans="1:14" x14ac:dyDescent="0.25">
      <c r="A422" s="3" t="s">
        <v>433</v>
      </c>
      <c r="B422" s="4">
        <v>-35.869999999999997</v>
      </c>
      <c r="C422" s="4">
        <v>-0.24</v>
      </c>
      <c r="D422" s="4">
        <v>-0.15</v>
      </c>
      <c r="E422" s="4">
        <v>1.105937639724004E-2</v>
      </c>
      <c r="F422" s="3">
        <v>420</v>
      </c>
      <c r="G422" s="3">
        <v>1</v>
      </c>
      <c r="H422" s="5">
        <v>4853209389.1199999</v>
      </c>
      <c r="I422" s="5">
        <v>4747760389.1199999</v>
      </c>
      <c r="J422" s="5">
        <v>230000</v>
      </c>
      <c r="K422" s="5">
        <v>105679000</v>
      </c>
      <c r="L422" s="5">
        <v>107936000</v>
      </c>
      <c r="M422" s="5">
        <v>-132371000</v>
      </c>
      <c r="N422" s="5">
        <v>-107348000</v>
      </c>
    </row>
    <row r="423" spans="1:14" x14ac:dyDescent="0.25">
      <c r="A423" s="3" t="s">
        <v>434</v>
      </c>
      <c r="B423" s="4">
        <v>-14.51</v>
      </c>
      <c r="C423" s="4">
        <v>4.3499999999999996</v>
      </c>
      <c r="D423" s="4">
        <v>-0.42</v>
      </c>
      <c r="E423" s="4">
        <v>1.104931493032617E-2</v>
      </c>
      <c r="F423" s="3">
        <v>421</v>
      </c>
      <c r="G423" s="3">
        <v>1</v>
      </c>
      <c r="H423" s="5">
        <v>7082507063.6400003</v>
      </c>
      <c r="I423" s="5">
        <v>7644767063.6400003</v>
      </c>
      <c r="J423" s="5">
        <v>657117000</v>
      </c>
      <c r="K423" s="5">
        <v>94857000</v>
      </c>
      <c r="L423" s="5">
        <v>18474000</v>
      </c>
      <c r="M423" s="5">
        <v>-526717000</v>
      </c>
      <c r="N423" s="5">
        <v>-589526000</v>
      </c>
    </row>
    <row r="424" spans="1:14" x14ac:dyDescent="0.25">
      <c r="A424" s="3" t="s">
        <v>435</v>
      </c>
      <c r="B424" s="4">
        <v>-51.27</v>
      </c>
      <c r="C424" s="4">
        <v>-3.58</v>
      </c>
      <c r="D424" s="4">
        <v>-0.19</v>
      </c>
      <c r="E424" s="4">
        <v>1.0932572321600329E-2</v>
      </c>
      <c r="F424" s="3">
        <v>422</v>
      </c>
      <c r="G424" s="3">
        <v>1</v>
      </c>
      <c r="H424" s="5">
        <v>673631.85959999997</v>
      </c>
      <c r="I424" s="5">
        <v>1909389631.8596001</v>
      </c>
      <c r="J424" s="5">
        <v>1921044000</v>
      </c>
      <c r="K424" s="5">
        <v>12328000</v>
      </c>
      <c r="L424" s="5">
        <v>18249000</v>
      </c>
      <c r="M424" s="5">
        <v>-37239000</v>
      </c>
      <c r="N424" s="5">
        <v>-360499000</v>
      </c>
    </row>
    <row r="425" spans="1:14" x14ac:dyDescent="0.25">
      <c r="A425" s="3" t="s">
        <v>436</v>
      </c>
      <c r="B425" s="4">
        <v>-35.1</v>
      </c>
      <c r="C425" s="4">
        <v>-0.15</v>
      </c>
      <c r="D425" s="4">
        <v>-0.11</v>
      </c>
      <c r="E425" s="4">
        <v>1.085056612800523E-2</v>
      </c>
      <c r="F425" s="3">
        <v>423</v>
      </c>
      <c r="G425" s="3">
        <v>1</v>
      </c>
      <c r="H425" s="5">
        <v>75590234.780000001</v>
      </c>
      <c r="I425" s="5">
        <v>63220234.780000001</v>
      </c>
      <c r="J425" s="5">
        <v>397000</v>
      </c>
      <c r="K425" s="5">
        <v>12767000</v>
      </c>
      <c r="L425" s="5">
        <v>48122000</v>
      </c>
      <c r="M425" s="5">
        <v>-1801000</v>
      </c>
      <c r="N425" s="5">
        <v>-4947000</v>
      </c>
    </row>
    <row r="426" spans="1:14" x14ac:dyDescent="0.25">
      <c r="A426" s="3" t="s">
        <v>437</v>
      </c>
      <c r="B426" s="4">
        <v>-54.8</v>
      </c>
      <c r="C426" s="4">
        <v>-4.3099999999999996</v>
      </c>
      <c r="D426" s="4">
        <v>-1.1299999999999999</v>
      </c>
      <c r="E426" s="4">
        <v>1.082680012232768E-2</v>
      </c>
      <c r="F426" s="3">
        <v>424</v>
      </c>
      <c r="G426" s="3">
        <v>1</v>
      </c>
      <c r="H426" s="5">
        <v>41639881.200000003</v>
      </c>
      <c r="I426" s="5">
        <v>41933221.200000003</v>
      </c>
      <c r="J426" s="5">
        <v>299070</v>
      </c>
      <c r="K426" s="5">
        <v>5730</v>
      </c>
      <c r="L426" s="5">
        <v>44140</v>
      </c>
      <c r="M426" s="5">
        <v>-765160</v>
      </c>
      <c r="N426" s="5">
        <v>-919230</v>
      </c>
    </row>
    <row r="427" spans="1:14" x14ac:dyDescent="0.25">
      <c r="A427" s="3" t="s">
        <v>438</v>
      </c>
      <c r="B427" s="4">
        <v>-35.29</v>
      </c>
      <c r="C427" s="4">
        <v>-0.21</v>
      </c>
      <c r="D427" s="4">
        <v>-0.17</v>
      </c>
      <c r="E427" s="4">
        <v>1.0783225234697911E-2</v>
      </c>
      <c r="F427" s="3">
        <v>425</v>
      </c>
      <c r="G427" s="3">
        <v>1</v>
      </c>
      <c r="H427" s="5">
        <v>3692599019</v>
      </c>
      <c r="I427" s="5">
        <v>3547977019</v>
      </c>
      <c r="J427" s="5">
        <v>0</v>
      </c>
      <c r="K427" s="5">
        <v>144622000</v>
      </c>
      <c r="L427" s="5">
        <v>284865000</v>
      </c>
      <c r="M427" s="5">
        <v>-100535000</v>
      </c>
      <c r="N427" s="5">
        <v>-117126000</v>
      </c>
    </row>
    <row r="428" spans="1:14" x14ac:dyDescent="0.25">
      <c r="A428" s="3" t="s">
        <v>439</v>
      </c>
      <c r="B428" s="4">
        <v>-0.44</v>
      </c>
      <c r="C428" s="4">
        <v>7.6</v>
      </c>
      <c r="D428" s="4">
        <v>-5.35</v>
      </c>
      <c r="E428" s="4">
        <v>1.078051469152665E-2</v>
      </c>
      <c r="F428" s="3">
        <v>426</v>
      </c>
      <c r="G428" s="3">
        <v>1</v>
      </c>
      <c r="H428" s="5">
        <v>8618280.2300000004</v>
      </c>
      <c r="I428" s="5">
        <v>18292280.23</v>
      </c>
      <c r="J428" s="5">
        <v>13186000</v>
      </c>
      <c r="K428" s="5">
        <v>3512000</v>
      </c>
      <c r="L428" s="5">
        <v>1373000</v>
      </c>
      <c r="M428" s="5">
        <v>-41606000</v>
      </c>
      <c r="N428" s="5">
        <v>-65393000</v>
      </c>
    </row>
    <row r="429" spans="1:14" x14ac:dyDescent="0.25">
      <c r="A429" s="3" t="s">
        <v>440</v>
      </c>
      <c r="B429" s="4">
        <v>-0.04</v>
      </c>
      <c r="C429" s="4">
        <v>7.45</v>
      </c>
      <c r="D429" s="4">
        <v>-2.52</v>
      </c>
      <c r="E429" s="4">
        <v>1.064545687986084E-2</v>
      </c>
      <c r="F429" s="3">
        <v>427</v>
      </c>
      <c r="G429" s="3">
        <v>1</v>
      </c>
      <c r="H429" s="5">
        <v>326.4785</v>
      </c>
      <c r="I429" s="5">
        <v>3145326.4785000002</v>
      </c>
      <c r="J429" s="5">
        <v>5015000</v>
      </c>
      <c r="K429" s="5">
        <v>1870000</v>
      </c>
      <c r="L429" s="5">
        <v>12044000</v>
      </c>
      <c r="M429" s="5">
        <v>-78668000</v>
      </c>
      <c r="N429" s="5">
        <v>-101893000</v>
      </c>
    </row>
    <row r="430" spans="1:14" x14ac:dyDescent="0.25">
      <c r="A430" s="3" t="s">
        <v>441</v>
      </c>
      <c r="B430" s="4">
        <v>-32.840000000000003</v>
      </c>
      <c r="C430" s="4">
        <v>0.28000000000000003</v>
      </c>
      <c r="D430" s="4">
        <v>-0.8</v>
      </c>
      <c r="E430" s="4">
        <v>1.056112790823951E-2</v>
      </c>
      <c r="F430" s="3">
        <v>428</v>
      </c>
      <c r="G430" s="3">
        <v>1</v>
      </c>
      <c r="H430" s="5">
        <v>1865824157.1600001</v>
      </c>
      <c r="I430" s="5">
        <v>1658317157.1600001</v>
      </c>
      <c r="J430" s="5">
        <v>100000</v>
      </c>
      <c r="K430" s="5">
        <v>207607000</v>
      </c>
      <c r="L430" s="5">
        <v>228000000</v>
      </c>
      <c r="M430" s="5">
        <v>-50493000</v>
      </c>
      <c r="N430" s="5">
        <v>-283413000</v>
      </c>
    </row>
    <row r="431" spans="1:14" x14ac:dyDescent="0.25">
      <c r="A431" s="3" t="s">
        <v>442</v>
      </c>
      <c r="B431" s="4">
        <v>-1.45</v>
      </c>
      <c r="C431" s="4">
        <v>6.99</v>
      </c>
      <c r="D431" s="4">
        <v>-0.71</v>
      </c>
      <c r="E431" s="4">
        <v>1.0538182771012259E-2</v>
      </c>
      <c r="F431" s="3">
        <v>429</v>
      </c>
      <c r="G431" s="3">
        <v>1</v>
      </c>
      <c r="H431" s="5">
        <v>242820</v>
      </c>
      <c r="I431" s="5">
        <v>2415820</v>
      </c>
      <c r="J431" s="5">
        <v>2380000</v>
      </c>
      <c r="K431" s="5">
        <v>207000</v>
      </c>
      <c r="L431" s="5">
        <v>4548000</v>
      </c>
      <c r="M431" s="5">
        <v>-1665000</v>
      </c>
      <c r="N431" s="5">
        <v>-3208000</v>
      </c>
    </row>
    <row r="432" spans="1:14" x14ac:dyDescent="0.25">
      <c r="A432" s="3" t="s">
        <v>443</v>
      </c>
      <c r="B432" s="4">
        <v>-33.549999999999997</v>
      </c>
      <c r="C432" s="4">
        <v>0.05</v>
      </c>
      <c r="D432" s="4">
        <v>-0.04</v>
      </c>
      <c r="E432" s="4">
        <v>1.0482614571289919E-2</v>
      </c>
      <c r="F432" s="3">
        <v>430</v>
      </c>
      <c r="G432" s="3">
        <v>1</v>
      </c>
      <c r="H432" s="5">
        <v>7225.1616169999998</v>
      </c>
      <c r="I432" s="5">
        <v>1062905.1616169999</v>
      </c>
      <c r="J432" s="5">
        <v>1076240</v>
      </c>
      <c r="K432" s="5">
        <v>20560</v>
      </c>
      <c r="L432" s="5">
        <v>35840</v>
      </c>
      <c r="M432" s="5">
        <v>-31680</v>
      </c>
      <c r="N432" s="5">
        <v>-31680</v>
      </c>
    </row>
    <row r="433" spans="1:14" x14ac:dyDescent="0.25">
      <c r="A433" s="3" t="s">
        <v>444</v>
      </c>
      <c r="B433" s="4">
        <v>-30.91</v>
      </c>
      <c r="C433" s="4">
        <v>0.61</v>
      </c>
      <c r="D433" s="4">
        <v>-0.1</v>
      </c>
      <c r="E433" s="4">
        <v>1.045513210060609E-2</v>
      </c>
      <c r="F433" s="3">
        <v>431</v>
      </c>
      <c r="G433" s="3">
        <v>1</v>
      </c>
      <c r="H433" s="5">
        <v>1980266359.26</v>
      </c>
      <c r="I433" s="5">
        <v>3103185359.2600002</v>
      </c>
      <c r="J433" s="5">
        <v>1165766000</v>
      </c>
      <c r="K433" s="5">
        <v>42847000</v>
      </c>
      <c r="L433" s="5">
        <v>142165000</v>
      </c>
      <c r="M433" s="5">
        <v>-100407000</v>
      </c>
      <c r="N433" s="5">
        <v>-158546000</v>
      </c>
    </row>
    <row r="434" spans="1:14" x14ac:dyDescent="0.25">
      <c r="A434" s="3" t="s">
        <v>445</v>
      </c>
      <c r="B434" s="4">
        <v>-33.729999999999997</v>
      </c>
      <c r="C434" s="4">
        <v>-0.02</v>
      </c>
      <c r="D434" s="4">
        <v>-0.01</v>
      </c>
      <c r="E434" s="4">
        <v>1.0397552104468631E-2</v>
      </c>
      <c r="F434" s="3">
        <v>432</v>
      </c>
      <c r="G434" s="3">
        <v>1</v>
      </c>
      <c r="H434" s="5">
        <v>510167349.77999997</v>
      </c>
      <c r="I434" s="5">
        <v>449410349.77999997</v>
      </c>
      <c r="J434" s="5">
        <v>5708000</v>
      </c>
      <c r="K434" s="5">
        <v>66465000</v>
      </c>
      <c r="L434" s="5">
        <v>200453000</v>
      </c>
      <c r="M434" s="5">
        <v>-13323000</v>
      </c>
      <c r="N434" s="5">
        <v>-6020000</v>
      </c>
    </row>
    <row r="435" spans="1:14" x14ac:dyDescent="0.25">
      <c r="A435" s="3" t="s">
        <v>446</v>
      </c>
      <c r="B435" s="4">
        <v>0.05</v>
      </c>
      <c r="C435" s="4">
        <v>7.23</v>
      </c>
      <c r="D435" s="4">
        <v>-1.05</v>
      </c>
      <c r="E435" s="4">
        <v>1.023766158116244E-2</v>
      </c>
      <c r="F435" s="3">
        <v>433</v>
      </c>
      <c r="G435" s="3">
        <v>1</v>
      </c>
      <c r="H435" s="5">
        <v>17748371.260000002</v>
      </c>
      <c r="I435" s="5">
        <v>-2248628.7399999979</v>
      </c>
      <c r="J435" s="5">
        <v>0</v>
      </c>
      <c r="K435" s="5">
        <v>19997000</v>
      </c>
      <c r="L435" s="5">
        <v>10908000</v>
      </c>
      <c r="M435" s="5">
        <v>-44339000</v>
      </c>
      <c r="N435" s="5">
        <v>-43389000</v>
      </c>
    </row>
    <row r="436" spans="1:14" x14ac:dyDescent="0.25">
      <c r="A436" s="3" t="s">
        <v>447</v>
      </c>
      <c r="B436" s="4">
        <v>0.59</v>
      </c>
      <c r="C436" s="4">
        <v>7.28</v>
      </c>
      <c r="D436" s="4">
        <v>-0.48</v>
      </c>
      <c r="E436" s="4">
        <v>1.015786702351038E-2</v>
      </c>
      <c r="F436" s="3">
        <v>434</v>
      </c>
      <c r="G436" s="3">
        <v>1</v>
      </c>
      <c r="H436" s="5">
        <v>42221254.32</v>
      </c>
      <c r="I436" s="5">
        <v>-42024745.68</v>
      </c>
      <c r="J436" s="5">
        <v>23504000</v>
      </c>
      <c r="K436" s="5">
        <v>107750000</v>
      </c>
      <c r="L436" s="5">
        <v>40497000</v>
      </c>
      <c r="M436" s="5">
        <v>-71708000</v>
      </c>
      <c r="N436" s="5">
        <v>-69192000</v>
      </c>
    </row>
    <row r="437" spans="1:14" x14ac:dyDescent="0.25">
      <c r="A437" s="3" t="s">
        <v>448</v>
      </c>
      <c r="B437" s="4">
        <v>-30.54</v>
      </c>
      <c r="C437" s="4">
        <v>0.59</v>
      </c>
      <c r="D437" s="4">
        <v>-0.19</v>
      </c>
      <c r="E437" s="4">
        <v>1.0150983036587751E-2</v>
      </c>
      <c r="F437" s="3">
        <v>435</v>
      </c>
      <c r="G437" s="3">
        <v>1</v>
      </c>
      <c r="H437" s="5">
        <v>33291367.199999999</v>
      </c>
      <c r="I437" s="5">
        <v>32955777.199999999</v>
      </c>
      <c r="J437" s="5">
        <v>0</v>
      </c>
      <c r="K437" s="5">
        <v>335590</v>
      </c>
      <c r="L437" s="5">
        <v>260750</v>
      </c>
      <c r="M437" s="5">
        <v>-1078960</v>
      </c>
      <c r="N437" s="5">
        <v>-682710</v>
      </c>
    </row>
    <row r="438" spans="1:14" x14ac:dyDescent="0.25">
      <c r="A438" s="3" t="s">
        <v>449</v>
      </c>
      <c r="B438" s="4">
        <v>-35.79</v>
      </c>
      <c r="C438" s="4">
        <v>-0.56000000000000005</v>
      </c>
      <c r="D438" s="4">
        <v>-0.04</v>
      </c>
      <c r="E438" s="4">
        <v>1.010648661955333E-2</v>
      </c>
      <c r="F438" s="3">
        <v>436</v>
      </c>
      <c r="G438" s="3">
        <v>1</v>
      </c>
      <c r="H438" s="5">
        <v>186433333.59</v>
      </c>
      <c r="I438" s="5">
        <v>368568333.58999997</v>
      </c>
      <c r="J438" s="5">
        <v>552198000</v>
      </c>
      <c r="K438" s="5">
        <v>370063000</v>
      </c>
      <c r="L438" s="5">
        <v>334294000</v>
      </c>
      <c r="M438" s="5">
        <v>-10297000</v>
      </c>
      <c r="N438" s="5">
        <v>-29098000</v>
      </c>
    </row>
    <row r="439" spans="1:14" x14ac:dyDescent="0.25">
      <c r="A439" s="3" t="s">
        <v>450</v>
      </c>
      <c r="B439" s="4">
        <v>-34.42</v>
      </c>
      <c r="C439" s="4">
        <v>-0.28000000000000003</v>
      </c>
      <c r="D439" s="4">
        <v>-0.22</v>
      </c>
      <c r="E439" s="4">
        <v>1.003286395706344E-2</v>
      </c>
      <c r="F439" s="3">
        <v>437</v>
      </c>
      <c r="G439" s="3">
        <v>1</v>
      </c>
      <c r="H439" s="5">
        <v>1571833021.5</v>
      </c>
      <c r="I439" s="5">
        <v>1506004021.5</v>
      </c>
      <c r="J439" s="5">
        <v>0</v>
      </c>
      <c r="K439" s="5">
        <v>65829000</v>
      </c>
      <c r="L439" s="5">
        <v>198548000</v>
      </c>
      <c r="M439" s="5">
        <v>-43749000</v>
      </c>
      <c r="N439" s="5">
        <v>-60792000</v>
      </c>
    </row>
    <row r="440" spans="1:14" x14ac:dyDescent="0.25">
      <c r="A440" s="3" t="s">
        <v>451</v>
      </c>
      <c r="B440" s="4">
        <v>-10.52</v>
      </c>
      <c r="C440" s="4">
        <v>4.9400000000000004</v>
      </c>
      <c r="D440" s="4">
        <v>-1.73</v>
      </c>
      <c r="E440" s="4">
        <v>1.003184218939202E-2</v>
      </c>
      <c r="F440" s="3">
        <v>438</v>
      </c>
      <c r="G440" s="3">
        <v>1</v>
      </c>
      <c r="H440" s="5">
        <v>190607528.34</v>
      </c>
      <c r="I440" s="5">
        <v>182906528.34</v>
      </c>
      <c r="J440" s="5">
        <v>935000</v>
      </c>
      <c r="K440" s="5">
        <v>8636000</v>
      </c>
      <c r="L440" s="5">
        <v>1881000</v>
      </c>
      <c r="M440" s="5">
        <v>-17384000</v>
      </c>
      <c r="N440" s="5">
        <v>-60663000</v>
      </c>
    </row>
    <row r="441" spans="1:14" x14ac:dyDescent="0.25">
      <c r="A441" s="3" t="s">
        <v>452</v>
      </c>
      <c r="B441" s="4">
        <v>-32.82</v>
      </c>
      <c r="C441" s="4">
        <v>0.03</v>
      </c>
      <c r="D441" s="4">
        <v>0.02</v>
      </c>
      <c r="E441" s="4">
        <v>9.9845895008393876E-3</v>
      </c>
      <c r="F441" s="3">
        <v>439</v>
      </c>
      <c r="G441" s="3">
        <v>1</v>
      </c>
      <c r="H441" s="5">
        <v>1086658510.8599999</v>
      </c>
      <c r="I441" s="5">
        <v>866113510.8599999</v>
      </c>
      <c r="J441" s="5">
        <v>16203000</v>
      </c>
      <c r="K441" s="5">
        <v>236748000</v>
      </c>
      <c r="L441" s="5">
        <v>155835000</v>
      </c>
      <c r="M441" s="5">
        <v>-26390000</v>
      </c>
      <c r="N441" s="5">
        <v>15218000</v>
      </c>
    </row>
    <row r="442" spans="1:14" x14ac:dyDescent="0.25">
      <c r="A442" s="3" t="s">
        <v>453</v>
      </c>
      <c r="B442" s="4">
        <v>-3.83</v>
      </c>
      <c r="C442" s="4">
        <v>5.99</v>
      </c>
      <c r="D442" s="4">
        <v>3.56</v>
      </c>
      <c r="E442" s="4">
        <v>9.9455473740659005E-3</v>
      </c>
      <c r="F442" s="3">
        <v>440</v>
      </c>
      <c r="G442" s="3">
        <v>1</v>
      </c>
      <c r="H442" s="5">
        <v>482147.14449999999</v>
      </c>
      <c r="I442" s="5">
        <v>379707.14449999999</v>
      </c>
      <c r="J442" s="5">
        <v>30060</v>
      </c>
      <c r="K442" s="5">
        <v>132500</v>
      </c>
      <c r="L442" s="5">
        <v>0</v>
      </c>
      <c r="M442" s="5">
        <v>-99220</v>
      </c>
      <c r="N442" s="5">
        <v>554910</v>
      </c>
    </row>
    <row r="443" spans="1:14" x14ac:dyDescent="0.25">
      <c r="A443" s="3" t="s">
        <v>454</v>
      </c>
      <c r="B443" s="4">
        <v>-27.15</v>
      </c>
      <c r="C443" s="4">
        <v>1.22</v>
      </c>
      <c r="D443" s="4">
        <v>-0.1</v>
      </c>
      <c r="E443" s="4">
        <v>9.8905007863869035E-3</v>
      </c>
      <c r="F443" s="3">
        <v>441</v>
      </c>
      <c r="G443" s="3">
        <v>1</v>
      </c>
      <c r="H443" s="5">
        <v>34365915.990000002</v>
      </c>
      <c r="I443" s="5">
        <v>89747915.99000001</v>
      </c>
      <c r="J443" s="5">
        <v>59202000</v>
      </c>
      <c r="K443" s="5">
        <v>3820000</v>
      </c>
      <c r="L443" s="5">
        <v>441360000</v>
      </c>
      <c r="M443" s="5">
        <v>-3306000</v>
      </c>
      <c r="N443" s="5">
        <v>-23132000</v>
      </c>
    </row>
    <row r="444" spans="1:14" x14ac:dyDescent="0.25">
      <c r="A444" s="3" t="s">
        <v>455</v>
      </c>
      <c r="B444" s="4">
        <v>-29.73</v>
      </c>
      <c r="C444" s="4">
        <v>0.65</v>
      </c>
      <c r="D444" s="4">
        <v>-0.02</v>
      </c>
      <c r="E444" s="4">
        <v>9.8558124690288264E-3</v>
      </c>
      <c r="F444" s="3">
        <v>442</v>
      </c>
      <c r="G444" s="3">
        <v>1</v>
      </c>
      <c r="H444" s="5">
        <v>162834998.55000001</v>
      </c>
      <c r="I444" s="5">
        <v>101347998.55</v>
      </c>
      <c r="J444" s="5">
        <v>3181000</v>
      </c>
      <c r="K444" s="5">
        <v>64668000</v>
      </c>
      <c r="L444" s="5">
        <v>483310000</v>
      </c>
      <c r="M444" s="5">
        <v>-3409000</v>
      </c>
      <c r="N444" s="5">
        <v>-4232000</v>
      </c>
    </row>
    <row r="445" spans="1:14" x14ac:dyDescent="0.25">
      <c r="A445" s="3" t="s">
        <v>456</v>
      </c>
      <c r="B445" s="4">
        <v>0.01</v>
      </c>
      <c r="C445" s="4">
        <v>7.49</v>
      </c>
      <c r="D445" s="4">
        <v>-7.18</v>
      </c>
      <c r="E445" s="4">
        <v>9.8311588943155587E-3</v>
      </c>
      <c r="F445" s="3">
        <v>443</v>
      </c>
      <c r="G445" s="3">
        <v>1</v>
      </c>
      <c r="H445" s="5">
        <v>896673.39500000002</v>
      </c>
      <c r="I445" s="5">
        <v>-185326.60500000001</v>
      </c>
      <c r="J445" s="5">
        <v>25000</v>
      </c>
      <c r="K445" s="5">
        <v>1107000</v>
      </c>
      <c r="L445" s="5">
        <v>601000</v>
      </c>
      <c r="M445" s="5">
        <v>-18641000</v>
      </c>
      <c r="N445" s="5">
        <v>-18634000</v>
      </c>
    </row>
    <row r="446" spans="1:14" x14ac:dyDescent="0.25">
      <c r="A446" s="3" t="s">
        <v>457</v>
      </c>
      <c r="B446" s="4">
        <v>-32.119999999999997</v>
      </c>
      <c r="C446" s="4">
        <v>0.12</v>
      </c>
      <c r="D446" s="4">
        <v>-0.18</v>
      </c>
      <c r="E446" s="4">
        <v>9.7728070336239679E-3</v>
      </c>
      <c r="F446" s="3">
        <v>444</v>
      </c>
      <c r="G446" s="3">
        <v>1</v>
      </c>
      <c r="H446" s="5">
        <v>13070943.398399999</v>
      </c>
      <c r="I446" s="5">
        <v>16917843.398400001</v>
      </c>
      <c r="J446" s="5">
        <v>4169330</v>
      </c>
      <c r="K446" s="5">
        <v>322430</v>
      </c>
      <c r="L446" s="5">
        <v>1544110</v>
      </c>
      <c r="M446" s="5">
        <v>-526780</v>
      </c>
      <c r="N446" s="5">
        <v>-733660</v>
      </c>
    </row>
    <row r="447" spans="1:14" x14ac:dyDescent="0.25">
      <c r="A447" s="3" t="s">
        <v>458</v>
      </c>
      <c r="B447" s="4">
        <v>-27.76</v>
      </c>
      <c r="C447" s="4">
        <v>1.18</v>
      </c>
      <c r="D447" s="4">
        <v>-2.63</v>
      </c>
      <c r="E447" s="4">
        <v>9.6644241817418122E-3</v>
      </c>
      <c r="F447" s="3">
        <v>445</v>
      </c>
      <c r="G447" s="3">
        <v>1</v>
      </c>
      <c r="H447" s="5">
        <v>4149155347.3600001</v>
      </c>
      <c r="I447" s="5">
        <v>4391805347.3600006</v>
      </c>
      <c r="J447" s="5">
        <v>316942000</v>
      </c>
      <c r="K447" s="5">
        <v>74292000</v>
      </c>
      <c r="L447" s="5">
        <v>15606000</v>
      </c>
      <c r="M447" s="5">
        <v>-158207000</v>
      </c>
      <c r="N447" s="5">
        <v>-685870000</v>
      </c>
    </row>
    <row r="448" spans="1:14" x14ac:dyDescent="0.25">
      <c r="A448" s="3" t="s">
        <v>459</v>
      </c>
      <c r="B448" s="4">
        <v>0.03</v>
      </c>
      <c r="C448" s="4">
        <v>7.02</v>
      </c>
      <c r="D448" s="4">
        <v>-1.42</v>
      </c>
      <c r="E448" s="4">
        <v>9.5719002618852543E-3</v>
      </c>
      <c r="F448" s="3">
        <v>446</v>
      </c>
      <c r="G448" s="3">
        <v>1</v>
      </c>
      <c r="H448" s="5">
        <v>9150</v>
      </c>
      <c r="I448" s="5">
        <v>-7940</v>
      </c>
      <c r="J448" s="5">
        <v>0</v>
      </c>
      <c r="K448" s="5">
        <v>17090</v>
      </c>
      <c r="L448" s="5">
        <v>0</v>
      </c>
      <c r="M448" s="5">
        <v>-265620</v>
      </c>
      <c r="N448" s="5">
        <v>-24230</v>
      </c>
    </row>
    <row r="449" spans="1:14" x14ac:dyDescent="0.25">
      <c r="A449" s="3" t="s">
        <v>460</v>
      </c>
      <c r="B449" s="4">
        <v>13.24</v>
      </c>
      <c r="C449" s="4">
        <v>9.15</v>
      </c>
      <c r="D449" s="4">
        <v>8.61</v>
      </c>
      <c r="E449" s="4">
        <v>9.4851114873638811E-3</v>
      </c>
      <c r="F449" s="3">
        <v>447</v>
      </c>
      <c r="G449" s="3">
        <v>1</v>
      </c>
      <c r="H449" s="5">
        <v>1064000598.1</v>
      </c>
      <c r="I449" s="5">
        <v>1054830858.1</v>
      </c>
      <c r="J449" s="5">
        <v>0</v>
      </c>
      <c r="K449" s="5">
        <v>9169740</v>
      </c>
      <c r="L449" s="5">
        <v>83171100</v>
      </c>
      <c r="M449" s="5">
        <v>79642700</v>
      </c>
      <c r="N449" s="5">
        <v>79642690</v>
      </c>
    </row>
    <row r="450" spans="1:14" x14ac:dyDescent="0.25">
      <c r="A450" s="3" t="s">
        <v>461</v>
      </c>
      <c r="B450" s="4">
        <v>-29.93</v>
      </c>
      <c r="C450" s="4">
        <v>0.48</v>
      </c>
      <c r="D450" s="4">
        <v>-0.16</v>
      </c>
      <c r="E450" s="4">
        <v>9.4613988916395081E-3</v>
      </c>
      <c r="F450" s="3">
        <v>448</v>
      </c>
      <c r="G450" s="3">
        <v>1</v>
      </c>
      <c r="H450" s="5">
        <v>264438106.75</v>
      </c>
      <c r="I450" s="5">
        <v>236680106.75</v>
      </c>
      <c r="J450" s="5">
        <v>0</v>
      </c>
      <c r="K450" s="5">
        <v>27758000</v>
      </c>
      <c r="L450" s="5">
        <v>50692000</v>
      </c>
      <c r="M450" s="5">
        <v>-7909000</v>
      </c>
      <c r="N450" s="5">
        <v>-7235000</v>
      </c>
    </row>
    <row r="451" spans="1:14" x14ac:dyDescent="0.25">
      <c r="A451" s="3" t="s">
        <v>462</v>
      </c>
      <c r="B451" s="4">
        <v>-18.04</v>
      </c>
      <c r="C451" s="4">
        <v>3.09</v>
      </c>
      <c r="D451" s="4">
        <v>-1.38</v>
      </c>
      <c r="E451" s="4">
        <v>9.40832350613224E-3</v>
      </c>
      <c r="F451" s="3">
        <v>449</v>
      </c>
      <c r="G451" s="3">
        <v>1</v>
      </c>
      <c r="H451" s="5">
        <v>46479411.840000004</v>
      </c>
      <c r="I451" s="5">
        <v>46741411.840000004</v>
      </c>
      <c r="J451" s="5">
        <v>470000</v>
      </c>
      <c r="K451" s="5">
        <v>208000</v>
      </c>
      <c r="L451" s="5">
        <v>1466000</v>
      </c>
      <c r="M451" s="5">
        <v>-2591000</v>
      </c>
      <c r="N451" s="5">
        <v>-2584000</v>
      </c>
    </row>
    <row r="452" spans="1:14" x14ac:dyDescent="0.25">
      <c r="A452" s="3" t="s">
        <v>463</v>
      </c>
      <c r="B452" s="4">
        <v>-32.159999999999997</v>
      </c>
      <c r="C452" s="4">
        <v>-0.1</v>
      </c>
      <c r="D452" s="4">
        <v>0.8</v>
      </c>
      <c r="E452" s="4">
        <v>9.3509491066897758E-3</v>
      </c>
      <c r="F452" s="3">
        <v>450</v>
      </c>
      <c r="G452" s="3">
        <v>1</v>
      </c>
      <c r="H452" s="5">
        <v>250530.1931</v>
      </c>
      <c r="I452" s="5">
        <v>2597530.1930999998</v>
      </c>
      <c r="J452" s="5">
        <v>2365170</v>
      </c>
      <c r="K452" s="5">
        <v>18170</v>
      </c>
      <c r="L452" s="5">
        <v>2095550</v>
      </c>
      <c r="M452" s="5">
        <v>-80760</v>
      </c>
      <c r="N452" s="5">
        <v>400290</v>
      </c>
    </row>
    <row r="453" spans="1:14" x14ac:dyDescent="0.25">
      <c r="A453" s="3" t="s">
        <v>464</v>
      </c>
      <c r="B453" s="4">
        <v>-29.57</v>
      </c>
      <c r="C453" s="4">
        <v>0.54</v>
      </c>
      <c r="D453" s="4">
        <v>-1.05</v>
      </c>
      <c r="E453" s="4">
        <v>9.2402657632334462E-3</v>
      </c>
      <c r="F453" s="3">
        <v>451</v>
      </c>
      <c r="G453" s="3">
        <v>1</v>
      </c>
      <c r="H453" s="5">
        <v>13445507.9451</v>
      </c>
      <c r="I453" s="5">
        <v>13406317.9451</v>
      </c>
      <c r="J453" s="5">
        <v>0</v>
      </c>
      <c r="K453" s="5">
        <v>39190</v>
      </c>
      <c r="L453" s="5">
        <v>233340</v>
      </c>
      <c r="M453" s="5">
        <v>-453400</v>
      </c>
      <c r="N453" s="5">
        <v>-455570</v>
      </c>
    </row>
    <row r="454" spans="1:14" x14ac:dyDescent="0.25">
      <c r="A454" s="3" t="s">
        <v>465</v>
      </c>
      <c r="B454" s="4">
        <v>-31</v>
      </c>
      <c r="C454" s="4">
        <v>0.19</v>
      </c>
      <c r="D454" s="4">
        <v>-0.6</v>
      </c>
      <c r="E454" s="4">
        <v>9.2008521283972553E-3</v>
      </c>
      <c r="F454" s="3">
        <v>452</v>
      </c>
      <c r="G454" s="3">
        <v>1</v>
      </c>
      <c r="H454" s="5">
        <v>15951650</v>
      </c>
      <c r="I454" s="5">
        <v>20303890</v>
      </c>
      <c r="J454" s="5">
        <v>4465670</v>
      </c>
      <c r="K454" s="5">
        <v>113430</v>
      </c>
      <c r="L454" s="5">
        <v>134530</v>
      </c>
      <c r="M454" s="5">
        <v>-654980</v>
      </c>
      <c r="N454" s="5">
        <v>-684980</v>
      </c>
    </row>
    <row r="455" spans="1:14" x14ac:dyDescent="0.25">
      <c r="A455" s="3" t="s">
        <v>466</v>
      </c>
      <c r="B455" s="4">
        <v>-31.71</v>
      </c>
      <c r="C455" s="4">
        <v>-0.16</v>
      </c>
      <c r="D455" s="4">
        <v>-0.01</v>
      </c>
      <c r="E455" s="4">
        <v>8.7428220554565724E-3</v>
      </c>
      <c r="F455" s="3">
        <v>453</v>
      </c>
      <c r="G455" s="3">
        <v>1</v>
      </c>
      <c r="H455" s="5">
        <v>1591456462.0799999</v>
      </c>
      <c r="I455" s="5">
        <v>5363744462.0799999</v>
      </c>
      <c r="J455" s="5">
        <v>3920425000</v>
      </c>
      <c r="K455" s="5">
        <v>148137000</v>
      </c>
      <c r="L455" s="5">
        <v>0</v>
      </c>
      <c r="M455" s="5">
        <v>-169144000</v>
      </c>
      <c r="N455" s="5">
        <v>-61751000</v>
      </c>
    </row>
    <row r="456" spans="1:14" x14ac:dyDescent="0.25">
      <c r="A456" s="3" t="s">
        <v>467</v>
      </c>
      <c r="B456" s="4">
        <v>-2.77</v>
      </c>
      <c r="C456" s="4">
        <v>6.07</v>
      </c>
      <c r="D456" s="4">
        <v>-0.56000000000000005</v>
      </c>
      <c r="E456" s="4">
        <v>8.725881476358938E-3</v>
      </c>
      <c r="F456" s="3">
        <v>454</v>
      </c>
      <c r="G456" s="3">
        <v>1</v>
      </c>
      <c r="H456" s="5">
        <v>29609122.943399999</v>
      </c>
      <c r="I456" s="5">
        <v>51018122.943400003</v>
      </c>
      <c r="J456" s="5">
        <v>45534000</v>
      </c>
      <c r="K456" s="5">
        <v>24125000</v>
      </c>
      <c r="L456" s="5">
        <v>0</v>
      </c>
      <c r="M456" s="5">
        <v>-18412000</v>
      </c>
      <c r="N456" s="5">
        <v>-24774000</v>
      </c>
    </row>
    <row r="457" spans="1:14" x14ac:dyDescent="0.25">
      <c r="A457" s="3" t="s">
        <v>468</v>
      </c>
      <c r="B457" s="4">
        <v>-31.31</v>
      </c>
      <c r="C457" s="4">
        <v>-0.08</v>
      </c>
      <c r="D457" s="4">
        <v>-0.04</v>
      </c>
      <c r="E457" s="4">
        <v>8.7206156039566184E-3</v>
      </c>
      <c r="F457" s="3">
        <v>455</v>
      </c>
      <c r="G457" s="3">
        <v>1</v>
      </c>
      <c r="H457" s="5">
        <v>17952.863799999999</v>
      </c>
      <c r="I457" s="5">
        <v>117306782.8638</v>
      </c>
      <c r="J457" s="5">
        <v>117409630</v>
      </c>
      <c r="K457" s="5">
        <v>120800</v>
      </c>
      <c r="L457" s="5">
        <v>0</v>
      </c>
      <c r="M457" s="5">
        <v>-3747010</v>
      </c>
      <c r="N457" s="5">
        <v>-13716490</v>
      </c>
    </row>
    <row r="458" spans="1:14" x14ac:dyDescent="0.25">
      <c r="A458" s="3" t="s">
        <v>469</v>
      </c>
      <c r="B458" s="4">
        <v>-28.99</v>
      </c>
      <c r="C458" s="4">
        <v>0.43</v>
      </c>
      <c r="D458" s="4">
        <v>-0.44</v>
      </c>
      <c r="E458" s="4">
        <v>8.6811327768717729E-3</v>
      </c>
      <c r="F458" s="3">
        <v>456</v>
      </c>
      <c r="G458" s="3">
        <v>1</v>
      </c>
      <c r="H458" s="5">
        <v>2799028.7250000001</v>
      </c>
      <c r="I458" s="5">
        <v>2752738.7250000001</v>
      </c>
      <c r="J458" s="5">
        <v>0</v>
      </c>
      <c r="K458" s="5">
        <v>46290</v>
      </c>
      <c r="L458" s="5">
        <v>245570</v>
      </c>
      <c r="M458" s="5">
        <v>-94940</v>
      </c>
      <c r="N458" s="5">
        <v>-98840</v>
      </c>
    </row>
    <row r="459" spans="1:14" x14ac:dyDescent="0.25">
      <c r="A459" s="3" t="s">
        <v>470</v>
      </c>
      <c r="B459" s="4">
        <v>-7.09</v>
      </c>
      <c r="C459" s="4">
        <v>5.15</v>
      </c>
      <c r="D459" s="4">
        <v>-1.04</v>
      </c>
      <c r="E459" s="4">
        <v>8.6488132164459809E-3</v>
      </c>
      <c r="F459" s="3">
        <v>457</v>
      </c>
      <c r="G459" s="3">
        <v>1</v>
      </c>
      <c r="H459" s="5">
        <v>45325052.759999998</v>
      </c>
      <c r="I459" s="5">
        <v>47103722.759999998</v>
      </c>
      <c r="J459" s="5">
        <v>2483020</v>
      </c>
      <c r="K459" s="5">
        <v>704350</v>
      </c>
      <c r="L459" s="5">
        <v>3163770</v>
      </c>
      <c r="M459" s="5">
        <v>-6644450</v>
      </c>
      <c r="N459" s="5">
        <v>-7053490</v>
      </c>
    </row>
    <row r="460" spans="1:14" x14ac:dyDescent="0.25">
      <c r="A460" s="3" t="s">
        <v>471</v>
      </c>
      <c r="B460" s="4">
        <v>-1.7</v>
      </c>
      <c r="C460" s="4">
        <v>6.61</v>
      </c>
      <c r="D460" s="4">
        <v>-5.95</v>
      </c>
      <c r="E460" s="4">
        <v>8.5841459202767173E-3</v>
      </c>
      <c r="F460" s="3">
        <v>458</v>
      </c>
      <c r="G460" s="3">
        <v>1</v>
      </c>
      <c r="H460" s="5">
        <v>8669627.0399999991</v>
      </c>
      <c r="I460" s="5">
        <v>36419107.039999999</v>
      </c>
      <c r="J460" s="5">
        <v>28935530</v>
      </c>
      <c r="K460" s="5">
        <v>1186050</v>
      </c>
      <c r="L460" s="5">
        <v>1807470</v>
      </c>
      <c r="M460" s="5">
        <v>-21378070</v>
      </c>
      <c r="N460" s="5">
        <v>-134906650</v>
      </c>
    </row>
    <row r="461" spans="1:14" x14ac:dyDescent="0.25">
      <c r="A461" s="3" t="s">
        <v>472</v>
      </c>
      <c r="B461" s="4">
        <v>-31.85</v>
      </c>
      <c r="C461" s="4">
        <v>-0.26</v>
      </c>
      <c r="D461" s="4">
        <v>-0.23</v>
      </c>
      <c r="E461" s="4">
        <v>8.4980962803659476E-3</v>
      </c>
      <c r="F461" s="3">
        <v>459</v>
      </c>
      <c r="G461" s="3">
        <v>1</v>
      </c>
      <c r="H461" s="5">
        <v>211201947.43000001</v>
      </c>
      <c r="I461" s="5">
        <v>208929947.43000001</v>
      </c>
      <c r="J461" s="5">
        <v>0</v>
      </c>
      <c r="K461" s="5">
        <v>2272000</v>
      </c>
      <c r="L461" s="5">
        <v>0</v>
      </c>
      <c r="M461" s="5">
        <v>-6560000</v>
      </c>
      <c r="N461" s="5">
        <v>-7343000</v>
      </c>
    </row>
    <row r="462" spans="1:14" x14ac:dyDescent="0.25">
      <c r="A462" s="3" t="s">
        <v>473</v>
      </c>
      <c r="B462" s="4">
        <v>-20.74</v>
      </c>
      <c r="C462" s="4">
        <v>2.19</v>
      </c>
      <c r="D462" s="4">
        <v>-1.94</v>
      </c>
      <c r="E462" s="4">
        <v>8.3709589247016047E-3</v>
      </c>
      <c r="F462" s="3">
        <v>460</v>
      </c>
      <c r="G462" s="3">
        <v>1</v>
      </c>
      <c r="H462" s="5">
        <v>13812222.112</v>
      </c>
      <c r="I462" s="5">
        <v>14253842.112</v>
      </c>
      <c r="J462" s="5">
        <v>473570</v>
      </c>
      <c r="K462" s="5">
        <v>31950</v>
      </c>
      <c r="L462" s="5">
        <v>202010</v>
      </c>
      <c r="M462" s="5">
        <v>-687210</v>
      </c>
      <c r="N462" s="5">
        <v>-714680</v>
      </c>
    </row>
    <row r="463" spans="1:14" x14ac:dyDescent="0.25">
      <c r="A463" s="3" t="s">
        <v>474</v>
      </c>
      <c r="B463" s="4">
        <v>-31.16</v>
      </c>
      <c r="C463" s="4">
        <v>-0.18</v>
      </c>
      <c r="D463" s="4">
        <v>-0.08</v>
      </c>
      <c r="E463" s="4">
        <v>8.3311253420458552E-3</v>
      </c>
      <c r="F463" s="3">
        <v>461</v>
      </c>
      <c r="G463" s="3">
        <v>1</v>
      </c>
      <c r="H463" s="5">
        <v>1402673036.1500001</v>
      </c>
      <c r="I463" s="5">
        <v>1301608036.1500001</v>
      </c>
      <c r="J463" s="5">
        <v>123000000</v>
      </c>
      <c r="K463" s="5">
        <v>224065000</v>
      </c>
      <c r="L463" s="5">
        <v>637156000</v>
      </c>
      <c r="M463" s="5">
        <v>-41778000</v>
      </c>
      <c r="N463" s="5">
        <v>-79700000</v>
      </c>
    </row>
    <row r="464" spans="1:14" x14ac:dyDescent="0.25">
      <c r="A464" s="3" t="s">
        <v>475</v>
      </c>
      <c r="B464" s="4">
        <v>-24.39</v>
      </c>
      <c r="C464" s="4">
        <v>1.27</v>
      </c>
      <c r="D464" s="4">
        <v>-0.28999999999999998</v>
      </c>
      <c r="E464" s="4">
        <v>8.2900965440932083E-3</v>
      </c>
      <c r="F464" s="3">
        <v>462</v>
      </c>
      <c r="G464" s="3">
        <v>1</v>
      </c>
      <c r="H464" s="5">
        <v>2101951.1529000001</v>
      </c>
      <c r="I464" s="5">
        <v>4903891.1529000001</v>
      </c>
      <c r="J464" s="5">
        <v>2807830</v>
      </c>
      <c r="K464" s="5">
        <v>5890</v>
      </c>
      <c r="L464" s="5">
        <v>398600</v>
      </c>
      <c r="M464" s="5">
        <v>-201070</v>
      </c>
      <c r="N464" s="5">
        <v>-1320140</v>
      </c>
    </row>
    <row r="465" spans="1:14" x14ac:dyDescent="0.25">
      <c r="A465" s="3" t="s">
        <v>476</v>
      </c>
      <c r="B465" s="4">
        <v>-31.91</v>
      </c>
      <c r="C465" s="4">
        <v>-0.36</v>
      </c>
      <c r="D465" s="4">
        <v>-0.22</v>
      </c>
      <c r="E465" s="4">
        <v>8.2482244709813374E-3</v>
      </c>
      <c r="F465" s="3">
        <v>463</v>
      </c>
      <c r="G465" s="3">
        <v>1</v>
      </c>
      <c r="H465" s="5">
        <v>186326876.71000001</v>
      </c>
      <c r="I465" s="5">
        <v>177335276.71000001</v>
      </c>
      <c r="J465" s="5">
        <v>589350</v>
      </c>
      <c r="K465" s="5">
        <v>9580950</v>
      </c>
      <c r="L465" s="5">
        <v>33646460</v>
      </c>
      <c r="M465" s="5">
        <v>-5557750</v>
      </c>
      <c r="N465" s="5">
        <v>-6066630</v>
      </c>
    </row>
    <row r="466" spans="1:14" x14ac:dyDescent="0.25">
      <c r="A466" s="3" t="s">
        <v>477</v>
      </c>
      <c r="B466" s="4">
        <v>-34.840000000000003</v>
      </c>
      <c r="C466" s="4">
        <v>-1</v>
      </c>
      <c r="D466" s="4">
        <v>-0.04</v>
      </c>
      <c r="E466" s="4">
        <v>8.2471933696948267E-3</v>
      </c>
      <c r="F466" s="3">
        <v>464</v>
      </c>
      <c r="G466" s="3">
        <v>1</v>
      </c>
      <c r="H466" s="5">
        <v>7398638331.6599998</v>
      </c>
      <c r="I466" s="5">
        <v>7378604331.6599998</v>
      </c>
      <c r="J466" s="5">
        <v>269268000</v>
      </c>
      <c r="K466" s="5">
        <v>289302000</v>
      </c>
      <c r="L466" s="5">
        <v>1182965000</v>
      </c>
      <c r="M466" s="5">
        <v>-211784000</v>
      </c>
      <c r="N466" s="5">
        <v>-179563000</v>
      </c>
    </row>
    <row r="467" spans="1:14" x14ac:dyDescent="0.25">
      <c r="A467" s="3" t="s">
        <v>478</v>
      </c>
      <c r="B467" s="4">
        <v>-2.2999999999999998</v>
      </c>
      <c r="C467" s="4">
        <v>6.46</v>
      </c>
      <c r="D467" s="4">
        <v>-7.57</v>
      </c>
      <c r="E467" s="4">
        <v>8.2095918513285463E-3</v>
      </c>
      <c r="F467" s="3">
        <v>465</v>
      </c>
      <c r="G467" s="3">
        <v>1</v>
      </c>
      <c r="H467" s="5">
        <v>4222578.42</v>
      </c>
      <c r="I467" s="5">
        <v>4250578.42</v>
      </c>
      <c r="J467" s="5">
        <v>157000</v>
      </c>
      <c r="K467" s="5">
        <v>129000</v>
      </c>
      <c r="L467" s="5">
        <v>0</v>
      </c>
      <c r="M467" s="5">
        <v>-1849000</v>
      </c>
      <c r="N467" s="5">
        <v>-1899000</v>
      </c>
    </row>
    <row r="468" spans="1:14" x14ac:dyDescent="0.25">
      <c r="A468" s="3" t="s">
        <v>479</v>
      </c>
      <c r="B468" s="4">
        <v>-2.2400000000000002</v>
      </c>
      <c r="C468" s="4">
        <v>5.95</v>
      </c>
      <c r="D468" s="4">
        <v>-0.41</v>
      </c>
      <c r="E468" s="4">
        <v>8.0800656889029286E-3</v>
      </c>
      <c r="F468" s="3">
        <v>466</v>
      </c>
      <c r="G468" s="3">
        <v>1</v>
      </c>
      <c r="H468" s="5">
        <v>418.73817400000001</v>
      </c>
      <c r="I468" s="5">
        <v>44439838.738174006</v>
      </c>
      <c r="J468" s="5">
        <v>68013010</v>
      </c>
      <c r="K468" s="5">
        <v>23573590</v>
      </c>
      <c r="L468" s="5">
        <v>17385060</v>
      </c>
      <c r="M468" s="5">
        <v>-19870390</v>
      </c>
      <c r="N468" s="5">
        <v>-29410040</v>
      </c>
    </row>
    <row r="469" spans="1:14" x14ac:dyDescent="0.25">
      <c r="A469" s="3" t="s">
        <v>480</v>
      </c>
      <c r="B469" s="4">
        <v>-21.06</v>
      </c>
      <c r="C469" s="4">
        <v>1.9</v>
      </c>
      <c r="D469" s="4">
        <v>-0.28000000000000003</v>
      </c>
      <c r="E469" s="4">
        <v>8.0513173154547757E-3</v>
      </c>
      <c r="F469" s="3">
        <v>467</v>
      </c>
      <c r="G469" s="3">
        <v>1</v>
      </c>
      <c r="H469" s="5">
        <v>1378134.7</v>
      </c>
      <c r="I469" s="5">
        <v>229878134.69999999</v>
      </c>
      <c r="J469" s="5">
        <v>242926000</v>
      </c>
      <c r="K469" s="5">
        <v>14426000</v>
      </c>
      <c r="L469" s="5">
        <v>413854000</v>
      </c>
      <c r="M469" s="5">
        <v>-10917000</v>
      </c>
      <c r="N469" s="5">
        <v>-97418000</v>
      </c>
    </row>
    <row r="470" spans="1:14" x14ac:dyDescent="0.25">
      <c r="A470" s="3" t="s">
        <v>481</v>
      </c>
      <c r="B470" s="4">
        <v>-28.73</v>
      </c>
      <c r="C470" s="4">
        <v>0.22</v>
      </c>
      <c r="D470" s="4">
        <v>0.01</v>
      </c>
      <c r="E470" s="4">
        <v>8.0002538774319072E-3</v>
      </c>
      <c r="F470" s="3">
        <v>468</v>
      </c>
      <c r="G470" s="3">
        <v>1</v>
      </c>
      <c r="H470" s="5">
        <v>2232169768.3600001</v>
      </c>
      <c r="I470" s="5">
        <v>12472069768.360001</v>
      </c>
      <c r="J470" s="5">
        <v>12796500000</v>
      </c>
      <c r="K470" s="5">
        <v>2556600000</v>
      </c>
      <c r="L470" s="5">
        <v>2129600000</v>
      </c>
      <c r="M470" s="5">
        <v>-434100000</v>
      </c>
      <c r="N470" s="5">
        <v>218000000</v>
      </c>
    </row>
    <row r="471" spans="1:14" x14ac:dyDescent="0.25">
      <c r="A471" s="3" t="s">
        <v>482</v>
      </c>
      <c r="B471" s="4">
        <v>-31.7</v>
      </c>
      <c r="C471" s="4">
        <v>-0.41</v>
      </c>
      <c r="D471" s="4">
        <v>-0.15</v>
      </c>
      <c r="E471" s="4">
        <v>7.9872863023129608E-3</v>
      </c>
      <c r="F471" s="3">
        <v>469</v>
      </c>
      <c r="G471" s="3">
        <v>1</v>
      </c>
      <c r="H471" s="5">
        <v>216626413.25</v>
      </c>
      <c r="I471" s="5">
        <v>188296253.25</v>
      </c>
      <c r="J471" s="5">
        <v>0</v>
      </c>
      <c r="K471" s="5">
        <v>28330160</v>
      </c>
      <c r="L471" s="5">
        <v>1420030</v>
      </c>
      <c r="M471" s="5">
        <v>-5940480</v>
      </c>
      <c r="N471" s="5">
        <v>-12343670</v>
      </c>
    </row>
    <row r="472" spans="1:14" x14ac:dyDescent="0.25">
      <c r="A472" s="3" t="s">
        <v>483</v>
      </c>
      <c r="B472" s="4">
        <v>6.42</v>
      </c>
      <c r="C472" s="4">
        <v>7.73</v>
      </c>
      <c r="D472" s="4">
        <v>0.05</v>
      </c>
      <c r="E472" s="4">
        <v>7.9520108263726463E-3</v>
      </c>
      <c r="F472" s="3">
        <v>470</v>
      </c>
      <c r="G472" s="3">
        <v>1</v>
      </c>
      <c r="H472" s="5">
        <v>8553896000</v>
      </c>
      <c r="I472" s="5">
        <v>17205733000</v>
      </c>
      <c r="J472" s="5">
        <v>9446770000</v>
      </c>
      <c r="K472" s="5">
        <v>794933000</v>
      </c>
      <c r="L472" s="5">
        <v>12815550000</v>
      </c>
      <c r="M472" s="5">
        <v>2678688000</v>
      </c>
      <c r="N472" s="5">
        <v>936342000</v>
      </c>
    </row>
    <row r="473" spans="1:14" x14ac:dyDescent="0.25">
      <c r="A473" s="3" t="s">
        <v>484</v>
      </c>
      <c r="B473" s="4">
        <v>-30.92</v>
      </c>
      <c r="C473" s="4">
        <v>-0.28000000000000003</v>
      </c>
      <c r="D473" s="4">
        <v>-0.26</v>
      </c>
      <c r="E473" s="4">
        <v>7.8589258567763123E-3</v>
      </c>
      <c r="F473" s="3">
        <v>471</v>
      </c>
      <c r="G473" s="3">
        <v>1</v>
      </c>
      <c r="H473" s="5">
        <v>545462032.5</v>
      </c>
      <c r="I473" s="5">
        <v>499645742.5</v>
      </c>
      <c r="J473" s="5">
        <v>0</v>
      </c>
      <c r="K473" s="5">
        <v>45816290</v>
      </c>
      <c r="L473" s="5">
        <v>0</v>
      </c>
      <c r="M473" s="5">
        <v>-16161720</v>
      </c>
      <c r="N473" s="5">
        <v>-15586420</v>
      </c>
    </row>
    <row r="474" spans="1:14" x14ac:dyDescent="0.25">
      <c r="A474" s="3" t="s">
        <v>485</v>
      </c>
      <c r="B474" s="4">
        <v>-30.07</v>
      </c>
      <c r="C474" s="4">
        <v>-0.13</v>
      </c>
      <c r="D474" s="4">
        <v>-7.0000000000000007E-2</v>
      </c>
      <c r="E474" s="4">
        <v>7.8028989827142086E-3</v>
      </c>
      <c r="F474" s="3">
        <v>472</v>
      </c>
      <c r="G474" s="3">
        <v>1</v>
      </c>
      <c r="H474" s="5">
        <v>1519599713.7149999</v>
      </c>
      <c r="I474" s="5">
        <v>1325056713.7149999</v>
      </c>
      <c r="J474" s="5">
        <v>0</v>
      </c>
      <c r="K474" s="5">
        <v>194543000</v>
      </c>
      <c r="L474" s="5">
        <v>1371131000</v>
      </c>
      <c r="M474" s="5">
        <v>-44061000</v>
      </c>
      <c r="N474" s="5">
        <v>-43009000</v>
      </c>
    </row>
    <row r="475" spans="1:14" x14ac:dyDescent="0.25">
      <c r="A475" s="3" t="s">
        <v>486</v>
      </c>
      <c r="B475" s="4">
        <v>-22.65</v>
      </c>
      <c r="C475" s="4">
        <v>1.46</v>
      </c>
      <c r="D475" s="4">
        <v>-0.24</v>
      </c>
      <c r="E475" s="4">
        <v>7.7717984189639606E-3</v>
      </c>
      <c r="F475" s="3">
        <v>473</v>
      </c>
      <c r="G475" s="3">
        <v>1</v>
      </c>
      <c r="H475" s="5">
        <v>10.026635000000001</v>
      </c>
      <c r="I475" s="5">
        <v>686200010.02663505</v>
      </c>
      <c r="J475" s="5">
        <v>742300000</v>
      </c>
      <c r="K475" s="5">
        <v>56100000</v>
      </c>
      <c r="L475" s="5">
        <v>1228100000</v>
      </c>
      <c r="M475" s="5">
        <v>-30300000</v>
      </c>
      <c r="N475" s="5">
        <v>-259600000</v>
      </c>
    </row>
    <row r="476" spans="1:14" x14ac:dyDescent="0.25">
      <c r="A476" s="3" t="s">
        <v>487</v>
      </c>
      <c r="B476" s="4">
        <v>-29.94</v>
      </c>
      <c r="C476" s="4">
        <v>-0.13</v>
      </c>
      <c r="D476" s="4">
        <v>-0.06</v>
      </c>
      <c r="E476" s="4">
        <v>7.7243683352297083E-3</v>
      </c>
      <c r="F476" s="3">
        <v>474</v>
      </c>
      <c r="G476" s="3">
        <v>1</v>
      </c>
      <c r="H476" s="5">
        <v>2352169.71</v>
      </c>
      <c r="I476" s="5">
        <v>2712299.71</v>
      </c>
      <c r="J476" s="5">
        <v>617560</v>
      </c>
      <c r="K476" s="5">
        <v>257430</v>
      </c>
      <c r="L476" s="5">
        <v>6555320</v>
      </c>
      <c r="M476" s="5">
        <v>-90590</v>
      </c>
      <c r="N476" s="5">
        <v>-220200</v>
      </c>
    </row>
    <row r="477" spans="1:14" x14ac:dyDescent="0.25">
      <c r="A477" s="3" t="s">
        <v>488</v>
      </c>
      <c r="B477" s="4">
        <v>-21.86</v>
      </c>
      <c r="C477" s="4">
        <v>-0.64</v>
      </c>
      <c r="D477" s="4">
        <v>32.380000000000003</v>
      </c>
      <c r="E477" s="4">
        <v>7.507678391682808E-3</v>
      </c>
      <c r="F477" s="3">
        <v>475</v>
      </c>
      <c r="G477" s="3">
        <v>1</v>
      </c>
      <c r="H477" s="5">
        <v>5191.1936999999998</v>
      </c>
      <c r="I477" s="5">
        <v>2013381.1936999999</v>
      </c>
      <c r="J477" s="5">
        <v>2011230</v>
      </c>
      <c r="K477" s="5">
        <v>3040</v>
      </c>
      <c r="L477" s="5">
        <v>541540</v>
      </c>
      <c r="M477" s="5">
        <v>-92120</v>
      </c>
      <c r="N477" s="5">
        <v>2673350</v>
      </c>
    </row>
    <row r="478" spans="1:14" x14ac:dyDescent="0.25">
      <c r="A478" s="3" t="s">
        <v>489</v>
      </c>
      <c r="B478" s="4">
        <v>-30.45</v>
      </c>
      <c r="C478" s="4">
        <v>-0.34</v>
      </c>
      <c r="D478" s="4">
        <v>-0.11</v>
      </c>
      <c r="E478" s="4">
        <v>7.4236069455895096E-3</v>
      </c>
      <c r="F478" s="3">
        <v>476</v>
      </c>
      <c r="G478" s="3">
        <v>1</v>
      </c>
      <c r="H478" s="5">
        <v>5817077610.4099998</v>
      </c>
      <c r="I478" s="5">
        <v>5524477610.4099998</v>
      </c>
      <c r="J478" s="5">
        <v>83400000</v>
      </c>
      <c r="K478" s="5">
        <v>376000000</v>
      </c>
      <c r="L478" s="5">
        <v>526500000</v>
      </c>
      <c r="M478" s="5">
        <v>-181400000</v>
      </c>
      <c r="N478" s="5">
        <v>-202200000</v>
      </c>
    </row>
    <row r="479" spans="1:14" x14ac:dyDescent="0.25">
      <c r="A479" s="3" t="s">
        <v>490</v>
      </c>
      <c r="B479" s="4">
        <v>-27.63</v>
      </c>
      <c r="C479" s="4">
        <v>0.28999999999999998</v>
      </c>
      <c r="D479" s="4">
        <v>-1.04</v>
      </c>
      <c r="E479" s="4">
        <v>7.3191487092164774E-3</v>
      </c>
      <c r="F479" s="3">
        <v>477</v>
      </c>
      <c r="G479" s="3">
        <v>1</v>
      </c>
      <c r="H479" s="5">
        <v>14833806</v>
      </c>
      <c r="I479" s="5">
        <v>17125126</v>
      </c>
      <c r="J479" s="5">
        <v>2346050</v>
      </c>
      <c r="K479" s="5">
        <v>54730</v>
      </c>
      <c r="L479" s="5">
        <v>55850</v>
      </c>
      <c r="M479" s="5">
        <v>-619910</v>
      </c>
      <c r="N479" s="5">
        <v>-758220</v>
      </c>
    </row>
    <row r="480" spans="1:14" x14ac:dyDescent="0.25">
      <c r="A480" s="3" t="s">
        <v>491</v>
      </c>
      <c r="B480" s="4">
        <v>-31.11</v>
      </c>
      <c r="C480" s="4">
        <v>-0.54</v>
      </c>
      <c r="D480" s="4">
        <v>-0.34</v>
      </c>
      <c r="E480" s="4">
        <v>7.2098547700248268E-3</v>
      </c>
      <c r="F480" s="3">
        <v>478</v>
      </c>
      <c r="G480" s="3">
        <v>1</v>
      </c>
      <c r="H480" s="5">
        <v>710600</v>
      </c>
      <c r="I480" s="5">
        <v>688860</v>
      </c>
      <c r="J480" s="5">
        <v>1300</v>
      </c>
      <c r="K480" s="5">
        <v>23040</v>
      </c>
      <c r="L480" s="5">
        <v>82500</v>
      </c>
      <c r="M480" s="5">
        <v>-22140</v>
      </c>
      <c r="N480" s="5">
        <v>-22970</v>
      </c>
    </row>
    <row r="481" spans="1:14" x14ac:dyDescent="0.25">
      <c r="A481" s="3" t="s">
        <v>492</v>
      </c>
      <c r="B481" s="4">
        <v>-0.13</v>
      </c>
      <c r="C481" s="4">
        <v>6.18</v>
      </c>
      <c r="D481" s="4">
        <v>-1.74</v>
      </c>
      <c r="E481" s="4">
        <v>7.1821357133438346E-3</v>
      </c>
      <c r="F481" s="3">
        <v>479</v>
      </c>
      <c r="G481" s="3">
        <v>1</v>
      </c>
      <c r="H481" s="5">
        <v>940.8818</v>
      </c>
      <c r="I481" s="5">
        <v>4510940.8817999996</v>
      </c>
      <c r="J481" s="5">
        <v>19385000</v>
      </c>
      <c r="K481" s="5">
        <v>14875000</v>
      </c>
      <c r="L481" s="5">
        <v>0</v>
      </c>
      <c r="M481" s="5">
        <v>-33733000</v>
      </c>
      <c r="N481" s="5">
        <v>-35811000</v>
      </c>
    </row>
    <row r="482" spans="1:14" x14ac:dyDescent="0.25">
      <c r="A482" s="3" t="s">
        <v>493</v>
      </c>
      <c r="B482" s="4">
        <v>-28.32</v>
      </c>
      <c r="C482" s="4">
        <v>0.02</v>
      </c>
      <c r="D482" s="4">
        <v>0.01</v>
      </c>
      <c r="E482" s="4">
        <v>7.168624303562572E-3</v>
      </c>
      <c r="F482" s="3">
        <v>480</v>
      </c>
      <c r="G482" s="3">
        <v>1</v>
      </c>
      <c r="H482" s="5">
        <v>38683932</v>
      </c>
      <c r="I482" s="5">
        <v>33075932</v>
      </c>
      <c r="J482" s="5">
        <v>0</v>
      </c>
      <c r="K482" s="5">
        <v>5608000</v>
      </c>
      <c r="L482" s="5">
        <v>42963000</v>
      </c>
      <c r="M482" s="5">
        <v>-1168000</v>
      </c>
      <c r="N482" s="5">
        <v>572000</v>
      </c>
    </row>
    <row r="483" spans="1:14" x14ac:dyDescent="0.25">
      <c r="A483" s="3" t="s">
        <v>494</v>
      </c>
      <c r="B483" s="4">
        <v>-31.72</v>
      </c>
      <c r="C483" s="4">
        <v>-0.67</v>
      </c>
      <c r="D483" s="4">
        <v>-0.6</v>
      </c>
      <c r="E483" s="4">
        <v>7.1616247353434442E-3</v>
      </c>
      <c r="F483" s="3">
        <v>481</v>
      </c>
      <c r="G483" s="3">
        <v>1</v>
      </c>
      <c r="H483" s="5">
        <v>706742323.55999994</v>
      </c>
      <c r="I483" s="5">
        <v>679074363.55999994</v>
      </c>
      <c r="J483" s="5">
        <v>0</v>
      </c>
      <c r="K483" s="5">
        <v>27667960</v>
      </c>
      <c r="L483" s="5">
        <v>95610</v>
      </c>
      <c r="M483" s="5">
        <v>-21406380</v>
      </c>
      <c r="N483" s="5">
        <v>-22535040</v>
      </c>
    </row>
    <row r="484" spans="1:14" x14ac:dyDescent="0.25">
      <c r="A484" s="3" t="s">
        <v>495</v>
      </c>
      <c r="B484" s="4">
        <v>-31.89</v>
      </c>
      <c r="C484" s="4">
        <v>-0.73</v>
      </c>
      <c r="D484" s="4">
        <v>-0.46</v>
      </c>
      <c r="E484" s="4">
        <v>7.1204859621920979E-3</v>
      </c>
      <c r="F484" s="3">
        <v>482</v>
      </c>
      <c r="G484" s="3">
        <v>1</v>
      </c>
      <c r="H484" s="5">
        <v>7511752889.3800001</v>
      </c>
      <c r="I484" s="5">
        <v>7167692889.3800001</v>
      </c>
      <c r="J484" s="5">
        <v>8387000</v>
      </c>
      <c r="K484" s="5">
        <v>352447000</v>
      </c>
      <c r="L484" s="5">
        <v>0</v>
      </c>
      <c r="M484" s="5">
        <v>-224729000</v>
      </c>
      <c r="N484" s="5">
        <v>-209127000</v>
      </c>
    </row>
    <row r="485" spans="1:14" x14ac:dyDescent="0.25">
      <c r="A485" s="3" t="s">
        <v>496</v>
      </c>
      <c r="B485" s="4">
        <v>-28.62</v>
      </c>
      <c r="C485" s="4">
        <v>0.09</v>
      </c>
      <c r="D485" s="4">
        <v>-2.91</v>
      </c>
      <c r="E485" s="4">
        <v>6.9932799629443872E-3</v>
      </c>
      <c r="F485" s="3">
        <v>483</v>
      </c>
      <c r="G485" s="3">
        <v>1</v>
      </c>
      <c r="H485" s="5">
        <v>384938.74716000003</v>
      </c>
      <c r="I485" s="5">
        <v>642818.74716000003</v>
      </c>
      <c r="J485" s="5">
        <v>262110</v>
      </c>
      <c r="K485" s="5">
        <v>4230</v>
      </c>
      <c r="L485" s="5">
        <v>0</v>
      </c>
      <c r="M485" s="5">
        <v>-22460</v>
      </c>
      <c r="N485" s="5">
        <v>-22460</v>
      </c>
    </row>
    <row r="486" spans="1:14" x14ac:dyDescent="0.25">
      <c r="A486" s="3" t="s">
        <v>497</v>
      </c>
      <c r="B486" s="4">
        <v>-18.91</v>
      </c>
      <c r="C486" s="4">
        <v>1.99</v>
      </c>
      <c r="D486" s="4">
        <v>-0.22</v>
      </c>
      <c r="E486" s="4">
        <v>6.9922547131782819E-3</v>
      </c>
      <c r="F486" s="3">
        <v>484</v>
      </c>
      <c r="G486" s="3">
        <v>1</v>
      </c>
      <c r="H486" s="5">
        <v>67670684.640000001</v>
      </c>
      <c r="I486" s="5">
        <v>411607684.63999999</v>
      </c>
      <c r="J486" s="5">
        <v>527174000</v>
      </c>
      <c r="K486" s="5">
        <v>183237000</v>
      </c>
      <c r="L486" s="5">
        <v>312474000</v>
      </c>
      <c r="M486" s="5">
        <v>-21765000</v>
      </c>
      <c r="N486" s="5">
        <v>-134273000</v>
      </c>
    </row>
    <row r="487" spans="1:14" x14ac:dyDescent="0.25">
      <c r="A487" s="3" t="s">
        <v>498</v>
      </c>
      <c r="B487" s="4">
        <v>-27.88</v>
      </c>
      <c r="C487" s="4">
        <v>0.05</v>
      </c>
      <c r="D487" s="4">
        <v>0.05</v>
      </c>
      <c r="E487" s="4">
        <v>6.99069618024456E-3</v>
      </c>
      <c r="F487" s="3">
        <v>485</v>
      </c>
      <c r="G487" s="3">
        <v>1</v>
      </c>
      <c r="H487" s="5">
        <v>95360538.409999996</v>
      </c>
      <c r="I487" s="5">
        <v>-226891461.59</v>
      </c>
      <c r="J487" s="5">
        <v>0</v>
      </c>
      <c r="K487" s="5">
        <v>322252000</v>
      </c>
      <c r="L487" s="5">
        <v>281767000</v>
      </c>
      <c r="M487" s="5">
        <v>8139000</v>
      </c>
      <c r="N487" s="5">
        <v>51497000</v>
      </c>
    </row>
    <row r="488" spans="1:14" x14ac:dyDescent="0.25">
      <c r="A488" s="3" t="s">
        <v>499</v>
      </c>
      <c r="B488" s="4">
        <v>-28.55</v>
      </c>
      <c r="C488" s="4">
        <v>-0.1</v>
      </c>
      <c r="D488" s="4">
        <v>-7.0000000000000007E-2</v>
      </c>
      <c r="E488" s="4">
        <v>6.9488205378018114E-3</v>
      </c>
      <c r="F488" s="3">
        <v>486</v>
      </c>
      <c r="G488" s="3">
        <v>1</v>
      </c>
      <c r="H488" s="5">
        <v>2302623905.8800001</v>
      </c>
      <c r="I488" s="5">
        <v>1730221905.8800001</v>
      </c>
      <c r="J488" s="5">
        <v>0</v>
      </c>
      <c r="K488" s="5">
        <v>572402000</v>
      </c>
      <c r="L488" s="5">
        <v>1348478000</v>
      </c>
      <c r="M488" s="5">
        <v>-60599000</v>
      </c>
      <c r="N488" s="5">
        <v>-143905000</v>
      </c>
    </row>
    <row r="489" spans="1:14" x14ac:dyDescent="0.25">
      <c r="A489" s="3" t="s">
        <v>500</v>
      </c>
      <c r="B489" s="4">
        <v>-28.26</v>
      </c>
      <c r="C489" s="4">
        <v>-0.05</v>
      </c>
      <c r="D489" s="4">
        <v>-0.04</v>
      </c>
      <c r="E489" s="4">
        <v>6.9195886873913738E-3</v>
      </c>
      <c r="F489" s="3">
        <v>487</v>
      </c>
      <c r="G489" s="3">
        <v>1</v>
      </c>
      <c r="H489" s="5">
        <v>457808584.83999997</v>
      </c>
      <c r="I489" s="5">
        <v>446789584.83999997</v>
      </c>
      <c r="J489" s="5">
        <v>5148000</v>
      </c>
      <c r="K489" s="5">
        <v>16167000</v>
      </c>
      <c r="L489" s="5">
        <v>166705000</v>
      </c>
      <c r="M489" s="5">
        <v>-15811000</v>
      </c>
      <c r="N489" s="5">
        <v>-12453000</v>
      </c>
    </row>
    <row r="490" spans="1:14" x14ac:dyDescent="0.25">
      <c r="A490" s="3" t="s">
        <v>501</v>
      </c>
      <c r="B490" s="4">
        <v>-27.8</v>
      </c>
      <c r="C490" s="4">
        <v>0.04</v>
      </c>
      <c r="D490" s="4">
        <v>0.02</v>
      </c>
      <c r="E490" s="4">
        <v>6.9065018479209676E-3</v>
      </c>
      <c r="F490" s="3">
        <v>488</v>
      </c>
      <c r="G490" s="3">
        <v>1</v>
      </c>
      <c r="H490" s="5">
        <v>2415447.8199999998</v>
      </c>
      <c r="I490" s="5">
        <v>-8180152.1799999997</v>
      </c>
      <c r="J490" s="5">
        <v>1507160</v>
      </c>
      <c r="K490" s="5">
        <v>12102760</v>
      </c>
      <c r="L490" s="5">
        <v>18227540</v>
      </c>
      <c r="M490" s="5">
        <v>294250</v>
      </c>
      <c r="N490" s="5">
        <v>756290</v>
      </c>
    </row>
    <row r="491" spans="1:14" x14ac:dyDescent="0.25">
      <c r="A491" s="3" t="s">
        <v>502</v>
      </c>
      <c r="B491" s="4">
        <v>-31.39</v>
      </c>
      <c r="C491" s="4">
        <v>-0.73</v>
      </c>
      <c r="D491" s="4">
        <v>-0.31</v>
      </c>
      <c r="E491" s="4">
        <v>6.8399610760008136E-3</v>
      </c>
      <c r="F491" s="3">
        <v>489</v>
      </c>
      <c r="G491" s="3">
        <v>1</v>
      </c>
      <c r="H491" s="5">
        <v>1341495659.3</v>
      </c>
      <c r="I491" s="5">
        <v>1294874659.3</v>
      </c>
      <c r="J491" s="5">
        <v>29771000</v>
      </c>
      <c r="K491" s="5">
        <v>76392000</v>
      </c>
      <c r="L491" s="5">
        <v>169800000</v>
      </c>
      <c r="M491" s="5">
        <v>-41255000</v>
      </c>
      <c r="N491" s="5">
        <v>-47137000</v>
      </c>
    </row>
    <row r="492" spans="1:14" x14ac:dyDescent="0.25">
      <c r="A492" s="3" t="s">
        <v>503</v>
      </c>
      <c r="B492" s="4">
        <v>-27.85</v>
      </c>
      <c r="C492" s="4">
        <v>-0.02</v>
      </c>
      <c r="D492" s="4">
        <v>-0.01</v>
      </c>
      <c r="E492" s="4">
        <v>6.7582991545870903E-3</v>
      </c>
      <c r="F492" s="3">
        <v>490</v>
      </c>
      <c r="G492" s="3">
        <v>1</v>
      </c>
      <c r="H492" s="5">
        <v>50.965620999999999</v>
      </c>
      <c r="I492" s="5">
        <v>355690.96562099998</v>
      </c>
      <c r="J492" s="5">
        <v>356680</v>
      </c>
      <c r="K492" s="5">
        <v>1040</v>
      </c>
      <c r="L492" s="5">
        <v>22400</v>
      </c>
      <c r="M492" s="5">
        <v>-12770</v>
      </c>
      <c r="N492" s="5">
        <v>-13710</v>
      </c>
    </row>
    <row r="493" spans="1:14" x14ac:dyDescent="0.25">
      <c r="A493" s="3" t="s">
        <v>504</v>
      </c>
      <c r="B493" s="4">
        <v>-27.82</v>
      </c>
      <c r="C493" s="4">
        <v>-0.03</v>
      </c>
      <c r="D493" s="4">
        <v>-0.02</v>
      </c>
      <c r="E493" s="4">
        <v>6.7089089039038922E-3</v>
      </c>
      <c r="F493" s="3">
        <v>491</v>
      </c>
      <c r="G493" s="3">
        <v>1</v>
      </c>
      <c r="H493" s="5">
        <v>44539822.979999997</v>
      </c>
      <c r="I493" s="5">
        <v>41732022.979999997</v>
      </c>
      <c r="J493" s="5">
        <v>0</v>
      </c>
      <c r="K493" s="5">
        <v>2807800</v>
      </c>
      <c r="L493" s="5">
        <v>12624170</v>
      </c>
      <c r="M493" s="5">
        <v>-1499910</v>
      </c>
      <c r="N493" s="5">
        <v>-874830</v>
      </c>
    </row>
    <row r="494" spans="1:14" x14ac:dyDescent="0.25">
      <c r="A494" s="3" t="s">
        <v>505</v>
      </c>
      <c r="B494" s="4">
        <v>-34.97</v>
      </c>
      <c r="C494" s="4">
        <v>-1.53</v>
      </c>
      <c r="D494" s="4">
        <v>-0.72</v>
      </c>
      <c r="E494" s="4">
        <v>6.6651180647201566E-3</v>
      </c>
      <c r="F494" s="3">
        <v>492</v>
      </c>
      <c r="G494" s="3">
        <v>1</v>
      </c>
      <c r="H494" s="5">
        <v>57672541.170000002</v>
      </c>
      <c r="I494" s="5">
        <v>57276321.170000002</v>
      </c>
      <c r="J494" s="5">
        <v>0</v>
      </c>
      <c r="K494" s="5">
        <v>396220</v>
      </c>
      <c r="L494" s="5">
        <v>667130</v>
      </c>
      <c r="M494" s="5">
        <v>-1637730</v>
      </c>
      <c r="N494" s="5">
        <v>-1713120</v>
      </c>
    </row>
    <row r="495" spans="1:14" x14ac:dyDescent="0.25">
      <c r="A495" s="3" t="s">
        <v>506</v>
      </c>
      <c r="B495" s="4">
        <v>-0.83</v>
      </c>
      <c r="C495" s="4">
        <v>5.85</v>
      </c>
      <c r="D495" s="4">
        <v>-1.88</v>
      </c>
      <c r="E495" s="4">
        <v>6.6348847085770596E-3</v>
      </c>
      <c r="F495" s="3">
        <v>493</v>
      </c>
      <c r="G495" s="3">
        <v>1</v>
      </c>
      <c r="H495" s="5">
        <v>1000.4002</v>
      </c>
      <c r="I495" s="5">
        <v>4434000.4002</v>
      </c>
      <c r="J495" s="5">
        <v>5572000</v>
      </c>
      <c r="K495" s="5">
        <v>1139000</v>
      </c>
      <c r="L495" s="5">
        <v>22649000</v>
      </c>
      <c r="M495" s="5">
        <v>-5316000</v>
      </c>
      <c r="N495" s="5">
        <v>-17560000</v>
      </c>
    </row>
    <row r="496" spans="1:14" x14ac:dyDescent="0.25">
      <c r="A496" s="3" t="s">
        <v>507</v>
      </c>
      <c r="B496" s="4">
        <v>-0.22</v>
      </c>
      <c r="C496" s="4">
        <v>5.9</v>
      </c>
      <c r="D496" s="4">
        <v>-0.85</v>
      </c>
      <c r="E496" s="4">
        <v>6.6005009336107326E-3</v>
      </c>
      <c r="F496" s="3">
        <v>494</v>
      </c>
      <c r="G496" s="3">
        <v>1</v>
      </c>
      <c r="H496" s="5">
        <v>11891691.08</v>
      </c>
      <c r="I496" s="5">
        <v>6548691.0800000001</v>
      </c>
      <c r="J496" s="5">
        <v>0</v>
      </c>
      <c r="K496" s="5">
        <v>5343000</v>
      </c>
      <c r="L496" s="5">
        <v>58298000</v>
      </c>
      <c r="M496" s="5">
        <v>-29590000</v>
      </c>
      <c r="N496" s="5">
        <v>-33648000</v>
      </c>
    </row>
    <row r="497" spans="1:14" x14ac:dyDescent="0.25">
      <c r="A497" s="3" t="s">
        <v>508</v>
      </c>
      <c r="B497" s="4">
        <v>-22.74</v>
      </c>
      <c r="C497" s="4">
        <v>1.01</v>
      </c>
      <c r="D497" s="4">
        <v>-0.22</v>
      </c>
      <c r="E497" s="4">
        <v>6.5311470077420606E-3</v>
      </c>
      <c r="F497" s="3">
        <v>495</v>
      </c>
      <c r="G497" s="3">
        <v>1</v>
      </c>
      <c r="H497" s="5">
        <v>30497783</v>
      </c>
      <c r="I497" s="5">
        <v>31604703</v>
      </c>
      <c r="J497" s="5">
        <v>1141160</v>
      </c>
      <c r="K497" s="5">
        <v>34240</v>
      </c>
      <c r="L497" s="5">
        <v>5163910</v>
      </c>
      <c r="M497" s="5">
        <v>-1389670</v>
      </c>
      <c r="N497" s="5">
        <v>-1466690</v>
      </c>
    </row>
    <row r="498" spans="1:14" x14ac:dyDescent="0.25">
      <c r="A498" s="3" t="s">
        <v>509</v>
      </c>
      <c r="B498" s="4">
        <v>-27.21</v>
      </c>
      <c r="C498" s="4">
        <v>0.02</v>
      </c>
      <c r="D498" s="4">
        <v>0.02</v>
      </c>
      <c r="E498" s="4">
        <v>6.483551497764483E-3</v>
      </c>
      <c r="F498" s="3">
        <v>496</v>
      </c>
      <c r="G498" s="3">
        <v>1</v>
      </c>
      <c r="H498" s="5">
        <v>67886851.799999997</v>
      </c>
      <c r="I498" s="5">
        <v>68596571.799999997</v>
      </c>
      <c r="J498" s="5">
        <v>800000</v>
      </c>
      <c r="K498" s="5">
        <v>90280</v>
      </c>
      <c r="L498" s="5">
        <v>0</v>
      </c>
      <c r="M498" s="5">
        <v>-2520820</v>
      </c>
      <c r="N498" s="5">
        <v>4970670</v>
      </c>
    </row>
    <row r="499" spans="1:14" x14ac:dyDescent="0.25">
      <c r="A499" s="3" t="s">
        <v>510</v>
      </c>
      <c r="B499" s="4">
        <v>-46.77</v>
      </c>
      <c r="C499" s="4">
        <v>0.89</v>
      </c>
      <c r="D499" s="4">
        <v>-76.52</v>
      </c>
      <c r="E499" s="4">
        <v>6.3386122272759051E-3</v>
      </c>
      <c r="F499" s="3">
        <v>497</v>
      </c>
      <c r="G499" s="3">
        <v>1</v>
      </c>
      <c r="H499" s="5">
        <v>10034220.705</v>
      </c>
      <c r="I499" s="5">
        <v>10031630.705</v>
      </c>
      <c r="J499" s="5">
        <v>0</v>
      </c>
      <c r="K499" s="5">
        <v>2590</v>
      </c>
      <c r="L499" s="5">
        <v>0</v>
      </c>
      <c r="M499" s="5">
        <v>-214510</v>
      </c>
      <c r="N499" s="5">
        <v>-427770</v>
      </c>
    </row>
    <row r="500" spans="1:14" x14ac:dyDescent="0.25">
      <c r="A500" s="3" t="s">
        <v>511</v>
      </c>
      <c r="B500" s="4">
        <v>-10.53</v>
      </c>
      <c r="C500" s="4">
        <v>3.55</v>
      </c>
      <c r="D500" s="4">
        <v>-0.23</v>
      </c>
      <c r="E500" s="4">
        <v>6.3111740067053213E-3</v>
      </c>
      <c r="F500" s="3">
        <v>498</v>
      </c>
      <c r="G500" s="3">
        <v>1</v>
      </c>
      <c r="H500" s="5">
        <v>939770894.74000001</v>
      </c>
      <c r="I500" s="5">
        <v>1626618894.74</v>
      </c>
      <c r="J500" s="5">
        <v>897949000</v>
      </c>
      <c r="K500" s="5">
        <v>211101000</v>
      </c>
      <c r="L500" s="5">
        <v>129976000</v>
      </c>
      <c r="M500" s="5">
        <v>-154543000</v>
      </c>
      <c r="N500" s="5">
        <v>-206290000</v>
      </c>
    </row>
    <row r="501" spans="1:14" x14ac:dyDescent="0.25">
      <c r="A501" s="3" t="s">
        <v>512</v>
      </c>
      <c r="B501" s="4">
        <v>-24.48</v>
      </c>
      <c r="C501" s="4">
        <v>0.53</v>
      </c>
      <c r="D501" s="4">
        <v>0.1</v>
      </c>
      <c r="E501" s="4">
        <v>6.2829045128197421E-3</v>
      </c>
      <c r="F501" s="3">
        <v>499</v>
      </c>
      <c r="G501" s="3">
        <v>1</v>
      </c>
      <c r="H501" s="5">
        <v>4406532.0290999999</v>
      </c>
      <c r="I501" s="5">
        <v>4794052.0290999999</v>
      </c>
      <c r="J501" s="5">
        <v>503270</v>
      </c>
      <c r="K501" s="5">
        <v>115750</v>
      </c>
      <c r="L501" s="5">
        <v>1057690</v>
      </c>
      <c r="M501" s="5">
        <v>-195830</v>
      </c>
      <c r="N501" s="5">
        <v>812080</v>
      </c>
    </row>
    <row r="502" spans="1:14" x14ac:dyDescent="0.25">
      <c r="A502" s="3" t="s">
        <v>513</v>
      </c>
      <c r="B502" s="4">
        <v>0.01</v>
      </c>
      <c r="C502" s="4">
        <v>6.25</v>
      </c>
      <c r="D502" s="4">
        <v>-7.36</v>
      </c>
      <c r="E502" s="4">
        <v>6.2136291461276621E-3</v>
      </c>
      <c r="F502" s="3">
        <v>500</v>
      </c>
      <c r="G502" s="3">
        <v>1</v>
      </c>
      <c r="H502" s="5">
        <v>3278.4380000000001</v>
      </c>
      <c r="I502" s="5">
        <v>-69641.562000000005</v>
      </c>
      <c r="J502" s="5">
        <v>0</v>
      </c>
      <c r="K502" s="5">
        <v>72920</v>
      </c>
      <c r="L502" s="5">
        <v>2632440</v>
      </c>
      <c r="M502" s="5">
        <v>-10327580</v>
      </c>
      <c r="N502" s="5">
        <v>-8765270</v>
      </c>
    </row>
    <row r="503" spans="1:14" x14ac:dyDescent="0.25">
      <c r="A503" s="3" t="s">
        <v>514</v>
      </c>
      <c r="B503" s="4">
        <v>-0.2</v>
      </c>
      <c r="C503" s="4">
        <v>5.75</v>
      </c>
      <c r="D503" s="4">
        <v>-1.21</v>
      </c>
      <c r="E503" s="4">
        <v>6.0852734602094977E-3</v>
      </c>
      <c r="F503" s="3">
        <v>501</v>
      </c>
      <c r="G503" s="3">
        <v>1</v>
      </c>
      <c r="H503" s="5">
        <v>11.711637</v>
      </c>
      <c r="I503" s="5">
        <v>7674011.7116370006</v>
      </c>
      <c r="J503" s="5">
        <v>28897000</v>
      </c>
      <c r="K503" s="5">
        <v>21223000</v>
      </c>
      <c r="L503" s="5">
        <v>329000</v>
      </c>
      <c r="M503" s="5">
        <v>-38936000</v>
      </c>
      <c r="N503" s="5">
        <v>-37991000</v>
      </c>
    </row>
    <row r="504" spans="1:14" x14ac:dyDescent="0.25">
      <c r="A504" s="3" t="s">
        <v>515</v>
      </c>
      <c r="B504" s="4">
        <v>-27.2</v>
      </c>
      <c r="C504" s="4">
        <v>-0.12</v>
      </c>
      <c r="D504" s="4">
        <v>-0.12</v>
      </c>
      <c r="E504" s="4">
        <v>6.0458454217799098E-3</v>
      </c>
      <c r="F504" s="3">
        <v>502</v>
      </c>
      <c r="G504" s="3">
        <v>1</v>
      </c>
      <c r="H504" s="5">
        <v>4122435465.6799998</v>
      </c>
      <c r="I504" s="5">
        <v>4095759465.6799998</v>
      </c>
      <c r="J504" s="5">
        <v>0</v>
      </c>
      <c r="K504" s="5">
        <v>26676000</v>
      </c>
      <c r="L504" s="5">
        <v>0</v>
      </c>
      <c r="M504" s="5">
        <v>-150575000</v>
      </c>
      <c r="N504" s="5">
        <v>-109963000</v>
      </c>
    </row>
    <row r="505" spans="1:14" x14ac:dyDescent="0.25">
      <c r="A505" s="3" t="s">
        <v>516</v>
      </c>
      <c r="B505" s="4">
        <v>-30.92</v>
      </c>
      <c r="C505" s="4">
        <v>-0.93</v>
      </c>
      <c r="D505" s="4">
        <v>-0.16</v>
      </c>
      <c r="E505" s="4">
        <v>6.0001316666116024E-3</v>
      </c>
      <c r="F505" s="3">
        <v>503</v>
      </c>
      <c r="G505" s="3">
        <v>1</v>
      </c>
      <c r="H505" s="5">
        <v>54731639.039999999</v>
      </c>
      <c r="I505" s="5">
        <v>262647639.03999999</v>
      </c>
      <c r="J505" s="5">
        <v>271523000</v>
      </c>
      <c r="K505" s="5">
        <v>63607000</v>
      </c>
      <c r="L505" s="5">
        <v>343925000</v>
      </c>
      <c r="M505" s="5">
        <v>-8494000</v>
      </c>
      <c r="N505" s="5">
        <v>-74673000</v>
      </c>
    </row>
    <row r="506" spans="1:14" x14ac:dyDescent="0.25">
      <c r="A506" s="3" t="s">
        <v>517</v>
      </c>
      <c r="B506" s="4">
        <v>-26.03</v>
      </c>
      <c r="C506" s="4">
        <v>0.05</v>
      </c>
      <c r="D506" s="4">
        <v>0.05</v>
      </c>
      <c r="E506" s="4">
        <v>5.8456931262852339E-3</v>
      </c>
      <c r="F506" s="3">
        <v>504</v>
      </c>
      <c r="G506" s="3">
        <v>1</v>
      </c>
      <c r="H506" s="5">
        <v>769916108</v>
      </c>
      <c r="I506" s="5">
        <v>478801108</v>
      </c>
      <c r="J506" s="5">
        <v>8436000</v>
      </c>
      <c r="K506" s="5">
        <v>299551000</v>
      </c>
      <c r="L506" s="5">
        <v>13175000</v>
      </c>
      <c r="M506" s="5">
        <v>-18392000</v>
      </c>
      <c r="N506" s="5">
        <v>44328000</v>
      </c>
    </row>
    <row r="507" spans="1:14" x14ac:dyDescent="0.25">
      <c r="A507" s="3" t="s">
        <v>518</v>
      </c>
      <c r="B507" s="4">
        <v>-29.13</v>
      </c>
      <c r="C507" s="4">
        <v>-0.6</v>
      </c>
      <c r="D507" s="4">
        <v>-0.4</v>
      </c>
      <c r="E507" s="4">
        <v>5.7994562404517086E-3</v>
      </c>
      <c r="F507" s="3">
        <v>505</v>
      </c>
      <c r="G507" s="3">
        <v>1</v>
      </c>
      <c r="H507" s="5">
        <v>12672976.199999999</v>
      </c>
      <c r="I507" s="5">
        <v>12497476.199999999</v>
      </c>
      <c r="J507" s="5">
        <v>23890</v>
      </c>
      <c r="K507" s="5">
        <v>199390</v>
      </c>
      <c r="L507" s="5">
        <v>1226610</v>
      </c>
      <c r="M507" s="5">
        <v>-429050</v>
      </c>
      <c r="N507" s="5">
        <v>-445700</v>
      </c>
    </row>
    <row r="508" spans="1:14" x14ac:dyDescent="0.25">
      <c r="A508" s="3" t="s">
        <v>519</v>
      </c>
      <c r="B508" s="4">
        <v>-27.96</v>
      </c>
      <c r="C508" s="4">
        <v>-0.37</v>
      </c>
      <c r="D508" s="4">
        <v>-0.1</v>
      </c>
      <c r="E508" s="4">
        <v>5.7977429325513597E-3</v>
      </c>
      <c r="F508" s="3">
        <v>506</v>
      </c>
      <c r="G508" s="3">
        <v>1</v>
      </c>
      <c r="H508" s="5">
        <v>277963251.30000001</v>
      </c>
      <c r="I508" s="5">
        <v>341856251.30000001</v>
      </c>
      <c r="J508" s="5">
        <v>84159000</v>
      </c>
      <c r="K508" s="5">
        <v>20266000</v>
      </c>
      <c r="L508" s="5">
        <v>201321000</v>
      </c>
      <c r="M508" s="5">
        <v>-12225000</v>
      </c>
      <c r="N508" s="5">
        <v>-20918000</v>
      </c>
    </row>
    <row r="509" spans="1:14" x14ac:dyDescent="0.25">
      <c r="A509" s="3" t="s">
        <v>520</v>
      </c>
      <c r="B509" s="4">
        <v>-27.26</v>
      </c>
      <c r="C509" s="4">
        <v>-0.22</v>
      </c>
      <c r="D509" s="4">
        <v>-0.12</v>
      </c>
      <c r="E509" s="4">
        <v>5.7940445858177961E-3</v>
      </c>
      <c r="F509" s="3">
        <v>507</v>
      </c>
      <c r="G509" s="3">
        <v>1</v>
      </c>
      <c r="H509" s="5">
        <v>3124383902.6399999</v>
      </c>
      <c r="I509" s="5">
        <v>3041321902.6399999</v>
      </c>
      <c r="J509" s="5">
        <v>0</v>
      </c>
      <c r="K509" s="5">
        <v>83062000</v>
      </c>
      <c r="L509" s="5">
        <v>593410000</v>
      </c>
      <c r="M509" s="5">
        <v>-111559000</v>
      </c>
      <c r="N509" s="5">
        <v>-103743000</v>
      </c>
    </row>
    <row r="510" spans="1:14" x14ac:dyDescent="0.25">
      <c r="A510" s="3" t="s">
        <v>521</v>
      </c>
      <c r="B510" s="4">
        <v>-28.74</v>
      </c>
      <c r="C510" s="4">
        <v>-0.54</v>
      </c>
      <c r="D510" s="4">
        <v>-0.2</v>
      </c>
      <c r="E510" s="4">
        <v>5.7700193919025542E-3</v>
      </c>
      <c r="F510" s="3">
        <v>508</v>
      </c>
      <c r="G510" s="3">
        <v>1</v>
      </c>
      <c r="H510" s="5">
        <v>142725005.52000001</v>
      </c>
      <c r="I510" s="5">
        <v>277543005.51999998</v>
      </c>
      <c r="J510" s="5">
        <v>147332000</v>
      </c>
      <c r="K510" s="5">
        <v>12514000</v>
      </c>
      <c r="L510" s="5">
        <v>547306000</v>
      </c>
      <c r="M510" s="5">
        <v>-9657000</v>
      </c>
      <c r="N510" s="5">
        <v>-126340000</v>
      </c>
    </row>
    <row r="511" spans="1:14" x14ac:dyDescent="0.25">
      <c r="A511" s="3" t="s">
        <v>522</v>
      </c>
      <c r="B511" s="4">
        <v>-22.78</v>
      </c>
      <c r="C511" s="4">
        <v>0.73</v>
      </c>
      <c r="D511" s="4">
        <v>-0.44</v>
      </c>
      <c r="E511" s="4">
        <v>5.7044442494204196E-3</v>
      </c>
      <c r="F511" s="3">
        <v>509</v>
      </c>
      <c r="G511" s="3">
        <v>1</v>
      </c>
      <c r="H511" s="5">
        <v>723619620</v>
      </c>
      <c r="I511" s="5">
        <v>684599620</v>
      </c>
      <c r="J511" s="5">
        <v>32526000</v>
      </c>
      <c r="K511" s="5">
        <v>71546000</v>
      </c>
      <c r="L511" s="5">
        <v>57561000</v>
      </c>
      <c r="M511" s="5">
        <v>-30053000</v>
      </c>
      <c r="N511" s="5">
        <v>-44137000</v>
      </c>
    </row>
    <row r="512" spans="1:14" x14ac:dyDescent="0.25">
      <c r="A512" s="3" t="s">
        <v>523</v>
      </c>
      <c r="B512" s="4">
        <v>-26.21</v>
      </c>
      <c r="C512" s="4">
        <v>-0.04</v>
      </c>
      <c r="D512" s="4">
        <v>-0.02</v>
      </c>
      <c r="E512" s="4">
        <v>5.6835531796599649E-3</v>
      </c>
      <c r="F512" s="3">
        <v>510</v>
      </c>
      <c r="G512" s="3">
        <v>1</v>
      </c>
      <c r="H512" s="5">
        <v>10535700</v>
      </c>
      <c r="I512" s="5">
        <v>-16921890</v>
      </c>
      <c r="J512" s="5">
        <v>17179540</v>
      </c>
      <c r="K512" s="5">
        <v>44637130</v>
      </c>
      <c r="L512" s="5">
        <v>153493070</v>
      </c>
      <c r="M512" s="5">
        <v>645680</v>
      </c>
      <c r="N512" s="5">
        <v>-2660410</v>
      </c>
    </row>
    <row r="513" spans="1:14" x14ac:dyDescent="0.25">
      <c r="A513" s="3" t="s">
        <v>524</v>
      </c>
      <c r="B513" s="4">
        <v>0.01</v>
      </c>
      <c r="C513" s="4">
        <v>5.82</v>
      </c>
      <c r="D513" s="4">
        <v>-3.7</v>
      </c>
      <c r="E513" s="4">
        <v>5.6772277718731157E-3</v>
      </c>
      <c r="F513" s="3">
        <v>511</v>
      </c>
      <c r="G513" s="3">
        <v>1</v>
      </c>
      <c r="H513" s="5">
        <v>69.268299999999996</v>
      </c>
      <c r="I513" s="5">
        <v>-83930.731700000004</v>
      </c>
      <c r="J513" s="5">
        <v>984000</v>
      </c>
      <c r="K513" s="5">
        <v>1068000</v>
      </c>
      <c r="L513" s="5">
        <v>60000</v>
      </c>
      <c r="M513" s="5">
        <v>-14127000</v>
      </c>
      <c r="N513" s="5">
        <v>-14455000</v>
      </c>
    </row>
    <row r="514" spans="1:14" x14ac:dyDescent="0.25">
      <c r="A514" s="3" t="s">
        <v>525</v>
      </c>
      <c r="B514" s="4">
        <v>-0.34</v>
      </c>
      <c r="C514" s="4">
        <v>5.6</v>
      </c>
      <c r="D514" s="4">
        <v>-2.5099999999999998</v>
      </c>
      <c r="E514" s="4">
        <v>5.4877447796759481E-3</v>
      </c>
      <c r="F514" s="3">
        <v>512</v>
      </c>
      <c r="G514" s="3">
        <v>1</v>
      </c>
      <c r="H514" s="5">
        <v>3568295.7420000001</v>
      </c>
      <c r="I514" s="5">
        <v>8940295.7420000006</v>
      </c>
      <c r="J514" s="5">
        <v>10018000</v>
      </c>
      <c r="K514" s="5">
        <v>4646000</v>
      </c>
      <c r="L514" s="5">
        <v>0</v>
      </c>
      <c r="M514" s="5">
        <v>-26149000</v>
      </c>
      <c r="N514" s="5">
        <v>-25430000</v>
      </c>
    </row>
    <row r="515" spans="1:14" x14ac:dyDescent="0.25">
      <c r="A515" s="3" t="s">
        <v>526</v>
      </c>
      <c r="B515" s="4">
        <v>-26.75</v>
      </c>
      <c r="C515" s="4">
        <v>0.44</v>
      </c>
      <c r="D515" s="4">
        <v>-10.37</v>
      </c>
      <c r="E515" s="4">
        <v>5.4081209162775588E-3</v>
      </c>
      <c r="F515" s="3">
        <v>513</v>
      </c>
      <c r="G515" s="3">
        <v>1</v>
      </c>
      <c r="H515" s="5">
        <v>87914190.799999997</v>
      </c>
      <c r="I515" s="5">
        <v>91469460.799999997</v>
      </c>
      <c r="J515" s="5">
        <v>3597440</v>
      </c>
      <c r="K515" s="5">
        <v>42170</v>
      </c>
      <c r="L515" s="5">
        <v>0</v>
      </c>
      <c r="M515" s="5">
        <v>-3419420</v>
      </c>
      <c r="N515" s="5">
        <v>-2821340</v>
      </c>
    </row>
    <row r="516" spans="1:14" x14ac:dyDescent="0.25">
      <c r="A516" s="3" t="s">
        <v>527</v>
      </c>
      <c r="B516" s="4">
        <v>-26.68</v>
      </c>
      <c r="C516" s="4">
        <v>-0.23</v>
      </c>
      <c r="D516" s="4">
        <v>-0.21</v>
      </c>
      <c r="E516" s="4">
        <v>5.3888158091752918E-3</v>
      </c>
      <c r="F516" s="3">
        <v>514</v>
      </c>
      <c r="G516" s="3">
        <v>1</v>
      </c>
      <c r="H516" s="5">
        <v>10254363858.6</v>
      </c>
      <c r="I516" s="5">
        <v>10034495858.6</v>
      </c>
      <c r="J516" s="5">
        <v>0</v>
      </c>
      <c r="K516" s="5">
        <v>219868000</v>
      </c>
      <c r="L516" s="5">
        <v>10897000</v>
      </c>
      <c r="M516" s="5">
        <v>-376160000</v>
      </c>
      <c r="N516" s="5">
        <v>-322302000</v>
      </c>
    </row>
    <row r="517" spans="1:14" x14ac:dyDescent="0.25">
      <c r="A517" s="3" t="s">
        <v>528</v>
      </c>
      <c r="B517" s="4">
        <v>-18.54</v>
      </c>
      <c r="C517" s="4">
        <v>1.49</v>
      </c>
      <c r="D517" s="4">
        <v>-0.55000000000000004</v>
      </c>
      <c r="E517" s="4">
        <v>5.2549158746058233E-3</v>
      </c>
      <c r="F517" s="3">
        <v>515</v>
      </c>
      <c r="G517" s="3">
        <v>1</v>
      </c>
      <c r="H517" s="5">
        <v>2475172.8196</v>
      </c>
      <c r="I517" s="5">
        <v>5591772.8196</v>
      </c>
      <c r="J517" s="5">
        <v>3226480</v>
      </c>
      <c r="K517" s="5">
        <v>109880</v>
      </c>
      <c r="L517" s="5">
        <v>580320</v>
      </c>
      <c r="M517" s="5">
        <v>-301560</v>
      </c>
      <c r="N517" s="5">
        <v>-1600900</v>
      </c>
    </row>
    <row r="518" spans="1:14" x14ac:dyDescent="0.25">
      <c r="A518" s="3" t="s">
        <v>529</v>
      </c>
      <c r="B518" s="4">
        <v>-23.8</v>
      </c>
      <c r="C518" s="4">
        <v>0.36</v>
      </c>
      <c r="D518" s="4">
        <v>-0.57999999999999996</v>
      </c>
      <c r="E518" s="4">
        <v>5.2396733989022917E-3</v>
      </c>
      <c r="F518" s="3">
        <v>516</v>
      </c>
      <c r="G518" s="3">
        <v>1</v>
      </c>
      <c r="H518" s="5">
        <v>12075134222.58</v>
      </c>
      <c r="I518" s="5">
        <v>13594506222.58</v>
      </c>
      <c r="J518" s="5">
        <v>2200473000</v>
      </c>
      <c r="K518" s="5">
        <v>681101000</v>
      </c>
      <c r="L518" s="5">
        <v>221902000</v>
      </c>
      <c r="M518" s="5">
        <v>-571293000</v>
      </c>
      <c r="N518" s="5">
        <v>-535762000</v>
      </c>
    </row>
    <row r="519" spans="1:14" x14ac:dyDescent="0.25">
      <c r="A519" s="3" t="s">
        <v>530</v>
      </c>
      <c r="B519" s="4">
        <v>-26.41</v>
      </c>
      <c r="C519" s="4">
        <v>-0.26</v>
      </c>
      <c r="D519" s="4">
        <v>-0.13</v>
      </c>
      <c r="E519" s="4">
        <v>5.1504586469308727E-3</v>
      </c>
      <c r="F519" s="3">
        <v>517</v>
      </c>
      <c r="G519" s="3">
        <v>1</v>
      </c>
      <c r="H519" s="5">
        <v>107345972.09999999</v>
      </c>
      <c r="I519" s="5">
        <v>116430192.09999999</v>
      </c>
      <c r="J519" s="5">
        <v>11335680</v>
      </c>
      <c r="K519" s="5">
        <v>2251460</v>
      </c>
      <c r="L519" s="5">
        <v>43650290</v>
      </c>
      <c r="M519" s="5">
        <v>-4409210</v>
      </c>
      <c r="N519" s="5">
        <v>-16197990</v>
      </c>
    </row>
    <row r="520" spans="1:14" x14ac:dyDescent="0.25">
      <c r="A520" s="3" t="s">
        <v>531</v>
      </c>
      <c r="B520" s="4">
        <v>-25.19</v>
      </c>
      <c r="C520" s="4">
        <v>-0.02</v>
      </c>
      <c r="D520" s="4">
        <v>-0.02</v>
      </c>
      <c r="E520" s="4">
        <v>5.110041412586982E-3</v>
      </c>
      <c r="F520" s="3">
        <v>518</v>
      </c>
      <c r="G520" s="3">
        <v>1</v>
      </c>
      <c r="H520" s="5">
        <v>574658900</v>
      </c>
      <c r="I520" s="5">
        <v>539655900</v>
      </c>
      <c r="J520" s="5">
        <v>0</v>
      </c>
      <c r="K520" s="5">
        <v>35003000</v>
      </c>
      <c r="L520" s="5">
        <v>203825000</v>
      </c>
      <c r="M520" s="5">
        <v>-21425000</v>
      </c>
      <c r="N520" s="5">
        <v>-16800000</v>
      </c>
    </row>
    <row r="521" spans="1:14" x14ac:dyDescent="0.25">
      <c r="A521" s="3" t="s">
        <v>532</v>
      </c>
      <c r="B521" s="4">
        <v>-6.84</v>
      </c>
      <c r="C521" s="4">
        <v>3.89</v>
      </c>
      <c r="D521" s="4">
        <v>-0.27</v>
      </c>
      <c r="E521" s="4">
        <v>5.0020236366652912E-3</v>
      </c>
      <c r="F521" s="3">
        <v>519</v>
      </c>
      <c r="G521" s="3">
        <v>1</v>
      </c>
      <c r="H521" s="5">
        <v>61087558.982093498</v>
      </c>
      <c r="I521" s="5">
        <v>4066566558.9820929</v>
      </c>
      <c r="J521" s="5">
        <v>4169371000</v>
      </c>
      <c r="K521" s="5">
        <v>163892000</v>
      </c>
      <c r="L521" s="5">
        <v>345611000</v>
      </c>
      <c r="M521" s="5">
        <v>-594118000</v>
      </c>
      <c r="N521" s="5">
        <v>-1989709000</v>
      </c>
    </row>
    <row r="522" spans="1:14" x14ac:dyDescent="0.25">
      <c r="A522" s="3" t="s">
        <v>533</v>
      </c>
      <c r="B522" s="4">
        <v>-48.02</v>
      </c>
      <c r="C522" s="4">
        <v>-4.88</v>
      </c>
      <c r="D522" s="4">
        <v>-1.56</v>
      </c>
      <c r="E522" s="4">
        <v>4.9006349170523126E-3</v>
      </c>
      <c r="F522" s="3">
        <v>520</v>
      </c>
      <c r="G522" s="3">
        <v>1</v>
      </c>
      <c r="H522" s="5">
        <v>260140754.40000001</v>
      </c>
      <c r="I522" s="5">
        <v>258393294.40000001</v>
      </c>
      <c r="J522" s="5">
        <v>310380</v>
      </c>
      <c r="K522" s="5">
        <v>2057840</v>
      </c>
      <c r="L522" s="5">
        <v>0</v>
      </c>
      <c r="M522" s="5">
        <v>-5381080</v>
      </c>
      <c r="N522" s="5">
        <v>-5591110</v>
      </c>
    </row>
    <row r="523" spans="1:14" x14ac:dyDescent="0.25">
      <c r="A523" s="3" t="s">
        <v>534</v>
      </c>
      <c r="B523" s="4">
        <v>-3.99</v>
      </c>
      <c r="C523" s="4">
        <v>4.5199999999999996</v>
      </c>
      <c r="D523" s="4">
        <v>-1.29</v>
      </c>
      <c r="E523" s="4">
        <v>4.8616365440034724E-3</v>
      </c>
      <c r="F523" s="3">
        <v>521</v>
      </c>
      <c r="G523" s="3">
        <v>1</v>
      </c>
      <c r="H523" s="5">
        <v>502209403.19999999</v>
      </c>
      <c r="I523" s="5">
        <v>454115403.19999999</v>
      </c>
      <c r="J523" s="5">
        <v>40724000</v>
      </c>
      <c r="K523" s="5">
        <v>88818000</v>
      </c>
      <c r="L523" s="5">
        <v>10000000</v>
      </c>
      <c r="M523" s="5">
        <v>-113940000</v>
      </c>
      <c r="N523" s="5">
        <v>-130637000</v>
      </c>
    </row>
    <row r="524" spans="1:14" x14ac:dyDescent="0.25">
      <c r="A524" s="3" t="s">
        <v>535</v>
      </c>
      <c r="B524" s="4">
        <v>-28.29</v>
      </c>
      <c r="C524" s="4">
        <v>-0.77</v>
      </c>
      <c r="D524" s="4">
        <v>-0.15</v>
      </c>
      <c r="E524" s="4">
        <v>4.8365973070890649E-3</v>
      </c>
      <c r="F524" s="3">
        <v>522</v>
      </c>
      <c r="G524" s="3">
        <v>1</v>
      </c>
      <c r="H524" s="5">
        <v>12096247669.24</v>
      </c>
      <c r="I524" s="5">
        <v>13099820669.24</v>
      </c>
      <c r="J524" s="5">
        <v>1245650000</v>
      </c>
      <c r="K524" s="5">
        <v>242077000</v>
      </c>
      <c r="L524" s="5">
        <v>705138000</v>
      </c>
      <c r="M524" s="5">
        <v>-463131000</v>
      </c>
      <c r="N524" s="5">
        <v>-453897000</v>
      </c>
    </row>
    <row r="525" spans="1:14" x14ac:dyDescent="0.25">
      <c r="A525" s="3" t="s">
        <v>536</v>
      </c>
      <c r="B525" s="4">
        <v>-27.22</v>
      </c>
      <c r="C525" s="4">
        <v>-0.55000000000000004</v>
      </c>
      <c r="D525" s="4">
        <v>-0.13</v>
      </c>
      <c r="E525" s="4">
        <v>4.8138697049748633E-3</v>
      </c>
      <c r="F525" s="3">
        <v>523</v>
      </c>
      <c r="G525" s="3">
        <v>1</v>
      </c>
      <c r="H525" s="5">
        <v>5365524693.54</v>
      </c>
      <c r="I525" s="5">
        <v>6996524693.54</v>
      </c>
      <c r="J525" s="5">
        <v>2302000000</v>
      </c>
      <c r="K525" s="5">
        <v>671000000</v>
      </c>
      <c r="L525" s="5">
        <v>5153000000</v>
      </c>
      <c r="M525" s="5">
        <v>-257000000</v>
      </c>
      <c r="N525" s="5">
        <v>-392000000</v>
      </c>
    </row>
    <row r="526" spans="1:14" x14ac:dyDescent="0.25">
      <c r="A526" s="3" t="s">
        <v>537</v>
      </c>
      <c r="B526" s="4">
        <v>5.67</v>
      </c>
      <c r="C526" s="4">
        <v>6.49</v>
      </c>
      <c r="D526" s="4">
        <v>-0.11</v>
      </c>
      <c r="E526" s="4">
        <v>4.8025295586205724E-3</v>
      </c>
      <c r="F526" s="3">
        <v>524</v>
      </c>
      <c r="G526" s="3">
        <v>1</v>
      </c>
      <c r="H526" s="5">
        <v>30623552.794799998</v>
      </c>
      <c r="I526" s="5">
        <v>134206552.7948</v>
      </c>
      <c r="J526" s="5">
        <v>104732000</v>
      </c>
      <c r="K526" s="5">
        <v>1149000</v>
      </c>
      <c r="L526" s="5">
        <v>493271000</v>
      </c>
      <c r="M526" s="5">
        <v>23667000</v>
      </c>
      <c r="N526" s="5">
        <v>-36213000</v>
      </c>
    </row>
    <row r="527" spans="1:14" x14ac:dyDescent="0.25">
      <c r="A527" s="3" t="s">
        <v>538</v>
      </c>
      <c r="B527" s="4">
        <v>-25.27</v>
      </c>
      <c r="C527" s="4">
        <v>-0.15</v>
      </c>
      <c r="D527" s="4">
        <v>-0.03</v>
      </c>
      <c r="E527" s="4">
        <v>4.7820091403981413E-3</v>
      </c>
      <c r="F527" s="3">
        <v>525</v>
      </c>
      <c r="G527" s="3">
        <v>1</v>
      </c>
      <c r="H527" s="5">
        <v>2920682441.6999998</v>
      </c>
      <c r="I527" s="5">
        <v>2840426441.6999998</v>
      </c>
      <c r="J527" s="5">
        <v>1789161000</v>
      </c>
      <c r="K527" s="5">
        <v>1869417000</v>
      </c>
      <c r="L527" s="5">
        <v>9094327000</v>
      </c>
      <c r="M527" s="5">
        <v>-112404000</v>
      </c>
      <c r="N527" s="5">
        <v>-335788000</v>
      </c>
    </row>
    <row r="528" spans="1:14" x14ac:dyDescent="0.25">
      <c r="A528" s="3" t="s">
        <v>539</v>
      </c>
      <c r="B528" s="4">
        <v>0.15</v>
      </c>
      <c r="C528" s="4">
        <v>5.5</v>
      </c>
      <c r="D528" s="4">
        <v>-3.15</v>
      </c>
      <c r="E528" s="4">
        <v>4.7720799294142004E-3</v>
      </c>
      <c r="F528" s="3">
        <v>526</v>
      </c>
      <c r="G528" s="3">
        <v>1</v>
      </c>
      <c r="H528" s="5">
        <v>1070.4802999999999</v>
      </c>
      <c r="I528" s="5">
        <v>-8905929.5197000001</v>
      </c>
      <c r="J528" s="5">
        <v>0</v>
      </c>
      <c r="K528" s="5">
        <v>8907000</v>
      </c>
      <c r="L528" s="5">
        <v>0</v>
      </c>
      <c r="M528" s="5">
        <v>-58335000</v>
      </c>
      <c r="N528" s="5">
        <v>-65153000</v>
      </c>
    </row>
    <row r="529" spans="1:14" x14ac:dyDescent="0.25">
      <c r="A529" s="3" t="s">
        <v>540</v>
      </c>
      <c r="B529" s="4">
        <v>-0.11</v>
      </c>
      <c r="C529" s="4">
        <v>5.36</v>
      </c>
      <c r="D529" s="4">
        <v>-2.14</v>
      </c>
      <c r="E529" s="4">
        <v>4.7233204636638933E-3</v>
      </c>
      <c r="F529" s="3">
        <v>527</v>
      </c>
      <c r="G529" s="3">
        <v>1</v>
      </c>
      <c r="H529" s="5">
        <v>97096.62</v>
      </c>
      <c r="I529" s="5">
        <v>2713096.62</v>
      </c>
      <c r="J529" s="5">
        <v>5194000</v>
      </c>
      <c r="K529" s="5">
        <v>2578000</v>
      </c>
      <c r="L529" s="5">
        <v>0</v>
      </c>
      <c r="M529" s="5">
        <v>-25647000</v>
      </c>
      <c r="N529" s="5">
        <v>-25263000</v>
      </c>
    </row>
    <row r="530" spans="1:14" x14ac:dyDescent="0.25">
      <c r="A530" s="3" t="s">
        <v>541</v>
      </c>
      <c r="B530" s="4">
        <v>7.39</v>
      </c>
      <c r="C530" s="4">
        <v>6.81</v>
      </c>
      <c r="D530" s="4">
        <v>0.19</v>
      </c>
      <c r="E530" s="4">
        <v>4.7204524005110809E-3</v>
      </c>
      <c r="F530" s="3">
        <v>528</v>
      </c>
      <c r="G530" s="3">
        <v>1</v>
      </c>
      <c r="H530" s="5">
        <v>6467559444.1800003</v>
      </c>
      <c r="I530" s="5">
        <v>6977480444.1800003</v>
      </c>
      <c r="J530" s="5">
        <v>1493198000</v>
      </c>
      <c r="K530" s="5">
        <v>983277000</v>
      </c>
      <c r="L530" s="5">
        <v>3760995000</v>
      </c>
      <c r="M530" s="5">
        <v>944797000</v>
      </c>
      <c r="N530" s="5">
        <v>605773000</v>
      </c>
    </row>
    <row r="531" spans="1:14" x14ac:dyDescent="0.25">
      <c r="A531" s="3" t="s">
        <v>542</v>
      </c>
      <c r="B531" s="4">
        <v>-0.65</v>
      </c>
      <c r="C531" s="4">
        <v>5.31</v>
      </c>
      <c r="D531" s="4">
        <v>-3.2</v>
      </c>
      <c r="E531" s="4">
        <v>4.7085927190181603E-3</v>
      </c>
      <c r="F531" s="3">
        <v>529</v>
      </c>
      <c r="G531" s="3">
        <v>1</v>
      </c>
      <c r="H531" s="5">
        <v>26952.38</v>
      </c>
      <c r="I531" s="5">
        <v>11689952.380000001</v>
      </c>
      <c r="J531" s="5">
        <v>13531000</v>
      </c>
      <c r="K531" s="5">
        <v>1868000</v>
      </c>
      <c r="L531" s="5">
        <v>9878000</v>
      </c>
      <c r="M531" s="5">
        <v>-17897000</v>
      </c>
      <c r="N531" s="5">
        <v>-79713000</v>
      </c>
    </row>
    <row r="532" spans="1:14" x14ac:dyDescent="0.25">
      <c r="A532" s="3" t="s">
        <v>543</v>
      </c>
      <c r="B532" s="4">
        <v>-1.3</v>
      </c>
      <c r="C532" s="4">
        <v>5.1100000000000003</v>
      </c>
      <c r="D532" s="4">
        <v>-2.38</v>
      </c>
      <c r="E532" s="4">
        <v>4.691199128394519E-3</v>
      </c>
      <c r="F532" s="3">
        <v>530</v>
      </c>
      <c r="G532" s="3">
        <v>1</v>
      </c>
      <c r="H532" s="5">
        <v>20765311.655999999</v>
      </c>
      <c r="I532" s="5">
        <v>21117311.655999999</v>
      </c>
      <c r="J532" s="5">
        <v>2121000</v>
      </c>
      <c r="K532" s="5">
        <v>1769000</v>
      </c>
      <c r="L532" s="5">
        <v>9182000</v>
      </c>
      <c r="M532" s="5">
        <v>-16186000</v>
      </c>
      <c r="N532" s="5">
        <v>-13094000</v>
      </c>
    </row>
    <row r="533" spans="1:14" x14ac:dyDescent="0.25">
      <c r="A533" s="3" t="s">
        <v>544</v>
      </c>
      <c r="B533" s="4">
        <v>-3.39</v>
      </c>
      <c r="C533" s="4">
        <v>4.59</v>
      </c>
      <c r="D533" s="4">
        <v>-1.84</v>
      </c>
      <c r="E533" s="4">
        <v>4.5864429895172091E-3</v>
      </c>
      <c r="F533" s="3">
        <v>531</v>
      </c>
      <c r="G533" s="3">
        <v>1</v>
      </c>
      <c r="H533" s="5">
        <v>149168532.91999999</v>
      </c>
      <c r="I533" s="5">
        <v>151584532.91999999</v>
      </c>
      <c r="J533" s="5">
        <v>20034000</v>
      </c>
      <c r="K533" s="5">
        <v>17618000</v>
      </c>
      <c r="L533" s="5">
        <v>0</v>
      </c>
      <c r="M533" s="5">
        <v>-44665000</v>
      </c>
      <c r="N533" s="5">
        <v>-51898000</v>
      </c>
    </row>
    <row r="534" spans="1:14" x14ac:dyDescent="0.25">
      <c r="A534" s="3" t="s">
        <v>545</v>
      </c>
      <c r="B534" s="4">
        <v>-0.4</v>
      </c>
      <c r="C534" s="4">
        <v>5.57</v>
      </c>
      <c r="D534" s="4">
        <v>-7.04</v>
      </c>
      <c r="E534" s="4">
        <v>4.5643501532048793E-3</v>
      </c>
      <c r="F534" s="3">
        <v>532</v>
      </c>
      <c r="G534" s="3">
        <v>1</v>
      </c>
      <c r="H534" s="5">
        <v>307583.65999999997</v>
      </c>
      <c r="I534" s="5">
        <v>17040583.66</v>
      </c>
      <c r="J534" s="5">
        <v>23846000</v>
      </c>
      <c r="K534" s="5">
        <v>7113000</v>
      </c>
      <c r="L534" s="5">
        <v>12049000</v>
      </c>
      <c r="M534" s="5">
        <v>-42970000</v>
      </c>
      <c r="N534" s="5">
        <v>-144851000</v>
      </c>
    </row>
    <row r="535" spans="1:14" x14ac:dyDescent="0.25">
      <c r="A535" s="3" t="s">
        <v>546</v>
      </c>
      <c r="B535" s="4">
        <v>0.06</v>
      </c>
      <c r="C535" s="4">
        <v>5.26</v>
      </c>
      <c r="D535" s="4">
        <v>-0.99</v>
      </c>
      <c r="E535" s="4">
        <v>4.5510059530821708E-3</v>
      </c>
      <c r="F535" s="3">
        <v>533</v>
      </c>
      <c r="G535" s="3">
        <v>1</v>
      </c>
      <c r="H535" s="5">
        <v>10365.456</v>
      </c>
      <c r="I535" s="5">
        <v>-2138634.5440000002</v>
      </c>
      <c r="J535" s="5">
        <v>30826000</v>
      </c>
      <c r="K535" s="5">
        <v>32975000</v>
      </c>
      <c r="L535" s="5">
        <v>3125000</v>
      </c>
      <c r="M535" s="5">
        <v>-34954000</v>
      </c>
      <c r="N535" s="5">
        <v>-40289000</v>
      </c>
    </row>
    <row r="536" spans="1:14" x14ac:dyDescent="0.25">
      <c r="A536" s="3" t="s">
        <v>547</v>
      </c>
      <c r="B536" s="4">
        <v>-26.03</v>
      </c>
      <c r="C536" s="4">
        <v>0.24</v>
      </c>
      <c r="D536" s="4">
        <v>-9.58</v>
      </c>
      <c r="E536" s="4">
        <v>4.5370190654217884E-3</v>
      </c>
      <c r="F536" s="3">
        <v>534</v>
      </c>
      <c r="G536" s="3">
        <v>1</v>
      </c>
      <c r="H536" s="5">
        <v>4255000</v>
      </c>
      <c r="I536" s="5">
        <v>4244050</v>
      </c>
      <c r="J536" s="5">
        <v>0</v>
      </c>
      <c r="K536" s="5">
        <v>10950</v>
      </c>
      <c r="L536" s="5">
        <v>97390</v>
      </c>
      <c r="M536" s="5">
        <v>-163040</v>
      </c>
      <c r="N536" s="5">
        <v>-164070</v>
      </c>
    </row>
    <row r="537" spans="1:14" x14ac:dyDescent="0.25">
      <c r="A537" s="3" t="s">
        <v>548</v>
      </c>
      <c r="B537" s="4">
        <v>-25.69</v>
      </c>
      <c r="C537" s="4">
        <v>-0.33</v>
      </c>
      <c r="D537" s="4">
        <v>-0.28000000000000003</v>
      </c>
      <c r="E537" s="4">
        <v>4.4736451889775056E-3</v>
      </c>
      <c r="F537" s="3">
        <v>535</v>
      </c>
      <c r="G537" s="3">
        <v>1</v>
      </c>
      <c r="H537" s="5">
        <v>7218887029.2200003</v>
      </c>
      <c r="I537" s="5">
        <v>6925593029.2200003</v>
      </c>
      <c r="J537" s="5">
        <v>0</v>
      </c>
      <c r="K537" s="5">
        <v>293294000</v>
      </c>
      <c r="L537" s="5">
        <v>36133000</v>
      </c>
      <c r="M537" s="5">
        <v>-269567000</v>
      </c>
      <c r="N537" s="5">
        <v>-215326000</v>
      </c>
    </row>
    <row r="538" spans="1:14" x14ac:dyDescent="0.25">
      <c r="A538" s="3" t="s">
        <v>549</v>
      </c>
      <c r="B538" s="4">
        <v>-22.94</v>
      </c>
      <c r="C538" s="4">
        <v>0.26</v>
      </c>
      <c r="D538" s="4">
        <v>-0.34</v>
      </c>
      <c r="E538" s="4">
        <v>4.4647622766691916E-3</v>
      </c>
      <c r="F538" s="3">
        <v>536</v>
      </c>
      <c r="G538" s="3">
        <v>1</v>
      </c>
      <c r="H538" s="5">
        <v>16540234.9</v>
      </c>
      <c r="I538" s="5">
        <v>20942354.899999999</v>
      </c>
      <c r="J538" s="5">
        <v>4438290</v>
      </c>
      <c r="K538" s="5">
        <v>36170</v>
      </c>
      <c r="L538" s="5">
        <v>2559830</v>
      </c>
      <c r="M538" s="5">
        <v>-912980</v>
      </c>
      <c r="N538" s="5">
        <v>-1308030</v>
      </c>
    </row>
    <row r="539" spans="1:14" x14ac:dyDescent="0.25">
      <c r="A539" s="3" t="s">
        <v>550</v>
      </c>
      <c r="B539" s="4">
        <v>-24.89</v>
      </c>
      <c r="C539" s="4">
        <v>-0.19</v>
      </c>
      <c r="D539" s="4">
        <v>-0.08</v>
      </c>
      <c r="E539" s="4">
        <v>4.4215997629638397E-3</v>
      </c>
      <c r="F539" s="3">
        <v>537</v>
      </c>
      <c r="G539" s="3">
        <v>1</v>
      </c>
      <c r="H539" s="5">
        <v>214639556.25</v>
      </c>
      <c r="I539" s="5">
        <v>347354556.25</v>
      </c>
      <c r="J539" s="5">
        <v>382360000</v>
      </c>
      <c r="K539" s="5">
        <v>249645000</v>
      </c>
      <c r="L539" s="5">
        <v>306584000</v>
      </c>
      <c r="M539" s="5">
        <v>-13954000</v>
      </c>
      <c r="N539" s="5">
        <v>-69502000</v>
      </c>
    </row>
    <row r="540" spans="1:14" x14ac:dyDescent="0.25">
      <c r="A540" s="3" t="s">
        <v>551</v>
      </c>
      <c r="B540" s="4">
        <v>-28.64</v>
      </c>
      <c r="C540" s="4">
        <v>-0.97</v>
      </c>
      <c r="D540" s="4">
        <v>-0.46</v>
      </c>
      <c r="E540" s="4">
        <v>4.4155475422949352E-3</v>
      </c>
      <c r="F540" s="3">
        <v>538</v>
      </c>
      <c r="G540" s="3">
        <v>1</v>
      </c>
      <c r="H540" s="5">
        <v>3164608373.4899998</v>
      </c>
      <c r="I540" s="5">
        <v>3239820693.4899998</v>
      </c>
      <c r="J540" s="5">
        <v>97727140</v>
      </c>
      <c r="K540" s="5">
        <v>22514820</v>
      </c>
      <c r="L540" s="5">
        <v>0</v>
      </c>
      <c r="M540" s="5">
        <v>-113137000</v>
      </c>
      <c r="N540" s="5">
        <v>-111779110</v>
      </c>
    </row>
    <row r="541" spans="1:14" x14ac:dyDescent="0.25">
      <c r="A541" s="3" t="s">
        <v>552</v>
      </c>
      <c r="B541" s="4">
        <v>-15.52</v>
      </c>
      <c r="C541" s="4">
        <v>1.82</v>
      </c>
      <c r="D541" s="4">
        <v>-0.43</v>
      </c>
      <c r="E541" s="4">
        <v>4.3624131044956186E-3</v>
      </c>
      <c r="F541" s="3">
        <v>539</v>
      </c>
      <c r="G541" s="3">
        <v>1</v>
      </c>
      <c r="H541" s="5">
        <v>597527537.58000004</v>
      </c>
      <c r="I541" s="5">
        <v>672966537.58000004</v>
      </c>
      <c r="J541" s="5">
        <v>124999000</v>
      </c>
      <c r="K541" s="5">
        <v>49560000</v>
      </c>
      <c r="L541" s="5">
        <v>0</v>
      </c>
      <c r="M541" s="5">
        <v>-43353000</v>
      </c>
      <c r="N541" s="5">
        <v>-60896000</v>
      </c>
    </row>
    <row r="542" spans="1:14" x14ac:dyDescent="0.25">
      <c r="A542" s="3" t="s">
        <v>553</v>
      </c>
      <c r="B542" s="4">
        <v>-21.71</v>
      </c>
      <c r="C542" s="4">
        <v>0.62</v>
      </c>
      <c r="D542" s="4">
        <v>-2.34</v>
      </c>
      <c r="E542" s="4">
        <v>4.3578545129479814E-3</v>
      </c>
      <c r="F542" s="3">
        <v>540</v>
      </c>
      <c r="G542" s="3">
        <v>1</v>
      </c>
      <c r="H542" s="5">
        <v>6.6665000000000001</v>
      </c>
      <c r="I542" s="5">
        <v>75546.666500000007</v>
      </c>
      <c r="J542" s="5">
        <v>75940</v>
      </c>
      <c r="K542" s="5">
        <v>400</v>
      </c>
      <c r="L542" s="5">
        <v>0</v>
      </c>
      <c r="M542" s="5">
        <v>-3480</v>
      </c>
      <c r="N542" s="5">
        <v>-54570</v>
      </c>
    </row>
    <row r="543" spans="1:14" x14ac:dyDescent="0.25">
      <c r="A543" s="3" t="s">
        <v>554</v>
      </c>
      <c r="B543" s="4">
        <v>20.9</v>
      </c>
      <c r="C543" s="4">
        <v>9.57</v>
      </c>
      <c r="D543" s="4">
        <v>0.22</v>
      </c>
      <c r="E543" s="4">
        <v>4.3392581194823714E-3</v>
      </c>
      <c r="F543" s="3">
        <v>541</v>
      </c>
      <c r="G543" s="3">
        <v>1</v>
      </c>
      <c r="H543" s="5">
        <v>29832698608.5</v>
      </c>
      <c r="I543" s="5">
        <v>32602598608.5</v>
      </c>
      <c r="J543" s="5">
        <v>3061100000</v>
      </c>
      <c r="K543" s="5">
        <v>291200000</v>
      </c>
      <c r="L543" s="5">
        <v>2881700000</v>
      </c>
      <c r="M543" s="5">
        <v>1560100000</v>
      </c>
      <c r="N543" s="5">
        <v>958200000</v>
      </c>
    </row>
    <row r="544" spans="1:14" x14ac:dyDescent="0.25">
      <c r="A544" s="3" t="s">
        <v>555</v>
      </c>
      <c r="B544" s="4">
        <v>-24.74</v>
      </c>
      <c r="C544" s="4">
        <v>-0.2</v>
      </c>
      <c r="D544" s="4">
        <v>-0.11</v>
      </c>
      <c r="E544" s="4">
        <v>4.2940809907606988E-3</v>
      </c>
      <c r="F544" s="3">
        <v>542</v>
      </c>
      <c r="G544" s="3">
        <v>1</v>
      </c>
      <c r="H544" s="5">
        <v>764831102.99000001</v>
      </c>
      <c r="I544" s="5">
        <v>550042102.99000001</v>
      </c>
      <c r="J544" s="5">
        <v>0</v>
      </c>
      <c r="K544" s="5">
        <v>214789000</v>
      </c>
      <c r="L544" s="5">
        <v>676826000</v>
      </c>
      <c r="M544" s="5">
        <v>-22229000</v>
      </c>
      <c r="N544" s="5">
        <v>-90373000</v>
      </c>
    </row>
    <row r="545" spans="1:14" x14ac:dyDescent="0.25">
      <c r="A545" s="3" t="s">
        <v>556</v>
      </c>
      <c r="B545" s="4">
        <v>-23.7</v>
      </c>
      <c r="C545" s="4">
        <v>-0.02</v>
      </c>
      <c r="D545" s="4">
        <v>-0.01</v>
      </c>
      <c r="E545" s="4">
        <v>4.1897787902999487E-3</v>
      </c>
      <c r="F545" s="3">
        <v>543</v>
      </c>
      <c r="G545" s="3">
        <v>1</v>
      </c>
      <c r="H545" s="5">
        <v>605608741.88999999</v>
      </c>
      <c r="I545" s="5">
        <v>739354741.88999999</v>
      </c>
      <c r="J545" s="5">
        <v>207829000</v>
      </c>
      <c r="K545" s="5">
        <v>74083000</v>
      </c>
      <c r="L545" s="5">
        <v>0</v>
      </c>
      <c r="M545" s="5">
        <v>-31194000</v>
      </c>
      <c r="N545" s="5">
        <v>-15234000</v>
      </c>
    </row>
    <row r="546" spans="1:14" x14ac:dyDescent="0.25">
      <c r="A546" s="3" t="s">
        <v>557</v>
      </c>
      <c r="B546" s="4">
        <v>-0.51</v>
      </c>
      <c r="C546" s="4">
        <v>5.0599999999999996</v>
      </c>
      <c r="D546" s="4">
        <v>-1.95</v>
      </c>
      <c r="E546" s="4">
        <v>4.1407319860858596E-3</v>
      </c>
      <c r="F546" s="3">
        <v>544</v>
      </c>
      <c r="G546" s="3">
        <v>1</v>
      </c>
      <c r="H546" s="5">
        <v>45320.38</v>
      </c>
      <c r="I546" s="5">
        <v>21003330.379999999</v>
      </c>
      <c r="J546" s="5">
        <v>22951270</v>
      </c>
      <c r="K546" s="5">
        <v>1993260</v>
      </c>
      <c r="L546" s="5">
        <v>52615340</v>
      </c>
      <c r="M546" s="5">
        <v>-41156470</v>
      </c>
      <c r="N546" s="5">
        <v>-60459670</v>
      </c>
    </row>
    <row r="547" spans="1:14" x14ac:dyDescent="0.25">
      <c r="A547" s="3" t="s">
        <v>558</v>
      </c>
      <c r="B547" s="4">
        <v>-21.85</v>
      </c>
      <c r="C547" s="4">
        <v>0.38</v>
      </c>
      <c r="D547" s="4">
        <v>-0.33</v>
      </c>
      <c r="E547" s="4">
        <v>4.1387911664387527E-3</v>
      </c>
      <c r="F547" s="3">
        <v>545</v>
      </c>
      <c r="G547" s="3">
        <v>1</v>
      </c>
      <c r="H547" s="5">
        <v>9564781.25</v>
      </c>
      <c r="I547" s="5">
        <v>9323031.25</v>
      </c>
      <c r="J547" s="5">
        <v>26690</v>
      </c>
      <c r="K547" s="5">
        <v>268440</v>
      </c>
      <c r="L547" s="5">
        <v>1013480</v>
      </c>
      <c r="M547" s="5">
        <v>-426740</v>
      </c>
      <c r="N547" s="5">
        <v>-452450</v>
      </c>
    </row>
    <row r="548" spans="1:14" x14ac:dyDescent="0.25">
      <c r="A548" s="3" t="s">
        <v>559</v>
      </c>
      <c r="B548" s="4">
        <v>-19.88</v>
      </c>
      <c r="C548" s="4">
        <v>0.89</v>
      </c>
      <c r="D548" s="4">
        <v>-1.74</v>
      </c>
      <c r="E548" s="4">
        <v>4.1210988544235234E-3</v>
      </c>
      <c r="F548" s="3">
        <v>546</v>
      </c>
      <c r="G548" s="3">
        <v>1</v>
      </c>
      <c r="H548" s="5">
        <v>243213880.80000001</v>
      </c>
      <c r="I548" s="5">
        <v>263252880.80000001</v>
      </c>
      <c r="J548" s="5">
        <v>20135000</v>
      </c>
      <c r="K548" s="5">
        <v>96000</v>
      </c>
      <c r="L548" s="5">
        <v>4391000</v>
      </c>
      <c r="M548" s="5">
        <v>-13242000</v>
      </c>
      <c r="N548" s="5">
        <v>-21055000</v>
      </c>
    </row>
    <row r="549" spans="1:14" x14ac:dyDescent="0.25">
      <c r="A549" s="3" t="s">
        <v>560</v>
      </c>
      <c r="B549" s="4">
        <v>-24.14</v>
      </c>
      <c r="C549" s="4">
        <v>-0.14000000000000001</v>
      </c>
      <c r="D549" s="4">
        <v>-0.04</v>
      </c>
      <c r="E549" s="4">
        <v>4.1095934770653438E-3</v>
      </c>
      <c r="F549" s="3">
        <v>547</v>
      </c>
      <c r="G549" s="3">
        <v>1</v>
      </c>
      <c r="H549" s="5">
        <v>13961760</v>
      </c>
      <c r="I549" s="5">
        <v>31821760</v>
      </c>
      <c r="J549" s="5">
        <v>21118000</v>
      </c>
      <c r="K549" s="5">
        <v>3258000</v>
      </c>
      <c r="L549" s="5">
        <v>31066000</v>
      </c>
      <c r="M549" s="5">
        <v>-1318000</v>
      </c>
      <c r="N549" s="5">
        <v>-2854000</v>
      </c>
    </row>
    <row r="550" spans="1:14" x14ac:dyDescent="0.25">
      <c r="A550" s="3" t="s">
        <v>561</v>
      </c>
      <c r="B550" s="4">
        <v>-0.22</v>
      </c>
      <c r="C550" s="4">
        <v>5.16</v>
      </c>
      <c r="D550" s="4">
        <v>-2.74</v>
      </c>
      <c r="E550" s="4">
        <v>4.0977879913922308E-3</v>
      </c>
      <c r="F550" s="3">
        <v>548</v>
      </c>
      <c r="G550" s="3">
        <v>1</v>
      </c>
      <c r="H550" s="5">
        <v>5770936.0499999998</v>
      </c>
      <c r="I550" s="5">
        <v>2633936.0499999998</v>
      </c>
      <c r="J550" s="5">
        <v>0</v>
      </c>
      <c r="K550" s="5">
        <v>3137000</v>
      </c>
      <c r="L550" s="5">
        <v>43000</v>
      </c>
      <c r="M550" s="5">
        <v>-11998000</v>
      </c>
      <c r="N550" s="5">
        <v>-11212000</v>
      </c>
    </row>
    <row r="551" spans="1:14" x14ac:dyDescent="0.25">
      <c r="A551" s="3" t="s">
        <v>562</v>
      </c>
      <c r="B551" s="4">
        <v>-24.04</v>
      </c>
      <c r="C551" s="4">
        <v>-0.12</v>
      </c>
      <c r="D551" s="4">
        <v>-0.1</v>
      </c>
      <c r="E551" s="4">
        <v>4.0939144746584494E-3</v>
      </c>
      <c r="F551" s="3">
        <v>549</v>
      </c>
      <c r="G551" s="3">
        <v>1</v>
      </c>
      <c r="H551" s="5">
        <v>26440298.899999999</v>
      </c>
      <c r="I551" s="5">
        <v>26720198.899999999</v>
      </c>
      <c r="J551" s="5">
        <v>550000</v>
      </c>
      <c r="K551" s="5">
        <v>270100</v>
      </c>
      <c r="L551" s="5">
        <v>32630</v>
      </c>
      <c r="M551" s="5">
        <v>-1111390</v>
      </c>
      <c r="N551" s="5">
        <v>-1910010</v>
      </c>
    </row>
    <row r="552" spans="1:14" x14ac:dyDescent="0.25">
      <c r="A552" s="3" t="s">
        <v>563</v>
      </c>
      <c r="B552" s="4">
        <v>-23.62</v>
      </c>
      <c r="C552" s="4">
        <v>0.13</v>
      </c>
      <c r="D552" s="4">
        <v>-2.54</v>
      </c>
      <c r="E552" s="4">
        <v>4.0856255258312144E-3</v>
      </c>
      <c r="F552" s="3">
        <v>550</v>
      </c>
      <c r="G552" s="3">
        <v>1</v>
      </c>
      <c r="H552" s="5">
        <v>10271670.810000001</v>
      </c>
      <c r="I552" s="5">
        <v>17353260.809999999</v>
      </c>
      <c r="J552" s="5">
        <v>7281100</v>
      </c>
      <c r="K552" s="5">
        <v>199510</v>
      </c>
      <c r="L552" s="5">
        <v>0</v>
      </c>
      <c r="M552" s="5">
        <v>-734550</v>
      </c>
      <c r="N552" s="5">
        <v>-1171980</v>
      </c>
    </row>
    <row r="553" spans="1:14" x14ac:dyDescent="0.25">
      <c r="A553" s="3" t="s">
        <v>564</v>
      </c>
      <c r="B553" s="4">
        <v>-26.69</v>
      </c>
      <c r="C553" s="4">
        <v>-0.69</v>
      </c>
      <c r="D553" s="4">
        <v>-0.16</v>
      </c>
      <c r="E553" s="4">
        <v>4.0755442250948338E-3</v>
      </c>
      <c r="F553" s="3">
        <v>551</v>
      </c>
      <c r="G553" s="3">
        <v>1</v>
      </c>
      <c r="H553" s="5">
        <v>200668624.86000001</v>
      </c>
      <c r="I553" s="5">
        <v>10612832704.860001</v>
      </c>
      <c r="J553" s="5">
        <v>11380914760</v>
      </c>
      <c r="K553" s="5">
        <v>968750680</v>
      </c>
      <c r="L553" s="5">
        <v>729953810</v>
      </c>
      <c r="M553" s="5">
        <v>-397568530</v>
      </c>
      <c r="N553" s="5">
        <v>-3567965580</v>
      </c>
    </row>
    <row r="554" spans="1:14" x14ac:dyDescent="0.25">
      <c r="A554" s="3" t="s">
        <v>565</v>
      </c>
      <c r="B554" s="4">
        <v>-23.76</v>
      </c>
      <c r="C554" s="4">
        <v>-0.08</v>
      </c>
      <c r="D554" s="4">
        <v>-0.06</v>
      </c>
      <c r="E554" s="4">
        <v>4.0439072495081366E-3</v>
      </c>
      <c r="F554" s="3">
        <v>552</v>
      </c>
      <c r="G554" s="3">
        <v>1</v>
      </c>
      <c r="H554" s="5">
        <v>3223201145.5</v>
      </c>
      <c r="I554" s="5">
        <v>2602886145.5</v>
      </c>
      <c r="J554" s="5">
        <v>0</v>
      </c>
      <c r="K554" s="5">
        <v>620315000</v>
      </c>
      <c r="L554" s="5">
        <v>720420000</v>
      </c>
      <c r="M554" s="5">
        <v>-109532000</v>
      </c>
      <c r="N554" s="5">
        <v>-95368000</v>
      </c>
    </row>
    <row r="555" spans="1:14" x14ac:dyDescent="0.25">
      <c r="A555" s="3" t="s">
        <v>566</v>
      </c>
      <c r="B555" s="4">
        <v>-23.19</v>
      </c>
      <c r="C555" s="4">
        <v>0.08</v>
      </c>
      <c r="D555" s="4">
        <v>-0.99</v>
      </c>
      <c r="E555" s="4">
        <v>3.9740207652980038E-3</v>
      </c>
      <c r="F555" s="3">
        <v>553</v>
      </c>
      <c r="G555" s="3">
        <v>1</v>
      </c>
      <c r="H555" s="5">
        <v>3734.6154000000001</v>
      </c>
      <c r="I555" s="5">
        <v>7863774.6153999995</v>
      </c>
      <c r="J555" s="5">
        <v>7909720</v>
      </c>
      <c r="K555" s="5">
        <v>49680</v>
      </c>
      <c r="L555" s="5">
        <v>928490</v>
      </c>
      <c r="M555" s="5">
        <v>-339060</v>
      </c>
      <c r="N555" s="5">
        <v>-713070</v>
      </c>
    </row>
    <row r="556" spans="1:14" x14ac:dyDescent="0.25">
      <c r="A556" s="3" t="s">
        <v>567</v>
      </c>
      <c r="B556" s="4">
        <v>-23.98</v>
      </c>
      <c r="C556" s="4">
        <v>-0.19</v>
      </c>
      <c r="D556" s="4">
        <v>-0.14000000000000001</v>
      </c>
      <c r="E556" s="4">
        <v>3.8468078850647548E-3</v>
      </c>
      <c r="F556" s="3">
        <v>554</v>
      </c>
      <c r="G556" s="3">
        <v>1</v>
      </c>
      <c r="H556" s="5">
        <v>46288270.979999997</v>
      </c>
      <c r="I556" s="5">
        <v>48541270.979999997</v>
      </c>
      <c r="J556" s="5">
        <v>2261000</v>
      </c>
      <c r="K556" s="5">
        <v>8000</v>
      </c>
      <c r="L556" s="5">
        <v>0</v>
      </c>
      <c r="M556" s="5">
        <v>-2024000</v>
      </c>
      <c r="N556" s="5">
        <v>-1312000</v>
      </c>
    </row>
    <row r="557" spans="1:14" x14ac:dyDescent="0.25">
      <c r="A557" s="3" t="s">
        <v>568</v>
      </c>
      <c r="B557" s="4">
        <v>-8.83</v>
      </c>
      <c r="C557" s="4">
        <v>3.05</v>
      </c>
      <c r="D557" s="4">
        <v>-0.66</v>
      </c>
      <c r="E557" s="4">
        <v>3.7313805446465031E-3</v>
      </c>
      <c r="F557" s="3">
        <v>555</v>
      </c>
      <c r="G557" s="3">
        <v>1</v>
      </c>
      <c r="H557" s="5">
        <v>1235753.5</v>
      </c>
      <c r="I557" s="5">
        <v>27257753.5</v>
      </c>
      <c r="J557" s="5">
        <v>27357000</v>
      </c>
      <c r="K557" s="5">
        <v>1335000</v>
      </c>
      <c r="L557" s="5">
        <v>37265000</v>
      </c>
      <c r="M557" s="5">
        <v>-3088000</v>
      </c>
      <c r="N557" s="5">
        <v>-25093000</v>
      </c>
    </row>
    <row r="558" spans="1:14" x14ac:dyDescent="0.25">
      <c r="A558" s="3" t="s">
        <v>569</v>
      </c>
      <c r="B558" s="4">
        <v>-31.1</v>
      </c>
      <c r="C558" s="4">
        <v>-1.73</v>
      </c>
      <c r="D558" s="4">
        <v>-0.74</v>
      </c>
      <c r="E558" s="4">
        <v>3.6881652665070159E-3</v>
      </c>
      <c r="F558" s="3">
        <v>556</v>
      </c>
      <c r="G558" s="3">
        <v>1</v>
      </c>
      <c r="H558" s="5">
        <v>144492158.72</v>
      </c>
      <c r="I558" s="5">
        <v>146684078.72</v>
      </c>
      <c r="J558" s="5">
        <v>2986760</v>
      </c>
      <c r="K558" s="5">
        <v>794840</v>
      </c>
      <c r="L558" s="5">
        <v>8426840</v>
      </c>
      <c r="M558" s="5">
        <v>-4716190</v>
      </c>
      <c r="N558" s="5">
        <v>-5034600</v>
      </c>
    </row>
    <row r="559" spans="1:14" x14ac:dyDescent="0.25">
      <c r="A559" s="3" t="s">
        <v>570</v>
      </c>
      <c r="B559" s="4">
        <v>-22.7</v>
      </c>
      <c r="C559" s="4">
        <v>0.1</v>
      </c>
      <c r="D559" s="4">
        <v>-1.31</v>
      </c>
      <c r="E559" s="4">
        <v>3.666808049689935E-3</v>
      </c>
      <c r="F559" s="3">
        <v>557</v>
      </c>
      <c r="G559" s="3">
        <v>1</v>
      </c>
      <c r="H559" s="5">
        <v>1695.351226</v>
      </c>
      <c r="I559" s="5">
        <v>5341855.3512260001</v>
      </c>
      <c r="J559" s="5">
        <v>5353580</v>
      </c>
      <c r="K559" s="5">
        <v>13420</v>
      </c>
      <c r="L559" s="5">
        <v>1273500</v>
      </c>
      <c r="M559" s="5">
        <v>-235370</v>
      </c>
      <c r="N559" s="5">
        <v>-1008560</v>
      </c>
    </row>
    <row r="560" spans="1:14" x14ac:dyDescent="0.25">
      <c r="A560" s="3" t="s">
        <v>571</v>
      </c>
      <c r="B560" s="4">
        <v>-1.39</v>
      </c>
      <c r="C560" s="4">
        <v>4.84</v>
      </c>
      <c r="D560" s="4">
        <v>-4.43</v>
      </c>
      <c r="E560" s="4">
        <v>3.57132414188915E-3</v>
      </c>
      <c r="F560" s="3">
        <v>558</v>
      </c>
      <c r="G560" s="3">
        <v>1</v>
      </c>
      <c r="H560" s="5">
        <v>100.52234</v>
      </c>
      <c r="I560" s="5">
        <v>2533240.5223400001</v>
      </c>
      <c r="J560" s="5">
        <v>2579060</v>
      </c>
      <c r="K560" s="5">
        <v>45920</v>
      </c>
      <c r="L560" s="5">
        <v>0</v>
      </c>
      <c r="M560" s="5">
        <v>-1818020</v>
      </c>
      <c r="N560" s="5">
        <v>-7770230</v>
      </c>
    </row>
    <row r="561" spans="1:14" x14ac:dyDescent="0.25">
      <c r="A561" s="3" t="s">
        <v>572</v>
      </c>
      <c r="B561" s="4">
        <v>-13.05</v>
      </c>
      <c r="C561" s="4">
        <v>2.09</v>
      </c>
      <c r="D561" s="4">
        <v>-0.81</v>
      </c>
      <c r="E561" s="4">
        <v>3.5405036767626311E-3</v>
      </c>
      <c r="F561" s="3">
        <v>559</v>
      </c>
      <c r="G561" s="3">
        <v>1</v>
      </c>
      <c r="H561" s="5">
        <v>14286135859.75</v>
      </c>
      <c r="I561" s="5">
        <v>14422145859.75</v>
      </c>
      <c r="J561" s="5">
        <v>322341000</v>
      </c>
      <c r="K561" s="5">
        <v>186331000</v>
      </c>
      <c r="L561" s="5">
        <v>886544000</v>
      </c>
      <c r="M561" s="5">
        <v>-1105132000</v>
      </c>
      <c r="N561" s="5">
        <v>-1154820000</v>
      </c>
    </row>
    <row r="562" spans="1:14" x14ac:dyDescent="0.25">
      <c r="A562" s="3" t="s">
        <v>573</v>
      </c>
      <c r="B562" s="4">
        <v>-24.56</v>
      </c>
      <c r="C562" s="4">
        <v>-0.42</v>
      </c>
      <c r="D562" s="4">
        <v>-0.15</v>
      </c>
      <c r="E562" s="4">
        <v>3.5392998275852062E-3</v>
      </c>
      <c r="F562" s="3">
        <v>560</v>
      </c>
      <c r="G562" s="3">
        <v>1</v>
      </c>
      <c r="H562" s="5">
        <v>527215455.51999998</v>
      </c>
      <c r="I562" s="5">
        <v>488596455.51999998</v>
      </c>
      <c r="J562" s="5">
        <v>12977000</v>
      </c>
      <c r="K562" s="5">
        <v>51596000</v>
      </c>
      <c r="L562" s="5">
        <v>204314000</v>
      </c>
      <c r="M562" s="5">
        <v>-19896000</v>
      </c>
      <c r="N562" s="5">
        <v>-28346000</v>
      </c>
    </row>
    <row r="563" spans="1:14" x14ac:dyDescent="0.25">
      <c r="A563" s="3" t="s">
        <v>574</v>
      </c>
      <c r="B563" s="4">
        <v>0.2</v>
      </c>
      <c r="C563" s="4">
        <v>5.4</v>
      </c>
      <c r="D563" s="4">
        <v>-7.9</v>
      </c>
      <c r="E563" s="4">
        <v>3.535910206468948E-3</v>
      </c>
      <c r="F563" s="3">
        <v>561</v>
      </c>
      <c r="G563" s="3">
        <v>1</v>
      </c>
      <c r="H563" s="5">
        <v>35.572445000000002</v>
      </c>
      <c r="I563" s="5">
        <v>-2453964.4275549999</v>
      </c>
      <c r="J563" s="5">
        <v>0</v>
      </c>
      <c r="K563" s="5">
        <v>2454000</v>
      </c>
      <c r="L563" s="5">
        <v>0</v>
      </c>
      <c r="M563" s="5">
        <v>-12323000</v>
      </c>
      <c r="N563" s="5">
        <v>-21526000</v>
      </c>
    </row>
    <row r="564" spans="1:14" x14ac:dyDescent="0.25">
      <c r="A564" s="3" t="s">
        <v>575</v>
      </c>
      <c r="B564" s="4">
        <v>0.05</v>
      </c>
      <c r="C564" s="4">
        <v>5.05</v>
      </c>
      <c r="D564" s="4">
        <v>-3.25</v>
      </c>
      <c r="E564" s="4">
        <v>3.5144694049593071E-3</v>
      </c>
      <c r="F564" s="3">
        <v>562</v>
      </c>
      <c r="G564" s="3">
        <v>1</v>
      </c>
      <c r="H564" s="5">
        <v>9643189.9888000004</v>
      </c>
      <c r="I564" s="5">
        <v>-32852810.0112</v>
      </c>
      <c r="J564" s="5">
        <v>66717000</v>
      </c>
      <c r="K564" s="5">
        <v>109213000</v>
      </c>
      <c r="L564" s="5">
        <v>250997000</v>
      </c>
      <c r="M564" s="5">
        <v>-635346000</v>
      </c>
      <c r="N564" s="5">
        <v>-670087000</v>
      </c>
    </row>
    <row r="565" spans="1:14" x14ac:dyDescent="0.25">
      <c r="A565" s="3" t="s">
        <v>576</v>
      </c>
      <c r="B565" s="4">
        <v>-22.07</v>
      </c>
      <c r="C565" s="4">
        <v>0.08</v>
      </c>
      <c r="D565" s="4">
        <v>0.05</v>
      </c>
      <c r="E565" s="4">
        <v>3.481448491285938E-3</v>
      </c>
      <c r="F565" s="3">
        <v>563</v>
      </c>
      <c r="G565" s="3">
        <v>1</v>
      </c>
      <c r="H565" s="5">
        <v>323550773.25999999</v>
      </c>
      <c r="I565" s="5">
        <v>350231773.25999999</v>
      </c>
      <c r="J565" s="5">
        <v>99514000</v>
      </c>
      <c r="K565" s="5">
        <v>72833000</v>
      </c>
      <c r="L565" s="5">
        <v>237708000</v>
      </c>
      <c r="M565" s="5">
        <v>-15870000</v>
      </c>
      <c r="N565" s="5">
        <v>33741000</v>
      </c>
    </row>
    <row r="566" spans="1:14" x14ac:dyDescent="0.25">
      <c r="A566" s="3" t="s">
        <v>577</v>
      </c>
      <c r="B566" s="4">
        <v>-23.01</v>
      </c>
      <c r="C566" s="4">
        <v>-0.12</v>
      </c>
      <c r="D566" s="4">
        <v>-0.12</v>
      </c>
      <c r="E566" s="4">
        <v>3.4525682347044612E-3</v>
      </c>
      <c r="F566" s="3">
        <v>564</v>
      </c>
      <c r="G566" s="3">
        <v>1</v>
      </c>
      <c r="H566" s="5">
        <v>2894358174.7600002</v>
      </c>
      <c r="I566" s="5">
        <v>2637290174.7600002</v>
      </c>
      <c r="J566" s="5">
        <v>0</v>
      </c>
      <c r="K566" s="5">
        <v>257068000</v>
      </c>
      <c r="L566" s="5">
        <v>1139000</v>
      </c>
      <c r="M566" s="5">
        <v>-114634000</v>
      </c>
      <c r="N566" s="5">
        <v>-88039000</v>
      </c>
    </row>
    <row r="567" spans="1:14" x14ac:dyDescent="0.25">
      <c r="A567" s="3" t="s">
        <v>578</v>
      </c>
      <c r="B567" s="4">
        <v>-23.47</v>
      </c>
      <c r="C567" s="4">
        <v>-0.22</v>
      </c>
      <c r="D567" s="4">
        <v>-0.22</v>
      </c>
      <c r="E567" s="4">
        <v>3.4290453608503838E-3</v>
      </c>
      <c r="F567" s="3">
        <v>565</v>
      </c>
      <c r="G567" s="3">
        <v>1</v>
      </c>
      <c r="H567" s="5">
        <v>170222358.66949999</v>
      </c>
      <c r="I567" s="5">
        <v>135593728.66949999</v>
      </c>
      <c r="J567" s="5">
        <v>0</v>
      </c>
      <c r="K567" s="5">
        <v>34628630</v>
      </c>
      <c r="L567" s="5">
        <v>0</v>
      </c>
      <c r="M567" s="5">
        <v>-5777870</v>
      </c>
      <c r="N567" s="5">
        <v>-8226310</v>
      </c>
    </row>
    <row r="568" spans="1:14" x14ac:dyDescent="0.25">
      <c r="A568" s="3" t="s">
        <v>579</v>
      </c>
      <c r="B568" s="4">
        <v>-22.4</v>
      </c>
      <c r="C568" s="4">
        <v>-0.01</v>
      </c>
      <c r="D568" s="4">
        <v>0</v>
      </c>
      <c r="E568" s="4">
        <v>3.4160046832718439E-3</v>
      </c>
      <c r="F568" s="3">
        <v>566</v>
      </c>
      <c r="G568" s="3">
        <v>1</v>
      </c>
      <c r="H568" s="5">
        <v>59628456.799999997</v>
      </c>
      <c r="I568" s="5">
        <v>44887286.799999997</v>
      </c>
      <c r="J568" s="5">
        <v>0</v>
      </c>
      <c r="K568" s="5">
        <v>14741170</v>
      </c>
      <c r="L568" s="5">
        <v>46086900</v>
      </c>
      <c r="M568" s="5">
        <v>-2003450</v>
      </c>
      <c r="N568" s="5">
        <v>-243100</v>
      </c>
    </row>
    <row r="569" spans="1:14" x14ac:dyDescent="0.25">
      <c r="A569" s="3" t="s">
        <v>580</v>
      </c>
      <c r="B569" s="4">
        <v>-22.77</v>
      </c>
      <c r="C569" s="4">
        <v>-0.09</v>
      </c>
      <c r="D569" s="4">
        <v>-0.04</v>
      </c>
      <c r="E569" s="4">
        <v>3.4061403316380228E-3</v>
      </c>
      <c r="F569" s="3">
        <v>567</v>
      </c>
      <c r="G569" s="3">
        <v>1</v>
      </c>
      <c r="H569" s="5">
        <v>18903033.239999998</v>
      </c>
      <c r="I569" s="5">
        <v>20604833.239999998</v>
      </c>
      <c r="J569" s="5">
        <v>1709630</v>
      </c>
      <c r="K569" s="5">
        <v>7830</v>
      </c>
      <c r="L569" s="5">
        <v>0</v>
      </c>
      <c r="M569" s="5">
        <v>-904880</v>
      </c>
      <c r="N569" s="5">
        <v>-357110</v>
      </c>
    </row>
    <row r="570" spans="1:14" x14ac:dyDescent="0.25">
      <c r="A570" s="3" t="s">
        <v>581</v>
      </c>
      <c r="B570" s="4">
        <v>-25.8</v>
      </c>
      <c r="C570" s="4">
        <v>-0.72</v>
      </c>
      <c r="D570" s="4">
        <v>-0.37</v>
      </c>
      <c r="E570" s="4">
        <v>3.397514538883943E-3</v>
      </c>
      <c r="F570" s="3">
        <v>568</v>
      </c>
      <c r="G570" s="3">
        <v>1</v>
      </c>
      <c r="H570" s="5">
        <v>1167092967.8099999</v>
      </c>
      <c r="I570" s="5">
        <v>1136660967.8099999</v>
      </c>
      <c r="J570" s="5">
        <v>0</v>
      </c>
      <c r="K570" s="5">
        <v>30432000</v>
      </c>
      <c r="L570" s="5">
        <v>65124000</v>
      </c>
      <c r="M570" s="5">
        <v>-44051000</v>
      </c>
      <c r="N570" s="5">
        <v>-54756000</v>
      </c>
    </row>
    <row r="571" spans="1:14" x14ac:dyDescent="0.25">
      <c r="A571" s="3" t="s">
        <v>582</v>
      </c>
      <c r="B571" s="4">
        <v>0.24</v>
      </c>
      <c r="C571" s="4">
        <v>5.26</v>
      </c>
      <c r="D571" s="4">
        <v>-6.67</v>
      </c>
      <c r="E571" s="4">
        <v>3.343913154511444E-3</v>
      </c>
      <c r="F571" s="3">
        <v>569</v>
      </c>
      <c r="G571" s="3">
        <v>1</v>
      </c>
      <c r="H571" s="5">
        <v>15463055.439999999</v>
      </c>
      <c r="I571" s="5">
        <v>-5874944.5600000015</v>
      </c>
      <c r="J571" s="5">
        <v>0</v>
      </c>
      <c r="K571" s="5">
        <v>21338000</v>
      </c>
      <c r="L571" s="5">
        <v>226000</v>
      </c>
      <c r="M571" s="5">
        <v>-24898000</v>
      </c>
      <c r="N571" s="5">
        <v>-166523000</v>
      </c>
    </row>
    <row r="572" spans="1:14" x14ac:dyDescent="0.25">
      <c r="A572" s="3" t="s">
        <v>583</v>
      </c>
      <c r="B572" s="4">
        <v>-24.56</v>
      </c>
      <c r="C572" s="4">
        <v>-0.48</v>
      </c>
      <c r="D572" s="4">
        <v>-0.43</v>
      </c>
      <c r="E572" s="4">
        <v>3.3119254413282949E-3</v>
      </c>
      <c r="F572" s="3">
        <v>570</v>
      </c>
      <c r="G572" s="3">
        <v>1</v>
      </c>
      <c r="H572" s="5">
        <v>1295705737.2</v>
      </c>
      <c r="I572" s="5">
        <v>1261639737.2</v>
      </c>
      <c r="J572" s="5">
        <v>31000</v>
      </c>
      <c r="K572" s="5">
        <v>34097000</v>
      </c>
      <c r="L572" s="5">
        <v>0</v>
      </c>
      <c r="M572" s="5">
        <v>-51377000</v>
      </c>
      <c r="N572" s="5">
        <v>-47911000</v>
      </c>
    </row>
    <row r="573" spans="1:14" x14ac:dyDescent="0.25">
      <c r="A573" s="3" t="s">
        <v>584</v>
      </c>
      <c r="B573" s="4">
        <v>-23.36</v>
      </c>
      <c r="C573" s="4">
        <v>-0.24</v>
      </c>
      <c r="D573" s="4">
        <v>-0.23</v>
      </c>
      <c r="E573" s="4">
        <v>3.301247857576111E-3</v>
      </c>
      <c r="F573" s="3">
        <v>571</v>
      </c>
      <c r="G573" s="3">
        <v>1</v>
      </c>
      <c r="H573" s="5">
        <v>6695561384.3500004</v>
      </c>
      <c r="I573" s="5">
        <v>6549870384.3500004</v>
      </c>
      <c r="J573" s="5">
        <v>0</v>
      </c>
      <c r="K573" s="5">
        <v>145691000</v>
      </c>
      <c r="L573" s="5">
        <v>0</v>
      </c>
      <c r="M573" s="5">
        <v>-280368000</v>
      </c>
      <c r="N573" s="5">
        <v>-260756000</v>
      </c>
    </row>
    <row r="574" spans="1:14" x14ac:dyDescent="0.25">
      <c r="A574" s="3" t="s">
        <v>585</v>
      </c>
      <c r="B574" s="4">
        <v>-22.79</v>
      </c>
      <c r="C574" s="4">
        <v>-0.14000000000000001</v>
      </c>
      <c r="D574" s="4">
        <v>-0.05</v>
      </c>
      <c r="E574" s="4">
        <v>3.2721216813823822E-3</v>
      </c>
      <c r="F574" s="3">
        <v>572</v>
      </c>
      <c r="G574" s="3">
        <v>1</v>
      </c>
      <c r="H574" s="5">
        <v>1574541122</v>
      </c>
      <c r="I574" s="5">
        <v>1509823122</v>
      </c>
      <c r="J574" s="5">
        <v>391013000</v>
      </c>
      <c r="K574" s="5">
        <v>455731000</v>
      </c>
      <c r="L574" s="5">
        <v>310202000</v>
      </c>
      <c r="M574" s="5">
        <v>-66257000</v>
      </c>
      <c r="N574" s="5">
        <v>-51087000</v>
      </c>
    </row>
    <row r="575" spans="1:14" x14ac:dyDescent="0.25">
      <c r="A575" s="3" t="s">
        <v>586</v>
      </c>
      <c r="B575" s="4">
        <v>-24.74</v>
      </c>
      <c r="C575" s="4">
        <v>-0.55000000000000004</v>
      </c>
      <c r="D575" s="4">
        <v>-0.41</v>
      </c>
      <c r="E575" s="4">
        <v>3.224933947929495E-3</v>
      </c>
      <c r="F575" s="3">
        <v>573</v>
      </c>
      <c r="G575" s="3">
        <v>1</v>
      </c>
      <c r="H575" s="5">
        <v>21554967031.02</v>
      </c>
      <c r="I575" s="5">
        <v>21068013031.02</v>
      </c>
      <c r="J575" s="5">
        <v>0</v>
      </c>
      <c r="K575" s="5">
        <v>486954000</v>
      </c>
      <c r="L575" s="5">
        <v>749011000</v>
      </c>
      <c r="M575" s="5">
        <v>-851678000</v>
      </c>
      <c r="N575" s="5">
        <v>-732120000</v>
      </c>
    </row>
    <row r="576" spans="1:14" x14ac:dyDescent="0.25">
      <c r="A576" s="3" t="s">
        <v>587</v>
      </c>
      <c r="B576" s="4">
        <v>-20.62</v>
      </c>
      <c r="C576" s="4">
        <v>0.4</v>
      </c>
      <c r="D576" s="4">
        <v>-1.69</v>
      </c>
      <c r="E576" s="4">
        <v>3.1729584651863439E-3</v>
      </c>
      <c r="F576" s="3">
        <v>574</v>
      </c>
      <c r="G576" s="3">
        <v>1</v>
      </c>
      <c r="H576" s="5">
        <v>4750728.97</v>
      </c>
      <c r="I576" s="5">
        <v>4755218.97</v>
      </c>
      <c r="J576" s="5">
        <v>16050</v>
      </c>
      <c r="K576" s="5">
        <v>11560</v>
      </c>
      <c r="L576" s="5">
        <v>73900</v>
      </c>
      <c r="M576" s="5">
        <v>-230650</v>
      </c>
      <c r="N576" s="5">
        <v>-263840</v>
      </c>
    </row>
    <row r="577" spans="1:14" x14ac:dyDescent="0.25">
      <c r="A577" s="3" t="s">
        <v>588</v>
      </c>
      <c r="B577" s="4">
        <v>-0.47</v>
      </c>
      <c r="C577" s="4">
        <v>6.65</v>
      </c>
      <c r="D577" s="4">
        <v>-31.06</v>
      </c>
      <c r="E577" s="4">
        <v>3.094662311476792E-3</v>
      </c>
      <c r="F577" s="3">
        <v>575</v>
      </c>
      <c r="G577" s="3">
        <v>1</v>
      </c>
      <c r="H577" s="5">
        <v>11097.609399999999</v>
      </c>
      <c r="I577" s="5">
        <v>1337907.6094</v>
      </c>
      <c r="J577" s="5">
        <v>1391220</v>
      </c>
      <c r="K577" s="5">
        <v>64410</v>
      </c>
      <c r="L577" s="5">
        <v>872470</v>
      </c>
      <c r="M577" s="5">
        <v>-2868870</v>
      </c>
      <c r="N577" s="5">
        <v>-18686190</v>
      </c>
    </row>
    <row r="578" spans="1:14" x14ac:dyDescent="0.25">
      <c r="A578" s="3" t="s">
        <v>589</v>
      </c>
      <c r="B578" s="4">
        <v>-0.17</v>
      </c>
      <c r="C578" s="4">
        <v>4.72</v>
      </c>
      <c r="D578" s="4">
        <v>-1.2</v>
      </c>
      <c r="E578" s="4">
        <v>3.0925933472065979E-3</v>
      </c>
      <c r="F578" s="3">
        <v>576</v>
      </c>
      <c r="G578" s="3">
        <v>1</v>
      </c>
      <c r="H578" s="5">
        <v>33179.875399999997</v>
      </c>
      <c r="I578" s="5">
        <v>53289.875399999997</v>
      </c>
      <c r="J578" s="5">
        <v>20120</v>
      </c>
      <c r="K578" s="5">
        <v>10</v>
      </c>
      <c r="L578" s="5">
        <v>188240</v>
      </c>
      <c r="M578" s="5">
        <v>-312220</v>
      </c>
      <c r="N578" s="5">
        <v>-568510</v>
      </c>
    </row>
    <row r="579" spans="1:14" x14ac:dyDescent="0.25">
      <c r="A579" s="3" t="s">
        <v>590</v>
      </c>
      <c r="B579" s="4">
        <v>-30.72</v>
      </c>
      <c r="C579" s="4">
        <v>-1.88</v>
      </c>
      <c r="D579" s="4">
        <v>-0.62</v>
      </c>
      <c r="E579" s="4">
        <v>3.042719663731275E-3</v>
      </c>
      <c r="F579" s="3">
        <v>577</v>
      </c>
      <c r="G579" s="3">
        <v>1</v>
      </c>
      <c r="H579" s="5">
        <v>507954258.24000001</v>
      </c>
      <c r="I579" s="5">
        <v>493794138.24000001</v>
      </c>
      <c r="J579" s="5">
        <v>0</v>
      </c>
      <c r="K579" s="5">
        <v>14160120</v>
      </c>
      <c r="L579" s="5">
        <v>50335170</v>
      </c>
      <c r="M579" s="5">
        <v>-16072240</v>
      </c>
      <c r="N579" s="5">
        <v>-43877900</v>
      </c>
    </row>
    <row r="580" spans="1:14" x14ac:dyDescent="0.25">
      <c r="A580" s="3" t="s">
        <v>591</v>
      </c>
      <c r="B580" s="4">
        <v>-21.7</v>
      </c>
      <c r="C580" s="4">
        <v>0.01</v>
      </c>
      <c r="D580" s="4">
        <v>0.01</v>
      </c>
      <c r="E580" s="4">
        <v>3.0424765250828441E-3</v>
      </c>
      <c r="F580" s="3">
        <v>578</v>
      </c>
      <c r="G580" s="3">
        <v>1</v>
      </c>
      <c r="H580" s="5">
        <v>4107009.78</v>
      </c>
      <c r="I580" s="5">
        <v>-2495990.2200000002</v>
      </c>
      <c r="J580" s="5">
        <v>0</v>
      </c>
      <c r="K580" s="5">
        <v>6603000</v>
      </c>
      <c r="L580" s="5">
        <v>11348000</v>
      </c>
      <c r="M580" s="5">
        <v>115000</v>
      </c>
      <c r="N580" s="5">
        <v>69000</v>
      </c>
    </row>
    <row r="581" spans="1:14" x14ac:dyDescent="0.25">
      <c r="A581" s="3" t="s">
        <v>592</v>
      </c>
      <c r="B581" s="4">
        <v>-23.76</v>
      </c>
      <c r="C581" s="4">
        <v>-0.41</v>
      </c>
      <c r="D581" s="4">
        <v>-0.36</v>
      </c>
      <c r="E581" s="4">
        <v>3.0325474207058469E-3</v>
      </c>
      <c r="F581" s="3">
        <v>579</v>
      </c>
      <c r="G581" s="3">
        <v>1</v>
      </c>
      <c r="H581" s="5">
        <v>10264364994.51</v>
      </c>
      <c r="I581" s="5">
        <v>10158596994.51</v>
      </c>
      <c r="J581" s="5">
        <v>35098000</v>
      </c>
      <c r="K581" s="5">
        <v>140866000</v>
      </c>
      <c r="L581" s="5">
        <v>0</v>
      </c>
      <c r="M581" s="5">
        <v>-427534000</v>
      </c>
      <c r="N581" s="5">
        <v>-477857000</v>
      </c>
    </row>
    <row r="582" spans="1:14" x14ac:dyDescent="0.25">
      <c r="A582" s="3" t="s">
        <v>593</v>
      </c>
      <c r="B582" s="4">
        <v>-31.23</v>
      </c>
      <c r="C582" s="4">
        <v>-2.0299999999999998</v>
      </c>
      <c r="D582" s="4">
        <v>-0.63</v>
      </c>
      <c r="E582" s="4">
        <v>2.9230360224878492E-3</v>
      </c>
      <c r="F582" s="3">
        <v>580</v>
      </c>
      <c r="G582" s="3">
        <v>1</v>
      </c>
      <c r="H582" s="5">
        <v>1698029006.96</v>
      </c>
      <c r="I582" s="5">
        <v>1713320006.96</v>
      </c>
      <c r="J582" s="5">
        <v>54621000</v>
      </c>
      <c r="K582" s="5">
        <v>39330000</v>
      </c>
      <c r="L582" s="5">
        <v>5669000</v>
      </c>
      <c r="M582" s="5">
        <v>-54860000</v>
      </c>
      <c r="N582" s="5">
        <v>-101879000</v>
      </c>
    </row>
    <row r="583" spans="1:14" x14ac:dyDescent="0.25">
      <c r="A583" s="3" t="s">
        <v>594</v>
      </c>
      <c r="B583" s="4">
        <v>-2.14</v>
      </c>
      <c r="C583" s="4">
        <v>4.1900000000000004</v>
      </c>
      <c r="D583" s="4">
        <v>-0.47</v>
      </c>
      <c r="E583" s="4">
        <v>2.921324637922515E-3</v>
      </c>
      <c r="F583" s="3">
        <v>581</v>
      </c>
      <c r="G583" s="3">
        <v>1</v>
      </c>
      <c r="H583" s="5">
        <v>793.16020000000003</v>
      </c>
      <c r="I583" s="5">
        <v>14621793.1602</v>
      </c>
      <c r="J583" s="5">
        <v>18222000</v>
      </c>
      <c r="K583" s="5">
        <v>3601000</v>
      </c>
      <c r="L583" s="5">
        <v>37826000</v>
      </c>
      <c r="M583" s="5">
        <v>-6817000</v>
      </c>
      <c r="N583" s="5">
        <v>-15095000</v>
      </c>
    </row>
    <row r="584" spans="1:14" x14ac:dyDescent="0.25">
      <c r="A584" s="3" t="s">
        <v>595</v>
      </c>
      <c r="B584" s="4">
        <v>-2.14</v>
      </c>
      <c r="C584" s="4">
        <v>4.1900000000000004</v>
      </c>
      <c r="D584" s="4">
        <v>-0.47</v>
      </c>
      <c r="E584" s="4">
        <v>2.921324637922515E-3</v>
      </c>
      <c r="F584" s="3">
        <v>581</v>
      </c>
      <c r="G584" s="3">
        <v>1</v>
      </c>
      <c r="H584" s="5">
        <v>793.16020000000003</v>
      </c>
      <c r="I584" s="5">
        <v>14621793.1602</v>
      </c>
      <c r="J584" s="5">
        <v>18222000</v>
      </c>
      <c r="K584" s="5">
        <v>3601000</v>
      </c>
      <c r="L584" s="5">
        <v>37826000</v>
      </c>
      <c r="M584" s="5">
        <v>-6817000</v>
      </c>
      <c r="N584" s="5">
        <v>-15095000</v>
      </c>
    </row>
    <row r="585" spans="1:14" x14ac:dyDescent="0.25">
      <c r="A585" s="3" t="s">
        <v>596</v>
      </c>
      <c r="B585" s="4">
        <v>-21.76</v>
      </c>
      <c r="C585" s="4">
        <v>-0.06</v>
      </c>
      <c r="D585" s="4">
        <v>-0.04</v>
      </c>
      <c r="E585" s="4">
        <v>2.867711377276577E-3</v>
      </c>
      <c r="F585" s="3">
        <v>583</v>
      </c>
      <c r="G585" s="3">
        <v>1</v>
      </c>
      <c r="H585" s="5">
        <v>422773439.88</v>
      </c>
      <c r="I585" s="5">
        <v>277275439.88</v>
      </c>
      <c r="J585" s="5">
        <v>0</v>
      </c>
      <c r="K585" s="5">
        <v>145498000</v>
      </c>
      <c r="L585" s="5">
        <v>592846000</v>
      </c>
      <c r="M585" s="5">
        <v>-12741000</v>
      </c>
      <c r="N585" s="5">
        <v>-26533000</v>
      </c>
    </row>
    <row r="586" spans="1:14" x14ac:dyDescent="0.25">
      <c r="A586" s="3" t="s">
        <v>597</v>
      </c>
      <c r="B586" s="4">
        <v>-23.93</v>
      </c>
      <c r="C586" s="4">
        <v>-0.51</v>
      </c>
      <c r="D586" s="4">
        <v>-0.31</v>
      </c>
      <c r="E586" s="4">
        <v>2.8584729802991139E-3</v>
      </c>
      <c r="F586" s="3">
        <v>584</v>
      </c>
      <c r="G586" s="3">
        <v>1</v>
      </c>
      <c r="H586" s="5">
        <v>2879002029.1999998</v>
      </c>
      <c r="I586" s="5">
        <v>2856028029.1999998</v>
      </c>
      <c r="J586" s="5">
        <v>71845000</v>
      </c>
      <c r="K586" s="5">
        <v>94819000</v>
      </c>
      <c r="L586" s="5">
        <v>182953000</v>
      </c>
      <c r="M586" s="5">
        <v>-119329000</v>
      </c>
      <c r="N586" s="5">
        <v>-115554000</v>
      </c>
    </row>
    <row r="587" spans="1:14" x14ac:dyDescent="0.25">
      <c r="A587" s="3" t="s">
        <v>598</v>
      </c>
      <c r="B587" s="4">
        <v>-1.1499999999999999</v>
      </c>
      <c r="C587" s="4">
        <v>5.42</v>
      </c>
      <c r="D587" s="4">
        <v>-16.579999999999998</v>
      </c>
      <c r="E587" s="4">
        <v>2.7548451203282249E-3</v>
      </c>
      <c r="F587" s="3">
        <v>585</v>
      </c>
      <c r="G587" s="3">
        <v>1</v>
      </c>
      <c r="H587" s="5">
        <v>5046308.3880000003</v>
      </c>
      <c r="I587" s="5">
        <v>5893748.3880000003</v>
      </c>
      <c r="J587" s="5">
        <v>1060710</v>
      </c>
      <c r="K587" s="5">
        <v>213270</v>
      </c>
      <c r="L587" s="5">
        <v>339440</v>
      </c>
      <c r="M587" s="5">
        <v>-5142070</v>
      </c>
      <c r="N587" s="5">
        <v>-11920100</v>
      </c>
    </row>
    <row r="588" spans="1:14" x14ac:dyDescent="0.25">
      <c r="A588" s="3" t="s">
        <v>599</v>
      </c>
      <c r="B588" s="4">
        <v>-22.89</v>
      </c>
      <c r="C588" s="4">
        <v>-0.33</v>
      </c>
      <c r="D588" s="4">
        <v>-0.22</v>
      </c>
      <c r="E588" s="4">
        <v>2.7522417532608551E-3</v>
      </c>
      <c r="F588" s="3">
        <v>586</v>
      </c>
      <c r="G588" s="3">
        <v>1</v>
      </c>
      <c r="H588" s="5">
        <v>41782565.064999998</v>
      </c>
      <c r="I588" s="5">
        <v>43929295.064999998</v>
      </c>
      <c r="J588" s="5">
        <v>2408090</v>
      </c>
      <c r="K588" s="5">
        <v>261360</v>
      </c>
      <c r="L588" s="5">
        <v>71540</v>
      </c>
      <c r="M588" s="5">
        <v>-1919040</v>
      </c>
      <c r="N588" s="5">
        <v>-7893250</v>
      </c>
    </row>
    <row r="589" spans="1:14" x14ac:dyDescent="0.25">
      <c r="A589" s="3" t="s">
        <v>600</v>
      </c>
      <c r="B589" s="4">
        <v>-22.43</v>
      </c>
      <c r="C589" s="4">
        <v>-0.25</v>
      </c>
      <c r="D589" s="4">
        <v>-0.22</v>
      </c>
      <c r="E589" s="4">
        <v>2.6986871473109568E-3</v>
      </c>
      <c r="F589" s="3">
        <v>587</v>
      </c>
      <c r="G589" s="3">
        <v>1</v>
      </c>
      <c r="H589" s="5">
        <v>3070148458.1100001</v>
      </c>
      <c r="I589" s="5">
        <v>2906036458.1100001</v>
      </c>
      <c r="J589" s="5">
        <v>28322000</v>
      </c>
      <c r="K589" s="5">
        <v>192434000</v>
      </c>
      <c r="L589" s="5">
        <v>0</v>
      </c>
      <c r="M589" s="5">
        <v>-129564000</v>
      </c>
      <c r="N589" s="5">
        <v>-109357000</v>
      </c>
    </row>
    <row r="590" spans="1:14" x14ac:dyDescent="0.25">
      <c r="A590" s="3" t="s">
        <v>601</v>
      </c>
      <c r="B590" s="4">
        <v>-24.65</v>
      </c>
      <c r="C590" s="4">
        <v>-0.74</v>
      </c>
      <c r="D590" s="4">
        <v>-0.48</v>
      </c>
      <c r="E590" s="4">
        <v>2.606749377338556E-3</v>
      </c>
      <c r="F590" s="3">
        <v>588</v>
      </c>
      <c r="G590" s="3">
        <v>1</v>
      </c>
      <c r="H590" s="5">
        <v>482697540.66000003</v>
      </c>
      <c r="I590" s="5">
        <v>462593540.66000003</v>
      </c>
      <c r="J590" s="5">
        <v>0</v>
      </c>
      <c r="K590" s="5">
        <v>20104000</v>
      </c>
      <c r="L590" s="5">
        <v>31390000</v>
      </c>
      <c r="M590" s="5">
        <v>-18766000</v>
      </c>
      <c r="N590" s="5">
        <v>-18914000</v>
      </c>
    </row>
    <row r="591" spans="1:14" x14ac:dyDescent="0.25">
      <c r="A591" s="3" t="s">
        <v>602</v>
      </c>
      <c r="B591" s="4">
        <v>-15.69</v>
      </c>
      <c r="C591" s="4">
        <v>1.24</v>
      </c>
      <c r="D591" s="4">
        <v>-1.47</v>
      </c>
      <c r="E591" s="4">
        <v>2.5911816304467622E-3</v>
      </c>
      <c r="F591" s="3">
        <v>589</v>
      </c>
      <c r="G591" s="3">
        <v>1</v>
      </c>
      <c r="H591" s="5">
        <v>32.458964000000002</v>
      </c>
      <c r="I591" s="5">
        <v>546181312.45896399</v>
      </c>
      <c r="J591" s="5">
        <v>546205200</v>
      </c>
      <c r="K591" s="5">
        <v>23920</v>
      </c>
      <c r="L591" s="5">
        <v>294406890</v>
      </c>
      <c r="M591" s="5">
        <v>-34817030</v>
      </c>
      <c r="N591" s="5">
        <v>-622515640</v>
      </c>
    </row>
    <row r="592" spans="1:14" x14ac:dyDescent="0.25">
      <c r="A592" s="3" t="s">
        <v>603</v>
      </c>
      <c r="B592" s="4">
        <v>-0.67</v>
      </c>
      <c r="C592" s="4">
        <v>4.66</v>
      </c>
      <c r="D592" s="4">
        <v>-4.58</v>
      </c>
      <c r="E592" s="4">
        <v>2.5766810067767432E-3</v>
      </c>
      <c r="F592" s="3">
        <v>590</v>
      </c>
      <c r="G592" s="3">
        <v>1</v>
      </c>
      <c r="H592" s="5">
        <v>2836.7795999999998</v>
      </c>
      <c r="I592" s="5">
        <v>3351976.7796</v>
      </c>
      <c r="J592" s="5">
        <v>3452580</v>
      </c>
      <c r="K592" s="5">
        <v>103440</v>
      </c>
      <c r="L592" s="5">
        <v>3552670</v>
      </c>
      <c r="M592" s="5">
        <v>-5000430</v>
      </c>
      <c r="N592" s="5">
        <v>-17546550</v>
      </c>
    </row>
    <row r="593" spans="1:14" x14ac:dyDescent="0.25">
      <c r="A593" s="3" t="s">
        <v>604</v>
      </c>
      <c r="B593" s="4">
        <v>-0.57999999999999996</v>
      </c>
      <c r="C593" s="4">
        <v>4.43</v>
      </c>
      <c r="D593" s="4">
        <v>-0.99</v>
      </c>
      <c r="E593" s="4">
        <v>2.548945735495117E-3</v>
      </c>
      <c r="F593" s="3">
        <v>591</v>
      </c>
      <c r="G593" s="3">
        <v>1</v>
      </c>
      <c r="H593" s="5">
        <v>7121819.1699999999</v>
      </c>
      <c r="I593" s="5">
        <v>16139799.17</v>
      </c>
      <c r="J593" s="5">
        <v>13692550</v>
      </c>
      <c r="K593" s="5">
        <v>4674570</v>
      </c>
      <c r="L593" s="5">
        <v>2566790</v>
      </c>
      <c r="M593" s="5">
        <v>-27767980</v>
      </c>
      <c r="N593" s="5">
        <v>-30023810</v>
      </c>
    </row>
    <row r="594" spans="1:14" x14ac:dyDescent="0.25">
      <c r="A594" s="3" t="s">
        <v>605</v>
      </c>
      <c r="B594" s="4">
        <v>-22.24</v>
      </c>
      <c r="C594" s="4">
        <v>-0.27</v>
      </c>
      <c r="D594" s="4">
        <v>-0.27</v>
      </c>
      <c r="E594" s="4">
        <v>2.5136598921500389E-3</v>
      </c>
      <c r="F594" s="3">
        <v>592</v>
      </c>
      <c r="G594" s="3">
        <v>1</v>
      </c>
      <c r="H594" s="5">
        <v>1614150</v>
      </c>
      <c r="I594" s="5">
        <v>1422130</v>
      </c>
      <c r="J594" s="5">
        <v>0</v>
      </c>
      <c r="K594" s="5">
        <v>192020</v>
      </c>
      <c r="L594" s="5">
        <v>0</v>
      </c>
      <c r="M594" s="5">
        <v>-63940</v>
      </c>
      <c r="N594" s="5">
        <v>-63940</v>
      </c>
    </row>
    <row r="595" spans="1:14" x14ac:dyDescent="0.25">
      <c r="A595" s="3" t="s">
        <v>606</v>
      </c>
      <c r="B595" s="4">
        <v>-21.96</v>
      </c>
      <c r="C595" s="4">
        <v>-0.25</v>
      </c>
      <c r="D595" s="4">
        <v>-0.15</v>
      </c>
      <c r="E595" s="4">
        <v>2.4212976655908578E-3</v>
      </c>
      <c r="F595" s="3">
        <v>593</v>
      </c>
      <c r="G595" s="3">
        <v>1</v>
      </c>
      <c r="H595" s="5">
        <v>76.147082999999995</v>
      </c>
      <c r="I595" s="5">
        <v>12462346.147082999</v>
      </c>
      <c r="J595" s="5">
        <v>12463440</v>
      </c>
      <c r="K595" s="5">
        <v>1170</v>
      </c>
      <c r="L595" s="5">
        <v>0</v>
      </c>
      <c r="M595" s="5">
        <v>-567630</v>
      </c>
      <c r="N595" s="5">
        <v>-7277530</v>
      </c>
    </row>
    <row r="596" spans="1:14" x14ac:dyDescent="0.25">
      <c r="A596" s="3" t="s">
        <v>607</v>
      </c>
      <c r="B596" s="4">
        <v>-0.97</v>
      </c>
      <c r="C596" s="4">
        <v>4.47</v>
      </c>
      <c r="D596" s="4">
        <v>-3.51</v>
      </c>
      <c r="E596" s="4">
        <v>2.41978448820749E-3</v>
      </c>
      <c r="F596" s="3">
        <v>594</v>
      </c>
      <c r="G596" s="3">
        <v>1</v>
      </c>
      <c r="H596" s="5">
        <v>24511295.710000001</v>
      </c>
      <c r="I596" s="5">
        <v>27896295.710000001</v>
      </c>
      <c r="J596" s="5">
        <v>4957000</v>
      </c>
      <c r="K596" s="5">
        <v>1572000</v>
      </c>
      <c r="L596" s="5">
        <v>2114000</v>
      </c>
      <c r="M596" s="5">
        <v>-28826000</v>
      </c>
      <c r="N596" s="5">
        <v>-34946000</v>
      </c>
    </row>
    <row r="597" spans="1:14" x14ac:dyDescent="0.25">
      <c r="A597" s="3" t="s">
        <v>608</v>
      </c>
      <c r="B597" s="4">
        <v>-0.1</v>
      </c>
      <c r="C597" s="4">
        <v>4.53</v>
      </c>
      <c r="D597" s="4">
        <v>-1.87</v>
      </c>
      <c r="E597" s="4">
        <v>2.371045593359464E-3</v>
      </c>
      <c r="F597" s="3">
        <v>595</v>
      </c>
      <c r="G597" s="3">
        <v>1</v>
      </c>
      <c r="H597" s="5">
        <v>45089571.420000002</v>
      </c>
      <c r="I597" s="5">
        <v>8250571.4200000018</v>
      </c>
      <c r="J597" s="5">
        <v>158000</v>
      </c>
      <c r="K597" s="5">
        <v>36997000</v>
      </c>
      <c r="L597" s="5">
        <v>3945000</v>
      </c>
      <c r="M597" s="5">
        <v>-83927000</v>
      </c>
      <c r="N597" s="5">
        <v>-131211000</v>
      </c>
    </row>
    <row r="598" spans="1:14" x14ac:dyDescent="0.25">
      <c r="A598" s="3" t="s">
        <v>609</v>
      </c>
      <c r="B598" s="4">
        <v>-1.51</v>
      </c>
      <c r="C598" s="4">
        <v>4.17</v>
      </c>
      <c r="D598" s="4">
        <v>-1.25</v>
      </c>
      <c r="E598" s="4">
        <v>2.3231533919322589E-3</v>
      </c>
      <c r="F598" s="3">
        <v>596</v>
      </c>
      <c r="G598" s="3">
        <v>1</v>
      </c>
      <c r="H598" s="5">
        <v>9751679.0999999996</v>
      </c>
      <c r="I598" s="5">
        <v>92933679.099999994</v>
      </c>
      <c r="J598" s="5">
        <v>88447000</v>
      </c>
      <c r="K598" s="5">
        <v>5265000</v>
      </c>
      <c r="L598" s="5">
        <v>104423000</v>
      </c>
      <c r="M598" s="5">
        <v>-61527000</v>
      </c>
      <c r="N598" s="5">
        <v>-178799000</v>
      </c>
    </row>
    <row r="599" spans="1:14" x14ac:dyDescent="0.25">
      <c r="A599" s="3" t="s">
        <v>610</v>
      </c>
      <c r="B599" s="4">
        <v>-21.5</v>
      </c>
      <c r="C599" s="4">
        <v>-0.19</v>
      </c>
      <c r="D599" s="4">
        <v>-0.13</v>
      </c>
      <c r="E599" s="4">
        <v>2.313813898767053E-3</v>
      </c>
      <c r="F599" s="3">
        <v>597</v>
      </c>
      <c r="G599" s="3">
        <v>1</v>
      </c>
      <c r="H599" s="5">
        <v>662644776.96000004</v>
      </c>
      <c r="I599" s="5">
        <v>663148776.96000004</v>
      </c>
      <c r="J599" s="5">
        <v>35452000</v>
      </c>
      <c r="K599" s="5">
        <v>34948000</v>
      </c>
      <c r="L599" s="5">
        <v>167178000</v>
      </c>
      <c r="M599" s="5">
        <v>-30848000</v>
      </c>
      <c r="N599" s="5">
        <v>-30913000</v>
      </c>
    </row>
    <row r="600" spans="1:14" x14ac:dyDescent="0.25">
      <c r="A600" s="3" t="s">
        <v>611</v>
      </c>
      <c r="B600" s="4">
        <v>0.06</v>
      </c>
      <c r="C600" s="4">
        <v>4.8899999999999997</v>
      </c>
      <c r="D600" s="4">
        <v>-7.32</v>
      </c>
      <c r="E600" s="4">
        <v>2.2608686699860121E-3</v>
      </c>
      <c r="F600" s="3">
        <v>598</v>
      </c>
      <c r="G600" s="3">
        <v>1</v>
      </c>
      <c r="H600" s="5">
        <v>2617.9301999999998</v>
      </c>
      <c r="I600" s="5">
        <v>-2193382.0698000002</v>
      </c>
      <c r="J600" s="5">
        <v>0</v>
      </c>
      <c r="K600" s="5">
        <v>2196000</v>
      </c>
      <c r="L600" s="5">
        <v>0</v>
      </c>
      <c r="M600" s="5">
        <v>-36151000</v>
      </c>
      <c r="N600" s="5">
        <v>-26874000</v>
      </c>
    </row>
    <row r="601" spans="1:14" x14ac:dyDescent="0.25">
      <c r="A601" s="3" t="s">
        <v>612</v>
      </c>
      <c r="B601" s="4">
        <v>-2.71</v>
      </c>
      <c r="C601" s="4">
        <v>6.82</v>
      </c>
      <c r="D601" s="4">
        <v>-45.33</v>
      </c>
      <c r="E601" s="4">
        <v>2.2195147807670531E-3</v>
      </c>
      <c r="F601" s="3">
        <v>599</v>
      </c>
      <c r="G601" s="3">
        <v>1</v>
      </c>
      <c r="H601" s="5">
        <v>9611561.5199999996</v>
      </c>
      <c r="I601" s="5">
        <v>11717431.52</v>
      </c>
      <c r="J601" s="5">
        <v>2164270</v>
      </c>
      <c r="K601" s="5">
        <v>58400</v>
      </c>
      <c r="L601" s="5">
        <v>2340110</v>
      </c>
      <c r="M601" s="5">
        <v>-4331530</v>
      </c>
      <c r="N601" s="5">
        <v>-23054020</v>
      </c>
    </row>
    <row r="602" spans="1:14" x14ac:dyDescent="0.25">
      <c r="A602" s="3" t="s">
        <v>613</v>
      </c>
      <c r="B602" s="4">
        <v>-21.19</v>
      </c>
      <c r="C602" s="4">
        <v>-0.17</v>
      </c>
      <c r="D602" s="4">
        <v>-0.11</v>
      </c>
      <c r="E602" s="4">
        <v>2.183593789341581E-3</v>
      </c>
      <c r="F602" s="3">
        <v>600</v>
      </c>
      <c r="G602" s="3">
        <v>1</v>
      </c>
      <c r="H602" s="5">
        <v>5908108267.0500002</v>
      </c>
      <c r="I602" s="5">
        <v>5971962267.0500002</v>
      </c>
      <c r="J602" s="5">
        <v>350603000</v>
      </c>
      <c r="K602" s="5">
        <v>286749000</v>
      </c>
      <c r="L602" s="5">
        <v>627241000</v>
      </c>
      <c r="M602" s="5">
        <v>-281789000</v>
      </c>
      <c r="N602" s="5">
        <v>-177026000</v>
      </c>
    </row>
    <row r="603" spans="1:14" x14ac:dyDescent="0.25">
      <c r="A603" s="3" t="s">
        <v>614</v>
      </c>
      <c r="B603" s="4">
        <v>-22.09</v>
      </c>
      <c r="C603" s="4">
        <v>-0.38</v>
      </c>
      <c r="D603" s="4">
        <v>-0.34</v>
      </c>
      <c r="E603" s="4">
        <v>2.0894889434922969E-3</v>
      </c>
      <c r="F603" s="3">
        <v>601</v>
      </c>
      <c r="G603" s="3">
        <v>1</v>
      </c>
      <c r="H603" s="5">
        <v>303637276.04000002</v>
      </c>
      <c r="I603" s="5">
        <v>271225276.04000002</v>
      </c>
      <c r="J603" s="5">
        <v>0</v>
      </c>
      <c r="K603" s="5">
        <v>32412000</v>
      </c>
      <c r="L603" s="5">
        <v>37205000</v>
      </c>
      <c r="M603" s="5">
        <v>-12276000</v>
      </c>
      <c r="N603" s="5">
        <v>-26386000</v>
      </c>
    </row>
    <row r="604" spans="1:14" x14ac:dyDescent="0.25">
      <c r="A604" s="3" t="s">
        <v>615</v>
      </c>
      <c r="B604" s="4">
        <v>-20.89</v>
      </c>
      <c r="C604" s="4">
        <v>-0.14000000000000001</v>
      </c>
      <c r="D604" s="4">
        <v>-0.09</v>
      </c>
      <c r="E604" s="4">
        <v>2.0884564926276421E-3</v>
      </c>
      <c r="F604" s="3">
        <v>602</v>
      </c>
      <c r="G604" s="3">
        <v>1</v>
      </c>
      <c r="H604" s="5">
        <v>48096998.729999997</v>
      </c>
      <c r="I604" s="5">
        <v>39757078.729999997</v>
      </c>
      <c r="J604" s="5">
        <v>0</v>
      </c>
      <c r="K604" s="5">
        <v>8339920</v>
      </c>
      <c r="L604" s="5">
        <v>43295140</v>
      </c>
      <c r="M604" s="5">
        <v>-1902820</v>
      </c>
      <c r="N604" s="5">
        <v>-1820160</v>
      </c>
    </row>
    <row r="605" spans="1:14" x14ac:dyDescent="0.25">
      <c r="A605" s="3" t="s">
        <v>616</v>
      </c>
      <c r="B605" s="4">
        <v>3.36</v>
      </c>
      <c r="C605" s="4">
        <v>5.05</v>
      </c>
      <c r="D605" s="4">
        <v>-0.12</v>
      </c>
      <c r="E605" s="4">
        <v>2.0696276379860092E-3</v>
      </c>
      <c r="F605" s="3">
        <v>603</v>
      </c>
      <c r="G605" s="3">
        <v>1</v>
      </c>
      <c r="H605" s="5">
        <v>31042395.18</v>
      </c>
      <c r="I605" s="5">
        <v>263942395.18000001</v>
      </c>
      <c r="J605" s="5">
        <v>324500000</v>
      </c>
      <c r="K605" s="5">
        <v>91600000</v>
      </c>
      <c r="L605" s="5">
        <v>709300000</v>
      </c>
      <c r="M605" s="5">
        <v>78600000</v>
      </c>
      <c r="N605" s="5">
        <v>-53000000</v>
      </c>
    </row>
    <row r="606" spans="1:14" x14ac:dyDescent="0.25">
      <c r="A606" s="3" t="s">
        <v>617</v>
      </c>
      <c r="B606" s="4">
        <v>-18.68</v>
      </c>
      <c r="C606" s="4">
        <v>0.33</v>
      </c>
      <c r="D606" s="4">
        <v>-0.34</v>
      </c>
      <c r="E606" s="4">
        <v>2.030415898815403E-3</v>
      </c>
      <c r="F606" s="3">
        <v>604</v>
      </c>
      <c r="G606" s="3">
        <v>1</v>
      </c>
      <c r="H606" s="5">
        <v>130276369.36</v>
      </c>
      <c r="I606" s="5">
        <v>596915369.36000001</v>
      </c>
      <c r="J606" s="5">
        <v>467537000</v>
      </c>
      <c r="K606" s="5">
        <v>898000</v>
      </c>
      <c r="L606" s="5">
        <v>267640000</v>
      </c>
      <c r="M606" s="5">
        <v>-31949000</v>
      </c>
      <c r="N606" s="5">
        <v>-87537000</v>
      </c>
    </row>
    <row r="607" spans="1:14" x14ac:dyDescent="0.25">
      <c r="A607" s="3" t="s">
        <v>618</v>
      </c>
      <c r="B607" s="4">
        <v>-23.39</v>
      </c>
      <c r="C607" s="4">
        <v>-0.67</v>
      </c>
      <c r="D607" s="4">
        <v>-0.51</v>
      </c>
      <c r="E607" s="4">
        <v>2.0233776288754858E-3</v>
      </c>
      <c r="F607" s="3">
        <v>605</v>
      </c>
      <c r="G607" s="3">
        <v>1</v>
      </c>
      <c r="H607" s="5">
        <v>13285447545</v>
      </c>
      <c r="I607" s="5">
        <v>13085820545</v>
      </c>
      <c r="J607" s="5">
        <v>0</v>
      </c>
      <c r="K607" s="5">
        <v>199627000</v>
      </c>
      <c r="L607" s="5">
        <v>136000</v>
      </c>
      <c r="M607" s="5">
        <v>-559367000</v>
      </c>
      <c r="N607" s="5">
        <v>-608034000</v>
      </c>
    </row>
    <row r="608" spans="1:14" x14ac:dyDescent="0.25">
      <c r="A608" s="3" t="s">
        <v>619</v>
      </c>
      <c r="B608" s="4">
        <v>-22.81</v>
      </c>
      <c r="C608" s="4">
        <v>-0.56000000000000005</v>
      </c>
      <c r="D608" s="4">
        <v>-0.3</v>
      </c>
      <c r="E608" s="4">
        <v>2.0227429337316542E-3</v>
      </c>
      <c r="F608" s="3">
        <v>606</v>
      </c>
      <c r="G608" s="3">
        <v>1</v>
      </c>
      <c r="H608" s="5">
        <v>1110612921.46</v>
      </c>
      <c r="I608" s="5">
        <v>1103341671.46</v>
      </c>
      <c r="J608" s="5">
        <v>26080</v>
      </c>
      <c r="K608" s="5">
        <v>7297330</v>
      </c>
      <c r="L608" s="5">
        <v>0</v>
      </c>
      <c r="M608" s="5">
        <v>-48380120</v>
      </c>
      <c r="N608" s="5">
        <v>-51871820</v>
      </c>
    </row>
    <row r="609" spans="1:14" x14ac:dyDescent="0.25">
      <c r="A609" s="3" t="s">
        <v>620</v>
      </c>
      <c r="B609" s="4">
        <v>-25.13</v>
      </c>
      <c r="C609" s="4">
        <v>-1.04</v>
      </c>
      <c r="D609" s="4">
        <v>-0.79</v>
      </c>
      <c r="E609" s="4">
        <v>1.9772232164618521E-3</v>
      </c>
      <c r="F609" s="3">
        <v>607</v>
      </c>
      <c r="G609" s="3">
        <v>1</v>
      </c>
      <c r="H609" s="5">
        <v>2475960099.6399999</v>
      </c>
      <c r="I609" s="5">
        <v>2286709099.6399999</v>
      </c>
      <c r="J609" s="5">
        <v>574000</v>
      </c>
      <c r="K609" s="5">
        <v>189825000</v>
      </c>
      <c r="L609" s="5">
        <v>1275000</v>
      </c>
      <c r="M609" s="5">
        <v>-90986000</v>
      </c>
      <c r="N609" s="5">
        <v>-169827000</v>
      </c>
    </row>
    <row r="610" spans="1:14" x14ac:dyDescent="0.25">
      <c r="A610" s="3" t="s">
        <v>621</v>
      </c>
      <c r="B610" s="4">
        <v>-19.34</v>
      </c>
      <c r="C610" s="4">
        <v>0.14000000000000001</v>
      </c>
      <c r="D610" s="4">
        <v>0.11</v>
      </c>
      <c r="E610" s="4">
        <v>1.9767311375355808E-3</v>
      </c>
      <c r="F610" s="3">
        <v>608</v>
      </c>
      <c r="G610" s="3">
        <v>1</v>
      </c>
      <c r="H610" s="5">
        <v>879841450.44000006</v>
      </c>
      <c r="I610" s="5">
        <v>765152450.44000006</v>
      </c>
      <c r="J610" s="5">
        <v>0</v>
      </c>
      <c r="K610" s="5">
        <v>114689000</v>
      </c>
      <c r="L610" s="5">
        <v>333785000</v>
      </c>
      <c r="M610" s="5">
        <v>-39558000</v>
      </c>
      <c r="N610" s="5">
        <v>52549000</v>
      </c>
    </row>
    <row r="611" spans="1:14" x14ac:dyDescent="0.25">
      <c r="A611" s="3" t="s">
        <v>622</v>
      </c>
      <c r="B611" s="4">
        <v>-20.16</v>
      </c>
      <c r="C611" s="4">
        <v>-0.04</v>
      </c>
      <c r="D611" s="4">
        <v>-0.04</v>
      </c>
      <c r="E611" s="4">
        <v>1.935225679773099E-3</v>
      </c>
      <c r="F611" s="3">
        <v>609</v>
      </c>
      <c r="G611" s="3">
        <v>1</v>
      </c>
      <c r="H611" s="5">
        <v>425912107.06</v>
      </c>
      <c r="I611" s="5">
        <v>367700107.06</v>
      </c>
      <c r="J611" s="5">
        <v>0</v>
      </c>
      <c r="K611" s="5">
        <v>58212000</v>
      </c>
      <c r="L611" s="5">
        <v>80000000</v>
      </c>
      <c r="M611" s="5">
        <v>-18241000</v>
      </c>
      <c r="N611" s="5">
        <v>-9725000</v>
      </c>
    </row>
    <row r="612" spans="1:14" x14ac:dyDescent="0.25">
      <c r="A612" s="3" t="s">
        <v>623</v>
      </c>
      <c r="B612" s="4">
        <v>-20.83</v>
      </c>
      <c r="C612" s="4">
        <v>-0.18</v>
      </c>
      <c r="D612" s="4">
        <v>-0.12</v>
      </c>
      <c r="E612" s="4">
        <v>1.929959750654828E-3</v>
      </c>
      <c r="F612" s="3">
        <v>610</v>
      </c>
      <c r="G612" s="3">
        <v>1</v>
      </c>
      <c r="H612" s="5">
        <v>612598000</v>
      </c>
      <c r="I612" s="5">
        <v>549798000</v>
      </c>
      <c r="J612" s="5">
        <v>39600000</v>
      </c>
      <c r="K612" s="5">
        <v>102400000</v>
      </c>
      <c r="L612" s="5">
        <v>837600000</v>
      </c>
      <c r="M612" s="5">
        <v>-26400000</v>
      </c>
      <c r="N612" s="5">
        <v>-127300000</v>
      </c>
    </row>
    <row r="613" spans="1:14" x14ac:dyDescent="0.25">
      <c r="A613" s="3" t="s">
        <v>624</v>
      </c>
      <c r="B613" s="4">
        <v>-20.59</v>
      </c>
      <c r="C613" s="4">
        <v>-0.13</v>
      </c>
      <c r="D613" s="4">
        <v>-0.12</v>
      </c>
      <c r="E613" s="4">
        <v>1.92588684899726E-3</v>
      </c>
      <c r="F613" s="3">
        <v>611</v>
      </c>
      <c r="G613" s="3">
        <v>1</v>
      </c>
      <c r="H613" s="5">
        <v>114235280.19</v>
      </c>
      <c r="I613" s="5">
        <v>113214170.19</v>
      </c>
      <c r="J613" s="5">
        <v>0</v>
      </c>
      <c r="K613" s="5">
        <v>1021110</v>
      </c>
      <c r="L613" s="5">
        <v>133200</v>
      </c>
      <c r="M613" s="5">
        <v>-5497760</v>
      </c>
      <c r="N613" s="5">
        <v>-4782980</v>
      </c>
    </row>
    <row r="614" spans="1:14" x14ac:dyDescent="0.25">
      <c r="A614" s="3" t="s">
        <v>625</v>
      </c>
      <c r="B614" s="4">
        <v>-21.64</v>
      </c>
      <c r="C614" s="4">
        <v>-0.36</v>
      </c>
      <c r="D614" s="4">
        <v>-0.13</v>
      </c>
      <c r="E614" s="4">
        <v>1.909271459280352E-3</v>
      </c>
      <c r="F614" s="3">
        <v>612</v>
      </c>
      <c r="G614" s="3">
        <v>1</v>
      </c>
      <c r="H614" s="5">
        <v>7885001020.8199997</v>
      </c>
      <c r="I614" s="5">
        <v>8591170020.8199997</v>
      </c>
      <c r="J614" s="5">
        <v>1092149000</v>
      </c>
      <c r="K614" s="5">
        <v>385980000</v>
      </c>
      <c r="L614" s="5">
        <v>963642000</v>
      </c>
      <c r="M614" s="5">
        <v>-397058000</v>
      </c>
      <c r="N614" s="5">
        <v>-345065000</v>
      </c>
    </row>
    <row r="615" spans="1:14" x14ac:dyDescent="0.25">
      <c r="A615" s="3" t="s">
        <v>626</v>
      </c>
      <c r="B615" s="4">
        <v>0.2</v>
      </c>
      <c r="C615" s="4">
        <v>4.38</v>
      </c>
      <c r="D615" s="4">
        <v>-1.34</v>
      </c>
      <c r="E615" s="4">
        <v>1.8542037258380791E-3</v>
      </c>
      <c r="F615" s="3">
        <v>613</v>
      </c>
      <c r="G615" s="3">
        <v>1</v>
      </c>
      <c r="H615" s="5">
        <v>214678.4197</v>
      </c>
      <c r="I615" s="5">
        <v>-3112381.5803</v>
      </c>
      <c r="J615" s="5">
        <v>0</v>
      </c>
      <c r="K615" s="5">
        <v>3327060</v>
      </c>
      <c r="L615" s="5">
        <v>0</v>
      </c>
      <c r="M615" s="5">
        <v>-15759860</v>
      </c>
      <c r="N615" s="5">
        <v>-8304420</v>
      </c>
    </row>
    <row r="616" spans="1:14" x14ac:dyDescent="0.25">
      <c r="A616" s="3" t="s">
        <v>627</v>
      </c>
      <c r="B616" s="4">
        <v>-21.62</v>
      </c>
      <c r="C616" s="4">
        <v>-0.37</v>
      </c>
      <c r="D616" s="4">
        <v>-0.33</v>
      </c>
      <c r="E616" s="4">
        <v>1.829418909321623E-3</v>
      </c>
      <c r="F616" s="3">
        <v>614</v>
      </c>
      <c r="G616" s="3">
        <v>1</v>
      </c>
      <c r="H616" s="5">
        <v>1548424990.8399999</v>
      </c>
      <c r="I616" s="5">
        <v>1510636990.8399999</v>
      </c>
      <c r="J616" s="5">
        <v>0</v>
      </c>
      <c r="K616" s="5">
        <v>37788000</v>
      </c>
      <c r="L616" s="5">
        <v>0</v>
      </c>
      <c r="M616" s="5">
        <v>-69888000</v>
      </c>
      <c r="N616" s="5">
        <v>-61688000</v>
      </c>
    </row>
    <row r="617" spans="1:14" x14ac:dyDescent="0.25">
      <c r="A617" s="3" t="s">
        <v>628</v>
      </c>
      <c r="B617" s="4">
        <v>2.98</v>
      </c>
      <c r="C617" s="4">
        <v>4.57</v>
      </c>
      <c r="D617" s="4">
        <v>4.57</v>
      </c>
      <c r="E617" s="4">
        <v>1.82263778263122E-3</v>
      </c>
      <c r="F617" s="3">
        <v>615</v>
      </c>
      <c r="G617" s="3">
        <v>1</v>
      </c>
      <c r="H617" s="5">
        <v>53820000</v>
      </c>
      <c r="I617" s="5">
        <v>52538600</v>
      </c>
      <c r="J617" s="5">
        <v>0</v>
      </c>
      <c r="K617" s="5">
        <v>1281400</v>
      </c>
      <c r="L617" s="5">
        <v>18575410</v>
      </c>
      <c r="M617" s="5">
        <v>17652500</v>
      </c>
      <c r="N617" s="5">
        <v>17652500</v>
      </c>
    </row>
    <row r="618" spans="1:14" x14ac:dyDescent="0.25">
      <c r="A618" s="3" t="s">
        <v>629</v>
      </c>
      <c r="B618" s="4">
        <v>-14.29</v>
      </c>
      <c r="C618" s="4">
        <v>1.19</v>
      </c>
      <c r="D618" s="4">
        <v>-0.28000000000000003</v>
      </c>
      <c r="E618" s="4">
        <v>1.809778960506827E-3</v>
      </c>
      <c r="F618" s="3">
        <v>616</v>
      </c>
      <c r="G618" s="3">
        <v>1</v>
      </c>
      <c r="H618" s="5">
        <v>57176919.344999999</v>
      </c>
      <c r="I618" s="5">
        <v>543215919.34500003</v>
      </c>
      <c r="J618" s="5">
        <v>486976000</v>
      </c>
      <c r="K618" s="5">
        <v>937000</v>
      </c>
      <c r="L618" s="5">
        <v>38138000</v>
      </c>
      <c r="M618" s="5">
        <v>-38024000</v>
      </c>
      <c r="N618" s="5">
        <v>-119902000</v>
      </c>
    </row>
    <row r="619" spans="1:14" x14ac:dyDescent="0.25">
      <c r="A619" s="3" t="s">
        <v>630</v>
      </c>
      <c r="B619" s="4">
        <v>-24.02</v>
      </c>
      <c r="C619" s="4">
        <v>-0.89</v>
      </c>
      <c r="D619" s="4">
        <v>-0.4</v>
      </c>
      <c r="E619" s="4">
        <v>1.7988575258258541E-3</v>
      </c>
      <c r="F619" s="3">
        <v>617</v>
      </c>
      <c r="G619" s="3">
        <v>1</v>
      </c>
      <c r="H619" s="5">
        <v>2986359640.96</v>
      </c>
      <c r="I619" s="5">
        <v>3022227640.96</v>
      </c>
      <c r="J619" s="5">
        <v>107203000</v>
      </c>
      <c r="K619" s="5">
        <v>71335000</v>
      </c>
      <c r="L619" s="5">
        <v>196542000</v>
      </c>
      <c r="M619" s="5">
        <v>-125798000</v>
      </c>
      <c r="N619" s="5">
        <v>-140039000</v>
      </c>
    </row>
    <row r="620" spans="1:14" x14ac:dyDescent="0.25">
      <c r="A620" s="3" t="s">
        <v>631</v>
      </c>
      <c r="B620" s="4">
        <v>-21.03</v>
      </c>
      <c r="C620" s="4">
        <v>-0.28000000000000003</v>
      </c>
      <c r="D620" s="4">
        <v>-0.09</v>
      </c>
      <c r="E620" s="4">
        <v>1.770594874184316E-3</v>
      </c>
      <c r="F620" s="3">
        <v>618</v>
      </c>
      <c r="G620" s="3">
        <v>1</v>
      </c>
      <c r="H620" s="5">
        <v>34856653.210000001</v>
      </c>
      <c r="I620" s="5">
        <v>32168643.210000001</v>
      </c>
      <c r="J620" s="5">
        <v>15276170</v>
      </c>
      <c r="K620" s="5">
        <v>17964180</v>
      </c>
      <c r="L620" s="5">
        <v>37867950</v>
      </c>
      <c r="M620" s="5">
        <v>-1529840</v>
      </c>
      <c r="N620" s="5">
        <v>-6479770</v>
      </c>
    </row>
    <row r="621" spans="1:14" x14ac:dyDescent="0.25">
      <c r="A621" s="3" t="s">
        <v>632</v>
      </c>
      <c r="B621" s="4">
        <v>-20.079999999999998</v>
      </c>
      <c r="C621" s="4">
        <v>-0.12</v>
      </c>
      <c r="D621" s="4">
        <v>-0.11</v>
      </c>
      <c r="E621" s="4">
        <v>1.641059992038273E-3</v>
      </c>
      <c r="F621" s="3">
        <v>619</v>
      </c>
      <c r="G621" s="3">
        <v>1</v>
      </c>
      <c r="H621" s="5">
        <v>393301579.44</v>
      </c>
      <c r="I621" s="5">
        <v>374923579.44</v>
      </c>
      <c r="J621" s="5">
        <v>0</v>
      </c>
      <c r="K621" s="5">
        <v>18378000</v>
      </c>
      <c r="L621" s="5">
        <v>248693000</v>
      </c>
      <c r="M621" s="5">
        <v>-18670000</v>
      </c>
      <c r="N621" s="5">
        <v>-27307000</v>
      </c>
    </row>
    <row r="622" spans="1:14" x14ac:dyDescent="0.25">
      <c r="A622" s="3" t="s">
        <v>633</v>
      </c>
      <c r="B622" s="4">
        <v>-20.55</v>
      </c>
      <c r="C622" s="4">
        <v>-0.24</v>
      </c>
      <c r="D622" s="4">
        <v>-0.04</v>
      </c>
      <c r="E622" s="4">
        <v>1.5987325616699591E-3</v>
      </c>
      <c r="F622" s="3">
        <v>620</v>
      </c>
      <c r="G622" s="3">
        <v>1</v>
      </c>
      <c r="H622" s="5">
        <v>499554906.88</v>
      </c>
      <c r="I622" s="5">
        <v>8091248906.8800001</v>
      </c>
      <c r="J622" s="5">
        <v>7735497000</v>
      </c>
      <c r="K622" s="5">
        <v>143803000</v>
      </c>
      <c r="L622" s="5">
        <v>822900000</v>
      </c>
      <c r="M622" s="5">
        <v>-393730000</v>
      </c>
      <c r="N622" s="5">
        <v>-435755000</v>
      </c>
    </row>
    <row r="623" spans="1:14" x14ac:dyDescent="0.25">
      <c r="A623" s="3" t="s">
        <v>634</v>
      </c>
      <c r="B623" s="4">
        <v>-22.35</v>
      </c>
      <c r="C623" s="4">
        <v>-0.6</v>
      </c>
      <c r="D623" s="4">
        <v>-0.51</v>
      </c>
      <c r="E623" s="4">
        <v>1.581955485480638E-3</v>
      </c>
      <c r="F623" s="3">
        <v>621</v>
      </c>
      <c r="G623" s="3">
        <v>1</v>
      </c>
      <c r="H623" s="5">
        <v>464707561.60000002</v>
      </c>
      <c r="I623" s="5">
        <v>470946561.60000002</v>
      </c>
      <c r="J623" s="5">
        <v>9569000</v>
      </c>
      <c r="K623" s="5">
        <v>3330000</v>
      </c>
      <c r="L623" s="5">
        <v>2674000</v>
      </c>
      <c r="M623" s="5">
        <v>-21068000</v>
      </c>
      <c r="N623" s="5">
        <v>-51409000</v>
      </c>
    </row>
    <row r="624" spans="1:14" x14ac:dyDescent="0.25">
      <c r="A624" s="3" t="s">
        <v>635</v>
      </c>
      <c r="B624" s="4">
        <v>0.47</v>
      </c>
      <c r="C624" s="4">
        <v>4.18</v>
      </c>
      <c r="D624" s="4">
        <v>0.59</v>
      </c>
      <c r="E624" s="4">
        <v>1.4815251611864631E-3</v>
      </c>
      <c r="F624" s="3">
        <v>622</v>
      </c>
      <c r="G624" s="3">
        <v>1</v>
      </c>
      <c r="H624" s="5">
        <v>2631986.5</v>
      </c>
      <c r="I624" s="5">
        <v>-758483.5</v>
      </c>
      <c r="J624" s="5">
        <v>510460</v>
      </c>
      <c r="K624" s="5">
        <v>3900930</v>
      </c>
      <c r="L624" s="5">
        <v>13169780</v>
      </c>
      <c r="M624" s="5">
        <v>-1616220</v>
      </c>
      <c r="N624" s="5">
        <v>5060160</v>
      </c>
    </row>
    <row r="625" spans="1:14" x14ac:dyDescent="0.25">
      <c r="A625" s="3" t="s">
        <v>636</v>
      </c>
      <c r="B625" s="4">
        <v>3.4</v>
      </c>
      <c r="C625" s="4">
        <v>4.83</v>
      </c>
      <c r="D625" s="4">
        <v>-0.12</v>
      </c>
      <c r="E625" s="4">
        <v>1.4092114608796229E-3</v>
      </c>
      <c r="F625" s="3">
        <v>623</v>
      </c>
      <c r="G625" s="3">
        <v>1</v>
      </c>
      <c r="H625" s="5">
        <v>10246.033600000001</v>
      </c>
      <c r="I625" s="5">
        <v>11233286.033600001</v>
      </c>
      <c r="J625" s="5">
        <v>12809250</v>
      </c>
      <c r="K625" s="5">
        <v>1586210</v>
      </c>
      <c r="L625" s="5">
        <v>17115210</v>
      </c>
      <c r="M625" s="5">
        <v>3308540</v>
      </c>
      <c r="N625" s="5">
        <v>-1796160</v>
      </c>
    </row>
    <row r="626" spans="1:14" x14ac:dyDescent="0.25">
      <c r="A626" s="3" t="s">
        <v>637</v>
      </c>
      <c r="B626" s="4">
        <v>-18.579999999999998</v>
      </c>
      <c r="C626" s="4">
        <v>0.1</v>
      </c>
      <c r="D626" s="4">
        <v>0.03</v>
      </c>
      <c r="E626" s="4">
        <v>1.375344863879814E-3</v>
      </c>
      <c r="F626" s="3">
        <v>624</v>
      </c>
      <c r="G626" s="3">
        <v>1</v>
      </c>
      <c r="H626" s="5">
        <v>47553803.479999997</v>
      </c>
      <c r="I626" s="5">
        <v>165816803.47999999</v>
      </c>
      <c r="J626" s="5">
        <v>147077000</v>
      </c>
      <c r="K626" s="5">
        <v>28814000</v>
      </c>
      <c r="L626" s="5">
        <v>120266000</v>
      </c>
      <c r="M626" s="5">
        <v>-8923000</v>
      </c>
      <c r="N626" s="5">
        <v>9517000</v>
      </c>
    </row>
    <row r="627" spans="1:14" x14ac:dyDescent="0.25">
      <c r="A627" s="3" t="s">
        <v>638</v>
      </c>
      <c r="B627" s="4">
        <v>-0.01</v>
      </c>
      <c r="C627" s="4">
        <v>8.3000000000000007</v>
      </c>
      <c r="D627" s="4">
        <v>-63.36</v>
      </c>
      <c r="E627" s="4">
        <v>1.3466481614528489E-3</v>
      </c>
      <c r="F627" s="3">
        <v>625</v>
      </c>
      <c r="G627" s="3">
        <v>1</v>
      </c>
      <c r="H627" s="5">
        <v>4862.6926519999997</v>
      </c>
      <c r="I627" s="5">
        <v>825102.692652</v>
      </c>
      <c r="J627" s="5">
        <v>976230</v>
      </c>
      <c r="K627" s="5">
        <v>155990</v>
      </c>
      <c r="L627" s="5">
        <v>0</v>
      </c>
      <c r="M627" s="5">
        <v>-68607130</v>
      </c>
      <c r="N627" s="5">
        <v>-76683220</v>
      </c>
    </row>
    <row r="628" spans="1:14" x14ac:dyDescent="0.25">
      <c r="A628" s="3" t="s">
        <v>639</v>
      </c>
      <c r="B628" s="4">
        <v>-23.45</v>
      </c>
      <c r="C628" s="4">
        <v>-0.94</v>
      </c>
      <c r="D628" s="4">
        <v>-0.39</v>
      </c>
      <c r="E628" s="4">
        <v>1.3035337925976569E-3</v>
      </c>
      <c r="F628" s="3">
        <v>626</v>
      </c>
      <c r="G628" s="3">
        <v>1</v>
      </c>
      <c r="H628" s="5">
        <v>246493481.91999999</v>
      </c>
      <c r="I628" s="5">
        <v>240574161.91999999</v>
      </c>
      <c r="J628" s="5">
        <v>1797770</v>
      </c>
      <c r="K628" s="5">
        <v>7717090</v>
      </c>
      <c r="L628" s="5">
        <v>7447940</v>
      </c>
      <c r="M628" s="5">
        <v>-10258750</v>
      </c>
      <c r="N628" s="5">
        <v>-11967510</v>
      </c>
    </row>
    <row r="629" spans="1:14" x14ac:dyDescent="0.25">
      <c r="A629" s="3" t="s">
        <v>640</v>
      </c>
      <c r="B629" s="4">
        <v>-19.86</v>
      </c>
      <c r="C629" s="4">
        <v>-0.2</v>
      </c>
      <c r="D629" s="4">
        <v>-0.13</v>
      </c>
      <c r="E629" s="4">
        <v>1.269890557431893E-3</v>
      </c>
      <c r="F629" s="3">
        <v>627</v>
      </c>
      <c r="G629" s="3">
        <v>1</v>
      </c>
      <c r="H629" s="5">
        <v>15261205.68</v>
      </c>
      <c r="I629" s="5">
        <v>14397205.68</v>
      </c>
      <c r="J629" s="5">
        <v>526000</v>
      </c>
      <c r="K629" s="5">
        <v>1390000</v>
      </c>
      <c r="L629" s="5">
        <v>15358000</v>
      </c>
      <c r="M629" s="5">
        <v>-725000</v>
      </c>
      <c r="N629" s="5">
        <v>-1961000</v>
      </c>
    </row>
    <row r="630" spans="1:14" x14ac:dyDescent="0.25">
      <c r="A630" s="3" t="s">
        <v>641</v>
      </c>
      <c r="B630" s="4">
        <v>-18.79</v>
      </c>
      <c r="C630" s="4">
        <v>0</v>
      </c>
      <c r="D630" s="4">
        <v>0</v>
      </c>
      <c r="E630" s="4">
        <v>1.210595033641343E-3</v>
      </c>
      <c r="F630" s="3">
        <v>628</v>
      </c>
      <c r="G630" s="3">
        <v>1</v>
      </c>
      <c r="H630" s="5">
        <v>4572040.0005999999</v>
      </c>
      <c r="I630" s="5">
        <v>4209040.0005999999</v>
      </c>
      <c r="J630" s="5">
        <v>0</v>
      </c>
      <c r="K630" s="5">
        <v>363000</v>
      </c>
      <c r="L630" s="5">
        <v>146000</v>
      </c>
      <c r="M630" s="5">
        <v>-224000</v>
      </c>
      <c r="N630" s="5">
        <v>-18000</v>
      </c>
    </row>
    <row r="631" spans="1:14" x14ac:dyDescent="0.25">
      <c r="A631" s="3" t="s">
        <v>642</v>
      </c>
      <c r="B631" s="4">
        <v>-0.23</v>
      </c>
      <c r="C631" s="4">
        <v>4.07</v>
      </c>
      <c r="D631" s="4">
        <v>-1.69</v>
      </c>
      <c r="E631" s="4">
        <v>1.157121823151511E-3</v>
      </c>
      <c r="F631" s="3">
        <v>629</v>
      </c>
      <c r="G631" s="3">
        <v>1</v>
      </c>
      <c r="H631" s="5">
        <v>9556332.7200000007</v>
      </c>
      <c r="I631" s="5">
        <v>2717332.7200000011</v>
      </c>
      <c r="J631" s="5">
        <v>0</v>
      </c>
      <c r="K631" s="5">
        <v>6839000</v>
      </c>
      <c r="L631" s="5">
        <v>0</v>
      </c>
      <c r="M631" s="5">
        <v>-11853000</v>
      </c>
      <c r="N631" s="5">
        <v>-15752000</v>
      </c>
    </row>
    <row r="632" spans="1:14" x14ac:dyDescent="0.25">
      <c r="A632" s="3" t="s">
        <v>643</v>
      </c>
      <c r="B632" s="4">
        <v>-21.37</v>
      </c>
      <c r="C632" s="4">
        <v>-0.55000000000000004</v>
      </c>
      <c r="D632" s="4">
        <v>-0.54</v>
      </c>
      <c r="E632" s="4">
        <v>1.11409428250682E-3</v>
      </c>
      <c r="F632" s="3">
        <v>630</v>
      </c>
      <c r="G632" s="3">
        <v>1</v>
      </c>
      <c r="H632" s="5">
        <v>85466250</v>
      </c>
      <c r="I632" s="5">
        <v>84516250</v>
      </c>
      <c r="J632" s="5">
        <v>0</v>
      </c>
      <c r="K632" s="5">
        <v>950000</v>
      </c>
      <c r="L632" s="5">
        <v>0</v>
      </c>
      <c r="M632" s="5">
        <v>-3955000</v>
      </c>
      <c r="N632" s="5">
        <v>-5369000</v>
      </c>
    </row>
    <row r="633" spans="1:14" x14ac:dyDescent="0.25">
      <c r="A633" s="3" t="s">
        <v>644</v>
      </c>
      <c r="B633" s="4">
        <v>-3.45</v>
      </c>
      <c r="C633" s="4">
        <v>3.25</v>
      </c>
      <c r="D633" s="4">
        <v>-0.08</v>
      </c>
      <c r="E633" s="4">
        <v>1.0913435614033371E-3</v>
      </c>
      <c r="F633" s="3">
        <v>631</v>
      </c>
      <c r="G633" s="3">
        <v>1</v>
      </c>
      <c r="H633" s="5">
        <v>9627.3436999999994</v>
      </c>
      <c r="I633" s="5">
        <v>19938187.343699999</v>
      </c>
      <c r="J633" s="5">
        <v>20680500</v>
      </c>
      <c r="K633" s="5">
        <v>751940</v>
      </c>
      <c r="L633" s="5">
        <v>89453030</v>
      </c>
      <c r="M633" s="5">
        <v>-5771230</v>
      </c>
      <c r="N633" s="5">
        <v>-8286850</v>
      </c>
    </row>
    <row r="634" spans="1:14" x14ac:dyDescent="0.25">
      <c r="A634" s="3" t="s">
        <v>645</v>
      </c>
      <c r="B634" s="4">
        <v>-20.78</v>
      </c>
      <c r="C634" s="4">
        <v>-0.44</v>
      </c>
      <c r="D634" s="4">
        <v>-0.43</v>
      </c>
      <c r="E634" s="4">
        <v>1.087980115890853E-3</v>
      </c>
      <c r="F634" s="3">
        <v>632</v>
      </c>
      <c r="G634" s="3">
        <v>1</v>
      </c>
      <c r="H634" s="5">
        <v>3965692448.77</v>
      </c>
      <c r="I634" s="5">
        <v>3805073048.77</v>
      </c>
      <c r="J634" s="5">
        <v>9616700</v>
      </c>
      <c r="K634" s="5">
        <v>170236100</v>
      </c>
      <c r="L634" s="5">
        <v>3618800</v>
      </c>
      <c r="M634" s="5">
        <v>-183105000</v>
      </c>
      <c r="N634" s="5">
        <v>-400864800</v>
      </c>
    </row>
    <row r="635" spans="1:14" x14ac:dyDescent="0.25">
      <c r="A635" s="3" t="s">
        <v>646</v>
      </c>
      <c r="B635" s="4">
        <v>-12.56</v>
      </c>
      <c r="C635" s="4">
        <v>1.35</v>
      </c>
      <c r="D635" s="4">
        <v>-1.08</v>
      </c>
      <c r="E635" s="4">
        <v>1.0470219609432911E-3</v>
      </c>
      <c r="F635" s="3">
        <v>633</v>
      </c>
      <c r="G635" s="3">
        <v>1</v>
      </c>
      <c r="H635" s="5">
        <v>54761603.399999999</v>
      </c>
      <c r="I635" s="5">
        <v>59564413.399999999</v>
      </c>
      <c r="J635" s="5">
        <v>5627540</v>
      </c>
      <c r="K635" s="5">
        <v>824730</v>
      </c>
      <c r="L635" s="5">
        <v>10820370</v>
      </c>
      <c r="M635" s="5">
        <v>-4742090</v>
      </c>
      <c r="N635" s="5">
        <v>-5884150</v>
      </c>
    </row>
    <row r="636" spans="1:14" x14ac:dyDescent="0.25">
      <c r="A636" s="3" t="s">
        <v>647</v>
      </c>
      <c r="B636" s="4">
        <v>-0.94</v>
      </c>
      <c r="C636" s="4">
        <v>4.1399999999999997</v>
      </c>
      <c r="D636" s="4">
        <v>-5.77</v>
      </c>
      <c r="E636" s="4">
        <v>1.0117678331228171E-3</v>
      </c>
      <c r="F636" s="3">
        <v>634</v>
      </c>
      <c r="G636" s="3">
        <v>1</v>
      </c>
      <c r="H636" s="5">
        <v>9026487.0800000001</v>
      </c>
      <c r="I636" s="5">
        <v>11804487.08</v>
      </c>
      <c r="J636" s="5">
        <v>3965000</v>
      </c>
      <c r="K636" s="5">
        <v>1187000</v>
      </c>
      <c r="L636" s="5">
        <v>0</v>
      </c>
      <c r="M636" s="5">
        <v>-12546000</v>
      </c>
      <c r="N636" s="5">
        <v>-16519000</v>
      </c>
    </row>
    <row r="637" spans="1:14" x14ac:dyDescent="0.25">
      <c r="A637" s="3" t="s">
        <v>648</v>
      </c>
      <c r="B637" s="4">
        <v>-19.29</v>
      </c>
      <c r="C637" s="4">
        <v>-0.17</v>
      </c>
      <c r="D637" s="4">
        <v>-0.12</v>
      </c>
      <c r="E637" s="4">
        <v>1.0057156803193589E-3</v>
      </c>
      <c r="F637" s="3">
        <v>635</v>
      </c>
      <c r="G637" s="3">
        <v>1</v>
      </c>
      <c r="H637" s="5">
        <v>5620649097.96</v>
      </c>
      <c r="I637" s="5">
        <v>5528803097.96</v>
      </c>
      <c r="J637" s="5">
        <v>0</v>
      </c>
      <c r="K637" s="5">
        <v>91846000</v>
      </c>
      <c r="L637" s="5">
        <v>821461000</v>
      </c>
      <c r="M637" s="5">
        <v>-286559000</v>
      </c>
      <c r="N637" s="5">
        <v>-288441000</v>
      </c>
    </row>
    <row r="638" spans="1:14" x14ac:dyDescent="0.25">
      <c r="A638" s="3" t="s">
        <v>649</v>
      </c>
      <c r="B638" s="4">
        <v>-19.579999999999998</v>
      </c>
      <c r="C638" s="4">
        <v>-0.24</v>
      </c>
      <c r="D638" s="4">
        <v>-0.22</v>
      </c>
      <c r="E638" s="4">
        <v>9.6365713065834149E-4</v>
      </c>
      <c r="F638" s="3">
        <v>636</v>
      </c>
      <c r="G638" s="3">
        <v>1</v>
      </c>
      <c r="H638" s="5">
        <v>2119299871.0999999</v>
      </c>
      <c r="I638" s="5">
        <v>2032562871.0999999</v>
      </c>
      <c r="J638" s="5">
        <v>0</v>
      </c>
      <c r="K638" s="5">
        <v>86737000</v>
      </c>
      <c r="L638" s="5">
        <v>83302000</v>
      </c>
      <c r="M638" s="5">
        <v>-103826000</v>
      </c>
      <c r="N638" s="5">
        <v>-84599000</v>
      </c>
    </row>
    <row r="639" spans="1:14" x14ac:dyDescent="0.25">
      <c r="A639" s="3" t="s">
        <v>650</v>
      </c>
      <c r="B639" s="4">
        <v>-21.39</v>
      </c>
      <c r="C639" s="4">
        <v>-0.62</v>
      </c>
      <c r="D639" s="4">
        <v>-0.45</v>
      </c>
      <c r="E639" s="4">
        <v>9.4157868399732253E-4</v>
      </c>
      <c r="F639" s="3">
        <v>637</v>
      </c>
      <c r="G639" s="3">
        <v>1</v>
      </c>
      <c r="H639" s="5">
        <v>10606673092.18</v>
      </c>
      <c r="I639" s="5">
        <v>10624223092.18</v>
      </c>
      <c r="J639" s="5">
        <v>117569000</v>
      </c>
      <c r="K639" s="5">
        <v>100019000</v>
      </c>
      <c r="L639" s="5">
        <v>180133000</v>
      </c>
      <c r="M639" s="5">
        <v>-496779000</v>
      </c>
      <c r="N639" s="5">
        <v>-465892000</v>
      </c>
    </row>
    <row r="640" spans="1:14" x14ac:dyDescent="0.25">
      <c r="A640" s="3" t="s">
        <v>651</v>
      </c>
      <c r="B640" s="4">
        <v>-8.84</v>
      </c>
      <c r="C640" s="4">
        <v>2.11</v>
      </c>
      <c r="D640" s="4">
        <v>-1.27</v>
      </c>
      <c r="E640" s="4">
        <v>9.0390006975667181E-4</v>
      </c>
      <c r="F640" s="3">
        <v>638</v>
      </c>
      <c r="G640" s="3">
        <v>1</v>
      </c>
      <c r="H640" s="5">
        <v>60457123.149999999</v>
      </c>
      <c r="I640" s="5">
        <v>58087123.149999999</v>
      </c>
      <c r="J640" s="5">
        <v>2787000</v>
      </c>
      <c r="K640" s="5">
        <v>5157000</v>
      </c>
      <c r="L640" s="5">
        <v>29581000</v>
      </c>
      <c r="M640" s="5">
        <v>-6572000</v>
      </c>
      <c r="N640" s="5">
        <v>-15315000</v>
      </c>
    </row>
    <row r="641" spans="1:14" x14ac:dyDescent="0.25">
      <c r="A641" s="3" t="s">
        <v>652</v>
      </c>
      <c r="B641" s="4">
        <v>-18.3</v>
      </c>
      <c r="C641" s="4">
        <v>-0.02</v>
      </c>
      <c r="D641" s="4">
        <v>-0.01</v>
      </c>
      <c r="E641" s="4">
        <v>8.4760771387812871E-4</v>
      </c>
      <c r="F641" s="3">
        <v>639</v>
      </c>
      <c r="G641" s="3">
        <v>1</v>
      </c>
      <c r="H641" s="5">
        <v>148175439.75</v>
      </c>
      <c r="I641" s="5">
        <v>143886439.75</v>
      </c>
      <c r="J641" s="5">
        <v>3505000</v>
      </c>
      <c r="K641" s="5">
        <v>7794000</v>
      </c>
      <c r="L641" s="5">
        <v>32023000</v>
      </c>
      <c r="M641" s="5">
        <v>-7861000</v>
      </c>
      <c r="N641" s="5">
        <v>-1155000</v>
      </c>
    </row>
    <row r="642" spans="1:14" x14ac:dyDescent="0.25">
      <c r="A642" s="3" t="s">
        <v>653</v>
      </c>
      <c r="B642" s="4">
        <v>-2.46</v>
      </c>
      <c r="C642" s="4">
        <v>3.46</v>
      </c>
      <c r="D642" s="4">
        <v>-2.2400000000000002</v>
      </c>
      <c r="E642" s="4">
        <v>6.6870820395502177E-4</v>
      </c>
      <c r="F642" s="3">
        <v>640</v>
      </c>
      <c r="G642" s="3">
        <v>1</v>
      </c>
      <c r="H642" s="5">
        <v>1467.4580000000001</v>
      </c>
      <c r="I642" s="5">
        <v>1255047.4580000001</v>
      </c>
      <c r="J642" s="5">
        <v>1424950</v>
      </c>
      <c r="K642" s="5">
        <v>171370</v>
      </c>
      <c r="L642" s="5">
        <v>974480</v>
      </c>
      <c r="M642" s="5">
        <v>-510480</v>
      </c>
      <c r="N642" s="5">
        <v>-4499050</v>
      </c>
    </row>
    <row r="643" spans="1:14" x14ac:dyDescent="0.25">
      <c r="A643" s="3" t="s">
        <v>654</v>
      </c>
      <c r="B643" s="4">
        <v>-14.21</v>
      </c>
      <c r="C643" s="4">
        <v>0.85</v>
      </c>
      <c r="D643" s="4">
        <v>-1.28</v>
      </c>
      <c r="E643" s="4">
        <v>5.8498001868805168E-4</v>
      </c>
      <c r="F643" s="3">
        <v>641</v>
      </c>
      <c r="G643" s="3">
        <v>1</v>
      </c>
      <c r="H643" s="5">
        <v>102301038.72</v>
      </c>
      <c r="I643" s="5">
        <v>100740138.72</v>
      </c>
      <c r="J643" s="5">
        <v>0</v>
      </c>
      <c r="K643" s="5">
        <v>1560900</v>
      </c>
      <c r="L643" s="5">
        <v>0</v>
      </c>
      <c r="M643" s="5">
        <v>-7089340</v>
      </c>
      <c r="N643" s="5">
        <v>-4706290</v>
      </c>
    </row>
    <row r="644" spans="1:14" x14ac:dyDescent="0.25">
      <c r="A644" s="3" t="s">
        <v>655</v>
      </c>
      <c r="B644" s="4">
        <v>-21.13</v>
      </c>
      <c r="C644" s="4">
        <v>-0.68</v>
      </c>
      <c r="D644" s="4">
        <v>-0.62</v>
      </c>
      <c r="E644" s="4">
        <v>5.7450424196896048E-4</v>
      </c>
      <c r="F644" s="3">
        <v>642</v>
      </c>
      <c r="G644" s="3">
        <v>1</v>
      </c>
      <c r="H644" s="5">
        <v>473532952.87151998</v>
      </c>
      <c r="I644" s="5">
        <v>446800952.87151998</v>
      </c>
      <c r="J644" s="5">
        <v>0</v>
      </c>
      <c r="K644" s="5">
        <v>26732000</v>
      </c>
      <c r="L644" s="5">
        <v>0</v>
      </c>
      <c r="M644" s="5">
        <v>-21145000</v>
      </c>
      <c r="N644" s="5">
        <v>-18451000</v>
      </c>
    </row>
    <row r="645" spans="1:14" x14ac:dyDescent="0.25">
      <c r="A645" s="3" t="s">
        <v>656</v>
      </c>
      <c r="B645" s="4">
        <v>-23.97</v>
      </c>
      <c r="C645" s="4">
        <v>-1.28</v>
      </c>
      <c r="D645" s="4">
        <v>-0.76</v>
      </c>
      <c r="E645" s="4">
        <v>5.7161586698639341E-4</v>
      </c>
      <c r="F645" s="3">
        <v>643</v>
      </c>
      <c r="G645" s="3">
        <v>1</v>
      </c>
      <c r="H645" s="5">
        <v>61006564.82</v>
      </c>
      <c r="I645" s="5">
        <v>59343554.82</v>
      </c>
      <c r="J645" s="5">
        <v>136990</v>
      </c>
      <c r="K645" s="5">
        <v>1800000</v>
      </c>
      <c r="L645" s="5">
        <v>1322750</v>
      </c>
      <c r="M645" s="5">
        <v>-2476030</v>
      </c>
      <c r="N645" s="5">
        <v>-2470470</v>
      </c>
    </row>
    <row r="646" spans="1:14" x14ac:dyDescent="0.25">
      <c r="A646" s="3" t="s">
        <v>657</v>
      </c>
      <c r="B646" s="4">
        <v>14.93</v>
      </c>
      <c r="C646" s="4">
        <v>6.99</v>
      </c>
      <c r="D646" s="4">
        <v>0.06</v>
      </c>
      <c r="E646" s="4">
        <v>5.4879888566735681E-4</v>
      </c>
      <c r="F646" s="3">
        <v>644</v>
      </c>
      <c r="G646" s="3">
        <v>1</v>
      </c>
      <c r="H646" s="5">
        <v>879819840</v>
      </c>
      <c r="I646" s="5">
        <v>998998840</v>
      </c>
      <c r="J646" s="5">
        <v>162445000</v>
      </c>
      <c r="K646" s="5">
        <v>43266000</v>
      </c>
      <c r="L646" s="5">
        <v>864704000</v>
      </c>
      <c r="M646" s="5">
        <v>66903900</v>
      </c>
      <c r="N646" s="5">
        <v>16629000</v>
      </c>
    </row>
    <row r="647" spans="1:14" x14ac:dyDescent="0.25">
      <c r="A647" s="3" t="s">
        <v>658</v>
      </c>
      <c r="B647" s="4">
        <v>-1.05</v>
      </c>
      <c r="C647" s="4">
        <v>3.65</v>
      </c>
      <c r="D647" s="4">
        <v>-1.34</v>
      </c>
      <c r="E647" s="4">
        <v>5.1862112591732901E-4</v>
      </c>
      <c r="F647" s="3">
        <v>645</v>
      </c>
      <c r="G647" s="3">
        <v>1</v>
      </c>
      <c r="H647" s="5">
        <v>7209426.7800000003</v>
      </c>
      <c r="I647" s="5">
        <v>17602266.780000001</v>
      </c>
      <c r="J647" s="5">
        <v>10565630</v>
      </c>
      <c r="K647" s="5">
        <v>172790</v>
      </c>
      <c r="L647" s="5">
        <v>20302800</v>
      </c>
      <c r="M647" s="5">
        <v>-16725890</v>
      </c>
      <c r="N647" s="5">
        <v>-24646580</v>
      </c>
    </row>
    <row r="648" spans="1:14" x14ac:dyDescent="0.25">
      <c r="A648" s="3" t="s">
        <v>659</v>
      </c>
      <c r="B648" s="4">
        <v>-1.93</v>
      </c>
      <c r="C648" s="4">
        <v>3.4</v>
      </c>
      <c r="D648" s="4">
        <v>-0.49</v>
      </c>
      <c r="E648" s="4">
        <v>5.0489831098669315E-4</v>
      </c>
      <c r="F648" s="3">
        <v>646</v>
      </c>
      <c r="G648" s="3">
        <v>1</v>
      </c>
      <c r="H648" s="5">
        <v>29522259.764699999</v>
      </c>
      <c r="I648" s="5">
        <v>34589259.764700003</v>
      </c>
      <c r="J648" s="5">
        <v>7831000</v>
      </c>
      <c r="K648" s="5">
        <v>2764000</v>
      </c>
      <c r="L648" s="5">
        <v>70198000</v>
      </c>
      <c r="M648" s="5">
        <v>-17932000</v>
      </c>
      <c r="N648" s="5">
        <v>-19714000</v>
      </c>
    </row>
    <row r="649" spans="1:14" x14ac:dyDescent="0.25">
      <c r="A649" s="3" t="s">
        <v>660</v>
      </c>
      <c r="B649" s="4">
        <v>-16.93</v>
      </c>
      <c r="C649" s="4">
        <v>0.31</v>
      </c>
      <c r="D649" s="4">
        <v>-2.46</v>
      </c>
      <c r="E649" s="4">
        <v>4.8056405336669399E-4</v>
      </c>
      <c r="F649" s="3">
        <v>647</v>
      </c>
      <c r="G649" s="3">
        <v>1</v>
      </c>
      <c r="H649" s="5">
        <v>26502596.346239999</v>
      </c>
      <c r="I649" s="5">
        <v>72106596.346239999</v>
      </c>
      <c r="J649" s="5">
        <v>50522000</v>
      </c>
      <c r="K649" s="5">
        <v>4918000</v>
      </c>
      <c r="L649" s="5">
        <v>0</v>
      </c>
      <c r="M649" s="5">
        <v>-4260000</v>
      </c>
      <c r="N649" s="5">
        <v>-14472000</v>
      </c>
    </row>
    <row r="650" spans="1:14" x14ac:dyDescent="0.25">
      <c r="A650" s="3" t="s">
        <v>661</v>
      </c>
      <c r="B650" s="4">
        <v>-2.3199999999999998</v>
      </c>
      <c r="C650" s="4">
        <v>3.3</v>
      </c>
      <c r="D650" s="4">
        <v>-0.57999999999999996</v>
      </c>
      <c r="E650" s="4">
        <v>4.3998002383058109E-4</v>
      </c>
      <c r="F650" s="3">
        <v>648</v>
      </c>
      <c r="G650" s="3">
        <v>1</v>
      </c>
      <c r="H650" s="5">
        <v>27731038.794799998</v>
      </c>
      <c r="I650" s="5">
        <v>49125038.794799998</v>
      </c>
      <c r="J650" s="5">
        <v>27289000</v>
      </c>
      <c r="K650" s="5">
        <v>5895000</v>
      </c>
      <c r="L650" s="5">
        <v>1336000</v>
      </c>
      <c r="M650" s="5">
        <v>-21197000</v>
      </c>
      <c r="N650" s="5">
        <v>-22583000</v>
      </c>
    </row>
    <row r="651" spans="1:14" x14ac:dyDescent="0.25">
      <c r="A651" s="3" t="s">
        <v>662</v>
      </c>
      <c r="B651" s="4">
        <v>-25.11</v>
      </c>
      <c r="C651" s="4">
        <v>-1.58</v>
      </c>
      <c r="D651" s="4">
        <v>-0.66</v>
      </c>
      <c r="E651" s="4">
        <v>4.296673717945447E-4</v>
      </c>
      <c r="F651" s="3">
        <v>649</v>
      </c>
      <c r="G651" s="3">
        <v>1</v>
      </c>
      <c r="H651" s="5">
        <v>6606806451.7700005</v>
      </c>
      <c r="I651" s="5">
        <v>6627479451.7700005</v>
      </c>
      <c r="J651" s="5">
        <v>109810000</v>
      </c>
      <c r="K651" s="5">
        <v>89137000</v>
      </c>
      <c r="L651" s="5">
        <v>130126000</v>
      </c>
      <c r="M651" s="5">
        <v>-263938000</v>
      </c>
      <c r="N651" s="5">
        <v>-260602000</v>
      </c>
    </row>
    <row r="652" spans="1:14" x14ac:dyDescent="0.25">
      <c r="A652" s="3" t="s">
        <v>663</v>
      </c>
      <c r="B652" s="4">
        <v>-0.61</v>
      </c>
      <c r="C652" s="4">
        <v>3.71</v>
      </c>
      <c r="D652" s="4">
        <v>-1.81</v>
      </c>
      <c r="E652" s="4">
        <v>3.2899346818989449E-4</v>
      </c>
      <c r="F652" s="3">
        <v>650</v>
      </c>
      <c r="G652" s="3">
        <v>1</v>
      </c>
      <c r="H652" s="5">
        <v>15104.372499999999</v>
      </c>
      <c r="I652" s="5">
        <v>74304.372499999998</v>
      </c>
      <c r="J652" s="5">
        <v>65930</v>
      </c>
      <c r="K652" s="5">
        <v>6730</v>
      </c>
      <c r="L652" s="5">
        <v>0</v>
      </c>
      <c r="M652" s="5">
        <v>-121870</v>
      </c>
      <c r="N652" s="5">
        <v>-127070</v>
      </c>
    </row>
    <row r="653" spans="1:14" x14ac:dyDescent="0.25">
      <c r="A653" s="3" t="s">
        <v>664</v>
      </c>
      <c r="B653" s="4">
        <v>-0.66</v>
      </c>
      <c r="C653" s="4">
        <v>3.61</v>
      </c>
      <c r="D653" s="4">
        <v>-0.53</v>
      </c>
      <c r="E653" s="4">
        <v>3.1791882845145022E-4</v>
      </c>
      <c r="F653" s="3">
        <v>651</v>
      </c>
      <c r="G653" s="3">
        <v>1</v>
      </c>
      <c r="H653" s="5">
        <v>79106724.480000004</v>
      </c>
      <c r="I653" s="5">
        <v>54854724.479999997</v>
      </c>
      <c r="J653" s="5">
        <v>9478000</v>
      </c>
      <c r="K653" s="5">
        <v>33730000</v>
      </c>
      <c r="L653" s="5">
        <v>480236000</v>
      </c>
      <c r="M653" s="5">
        <v>-82935000</v>
      </c>
      <c r="N653" s="5">
        <v>-124748000</v>
      </c>
    </row>
    <row r="654" spans="1:14" x14ac:dyDescent="0.25">
      <c r="A654" s="3" t="s">
        <v>665</v>
      </c>
      <c r="B654" s="4">
        <v>-18.739999999999998</v>
      </c>
      <c r="C654" s="4">
        <v>-0.28999999999999998</v>
      </c>
      <c r="D654" s="4">
        <v>-0.16</v>
      </c>
      <c r="E654" s="4">
        <v>3.1086997649658159E-4</v>
      </c>
      <c r="F654" s="3">
        <v>652</v>
      </c>
      <c r="G654" s="3">
        <v>1</v>
      </c>
      <c r="H654" s="5">
        <v>427071237.04000002</v>
      </c>
      <c r="I654" s="5">
        <v>628144237.03999996</v>
      </c>
      <c r="J654" s="5">
        <v>201207000</v>
      </c>
      <c r="K654" s="5">
        <v>134000</v>
      </c>
      <c r="L654" s="5">
        <v>228385000</v>
      </c>
      <c r="M654" s="5">
        <v>-33517000</v>
      </c>
      <c r="N654" s="5">
        <v>-114756000</v>
      </c>
    </row>
    <row r="655" spans="1:14" x14ac:dyDescent="0.25">
      <c r="A655" s="3" t="s">
        <v>666</v>
      </c>
      <c r="B655" s="4">
        <v>-19.66</v>
      </c>
      <c r="C655" s="4">
        <v>0.14000000000000001</v>
      </c>
      <c r="D655" s="4">
        <v>-9.6199999999999992</v>
      </c>
      <c r="E655" s="4">
        <v>2.978428599288499E-4</v>
      </c>
      <c r="F655" s="3">
        <v>653</v>
      </c>
      <c r="G655" s="3">
        <v>1</v>
      </c>
      <c r="H655" s="5">
        <v>30799875.285</v>
      </c>
      <c r="I655" s="5">
        <v>39645755.284999996</v>
      </c>
      <c r="J655" s="5">
        <v>8885550</v>
      </c>
      <c r="K655" s="5">
        <v>39670</v>
      </c>
      <c r="L655" s="5">
        <v>7130</v>
      </c>
      <c r="M655" s="5">
        <v>-2016150</v>
      </c>
      <c r="N655" s="5">
        <v>-2080860</v>
      </c>
    </row>
    <row r="656" spans="1:14" x14ac:dyDescent="0.25">
      <c r="A656" s="3" t="s">
        <v>667</v>
      </c>
      <c r="B656" s="4">
        <v>-16.309999999999999</v>
      </c>
      <c r="C656" s="4">
        <v>0.22</v>
      </c>
      <c r="D656" s="4">
        <v>-0.21</v>
      </c>
      <c r="E656" s="4">
        <v>2.7082181695659008E-4</v>
      </c>
      <c r="F656" s="3">
        <v>654</v>
      </c>
      <c r="G656" s="3">
        <v>1</v>
      </c>
      <c r="H656" s="5">
        <v>374157768.66000003</v>
      </c>
      <c r="I656" s="5">
        <v>3718157768.6599998</v>
      </c>
      <c r="J656" s="5">
        <v>3428000000</v>
      </c>
      <c r="K656" s="5">
        <v>84000000</v>
      </c>
      <c r="L656" s="5">
        <v>42000000</v>
      </c>
      <c r="M656" s="5">
        <v>-228000000</v>
      </c>
      <c r="N656" s="5">
        <v>-447000000</v>
      </c>
    </row>
    <row r="657" spans="1:14" x14ac:dyDescent="0.25">
      <c r="A657" s="3" t="s">
        <v>668</v>
      </c>
      <c r="B657" s="4">
        <v>-0.38</v>
      </c>
      <c r="C657" s="4">
        <v>4.12</v>
      </c>
      <c r="D657" s="4">
        <v>-7.52</v>
      </c>
      <c r="E657" s="4">
        <v>2.6980544899403962E-4</v>
      </c>
      <c r="F657" s="3">
        <v>655</v>
      </c>
      <c r="G657" s="3">
        <v>1</v>
      </c>
      <c r="H657" s="5">
        <v>3248.4784</v>
      </c>
      <c r="I657" s="5">
        <v>4092968.4783999999</v>
      </c>
      <c r="J657" s="5">
        <v>4183530</v>
      </c>
      <c r="K657" s="5">
        <v>93810</v>
      </c>
      <c r="L657" s="5">
        <v>6952650</v>
      </c>
      <c r="M657" s="5">
        <v>-10890550</v>
      </c>
      <c r="N657" s="5">
        <v>-22508810</v>
      </c>
    </row>
    <row r="658" spans="1:14" x14ac:dyDescent="0.25">
      <c r="A658" s="3" t="s">
        <v>669</v>
      </c>
      <c r="B658" s="4">
        <v>-19.27</v>
      </c>
      <c r="C658" s="4">
        <v>-0.41</v>
      </c>
      <c r="D658" s="4">
        <v>-0.38</v>
      </c>
      <c r="E658" s="4">
        <v>2.4973600956305908E-4</v>
      </c>
      <c r="F658" s="3">
        <v>656</v>
      </c>
      <c r="G658" s="3">
        <v>1</v>
      </c>
      <c r="H658" s="5">
        <v>4065456343.1999998</v>
      </c>
      <c r="I658" s="5">
        <v>3850084343.1999998</v>
      </c>
      <c r="J658" s="5">
        <v>0</v>
      </c>
      <c r="K658" s="5">
        <v>215372000</v>
      </c>
      <c r="L658" s="5">
        <v>8553000</v>
      </c>
      <c r="M658" s="5">
        <v>-199765000</v>
      </c>
      <c r="N658" s="5">
        <v>-182819000</v>
      </c>
    </row>
    <row r="659" spans="1:14" x14ac:dyDescent="0.25">
      <c r="A659" s="3" t="s">
        <v>670</v>
      </c>
      <c r="B659" s="4">
        <v>-16.3</v>
      </c>
      <c r="C659" s="4">
        <v>0.18</v>
      </c>
      <c r="D659" s="4">
        <v>0.08</v>
      </c>
      <c r="E659" s="4">
        <v>2.0499995394934921E-4</v>
      </c>
      <c r="F659" s="3">
        <v>657</v>
      </c>
      <c r="G659" s="3">
        <v>1</v>
      </c>
      <c r="H659" s="5">
        <v>81705018.150000006</v>
      </c>
      <c r="I659" s="5">
        <v>108428018.15000001</v>
      </c>
      <c r="J659" s="5">
        <v>61233000</v>
      </c>
      <c r="K659" s="5">
        <v>34510000</v>
      </c>
      <c r="L659" s="5">
        <v>16316000</v>
      </c>
      <c r="M659" s="5">
        <v>-6654000</v>
      </c>
      <c r="N659" s="5">
        <v>12891000</v>
      </c>
    </row>
    <row r="660" spans="1:14" x14ac:dyDescent="0.25">
      <c r="A660" s="3" t="s">
        <v>671</v>
      </c>
      <c r="B660" s="4">
        <v>-22.59</v>
      </c>
      <c r="C660" s="4">
        <v>-1.1399999999999999</v>
      </c>
      <c r="D660" s="4">
        <v>-0.52</v>
      </c>
      <c r="E660" s="4">
        <v>1.683126168522588E-4</v>
      </c>
      <c r="F660" s="3">
        <v>658</v>
      </c>
      <c r="G660" s="3">
        <v>1</v>
      </c>
      <c r="H660" s="5">
        <v>1350764959.75</v>
      </c>
      <c r="I660" s="5">
        <v>1306602959.75</v>
      </c>
      <c r="J660" s="5">
        <v>11198000</v>
      </c>
      <c r="K660" s="5">
        <v>55360000</v>
      </c>
      <c r="L660" s="5">
        <v>167486000</v>
      </c>
      <c r="M660" s="5">
        <v>-57846000</v>
      </c>
      <c r="N660" s="5">
        <v>-99086000</v>
      </c>
    </row>
    <row r="661" spans="1:14" x14ac:dyDescent="0.25">
      <c r="A661" s="3" t="s">
        <v>672</v>
      </c>
      <c r="B661" s="4">
        <v>-19.28</v>
      </c>
      <c r="C661" s="4">
        <v>-0.46</v>
      </c>
      <c r="D661" s="4">
        <v>-0.2</v>
      </c>
      <c r="E661" s="4">
        <v>1.4617965858295531E-4</v>
      </c>
      <c r="F661" s="3">
        <v>659</v>
      </c>
      <c r="G661" s="3">
        <v>1</v>
      </c>
      <c r="H661" s="5">
        <v>1246213135.75</v>
      </c>
      <c r="I661" s="5">
        <v>1209198135.75</v>
      </c>
      <c r="J661" s="5">
        <v>0</v>
      </c>
      <c r="K661" s="5">
        <v>37015000</v>
      </c>
      <c r="L661" s="5">
        <v>103865000</v>
      </c>
      <c r="M661" s="5">
        <v>-62708000</v>
      </c>
      <c r="N661" s="5">
        <v>-54017000</v>
      </c>
    </row>
    <row r="662" spans="1:14" x14ac:dyDescent="0.25">
      <c r="A662" s="3" t="s">
        <v>673</v>
      </c>
      <c r="B662" s="4">
        <v>-4.38</v>
      </c>
      <c r="C662" s="4">
        <v>2.71</v>
      </c>
      <c r="D662" s="4">
        <v>-0.1</v>
      </c>
      <c r="E662" s="4">
        <v>1.028268592957963E-4</v>
      </c>
      <c r="F662" s="3">
        <v>660</v>
      </c>
      <c r="G662" s="3">
        <v>1</v>
      </c>
      <c r="H662" s="5">
        <v>5305.7753519999997</v>
      </c>
      <c r="I662" s="5">
        <v>26739305.775352001</v>
      </c>
      <c r="J662" s="5">
        <v>27787000</v>
      </c>
      <c r="K662" s="5">
        <v>1053000</v>
      </c>
      <c r="L662" s="5">
        <v>3823000</v>
      </c>
      <c r="M662" s="5">
        <v>-6110000</v>
      </c>
      <c r="N662" s="5">
        <v>-3908000</v>
      </c>
    </row>
    <row r="663" spans="1:14" x14ac:dyDescent="0.25">
      <c r="A663" s="3" t="s">
        <v>674</v>
      </c>
      <c r="B663" s="4">
        <v>-16.77</v>
      </c>
      <c r="C663" s="4">
        <v>0.09</v>
      </c>
      <c r="D663" s="4">
        <v>-0.62</v>
      </c>
      <c r="E663" s="4">
        <v>1.008182981564586E-4</v>
      </c>
      <c r="F663" s="3">
        <v>661</v>
      </c>
      <c r="G663" s="3">
        <v>1</v>
      </c>
      <c r="H663" s="5">
        <v>2160236.7820000001</v>
      </c>
      <c r="I663" s="5">
        <v>3014496.7820000001</v>
      </c>
      <c r="J663" s="5">
        <v>901060</v>
      </c>
      <c r="K663" s="5">
        <v>46800</v>
      </c>
      <c r="L663" s="5">
        <v>0</v>
      </c>
      <c r="M663" s="5">
        <v>-179790</v>
      </c>
      <c r="N663" s="5">
        <v>-195390</v>
      </c>
    </row>
    <row r="664" spans="1:14" x14ac:dyDescent="0.25">
      <c r="A664" s="3" t="s">
        <v>675</v>
      </c>
      <c r="B664" s="4">
        <v>-14.24</v>
      </c>
      <c r="C664" s="4">
        <v>0.6</v>
      </c>
      <c r="D664" s="4">
        <v>-0.28000000000000003</v>
      </c>
      <c r="E664" s="4">
        <v>7.4110118168419989E-5</v>
      </c>
      <c r="F664" s="3">
        <v>662</v>
      </c>
      <c r="G664" s="3">
        <v>1</v>
      </c>
      <c r="H664" s="5">
        <v>27273313.0458</v>
      </c>
      <c r="I664" s="5">
        <v>33307383.0458</v>
      </c>
      <c r="J664" s="5">
        <v>6576660</v>
      </c>
      <c r="K664" s="5">
        <v>542590</v>
      </c>
      <c r="L664" s="5">
        <v>1998970</v>
      </c>
      <c r="M664" s="5">
        <v>-2339440</v>
      </c>
      <c r="N664" s="5">
        <v>-2517940</v>
      </c>
    </row>
    <row r="665" spans="1:14" x14ac:dyDescent="0.25">
      <c r="A665" s="3" t="s">
        <v>676</v>
      </c>
      <c r="B665" s="4">
        <v>-7.31</v>
      </c>
      <c r="C665" s="4">
        <v>2.19</v>
      </c>
      <c r="D665" s="4">
        <v>-1.88</v>
      </c>
      <c r="E665" s="4">
        <v>7.0429832991629124E-5</v>
      </c>
      <c r="F665" s="3">
        <v>663</v>
      </c>
      <c r="G665" s="3">
        <v>1</v>
      </c>
      <c r="H665" s="5">
        <v>232639498</v>
      </c>
      <c r="I665" s="5">
        <v>289216498</v>
      </c>
      <c r="J665" s="5">
        <v>79070000</v>
      </c>
      <c r="K665" s="5">
        <v>22493000</v>
      </c>
      <c r="L665" s="5">
        <v>12870000</v>
      </c>
      <c r="M665" s="5">
        <v>-39551000</v>
      </c>
      <c r="N665" s="5">
        <v>-116272000</v>
      </c>
    </row>
    <row r="666" spans="1:14" x14ac:dyDescent="0.25">
      <c r="A666" s="3" t="s">
        <v>677</v>
      </c>
      <c r="B666" s="4">
        <v>-20.62</v>
      </c>
      <c r="C666" s="4">
        <v>-0.79</v>
      </c>
      <c r="D666" s="4">
        <v>-0.3</v>
      </c>
      <c r="E666" s="4">
        <v>2.753924739161417E-6</v>
      </c>
      <c r="F666" s="3">
        <v>664</v>
      </c>
      <c r="G666" s="3">
        <v>1</v>
      </c>
      <c r="H666" s="5">
        <v>2678498164.8499999</v>
      </c>
      <c r="I666" s="5">
        <v>2763857164.8499999</v>
      </c>
      <c r="J666" s="5">
        <v>133279000</v>
      </c>
      <c r="K666" s="5">
        <v>47920000</v>
      </c>
      <c r="L666" s="5">
        <v>178957000</v>
      </c>
      <c r="M666" s="5">
        <v>-134037000</v>
      </c>
      <c r="N666" s="5">
        <v>-159492000</v>
      </c>
    </row>
    <row r="667" spans="1:14" x14ac:dyDescent="0.25">
      <c r="A667" s="3" t="s">
        <v>678</v>
      </c>
      <c r="B667" s="4">
        <v>-21.19</v>
      </c>
      <c r="C667" s="4">
        <v>-0.92</v>
      </c>
      <c r="D667" s="4">
        <v>-0.23</v>
      </c>
      <c r="E667" s="4">
        <v>-6.5750556728361156E-6</v>
      </c>
      <c r="F667" s="3">
        <v>665</v>
      </c>
      <c r="G667" s="3">
        <v>1</v>
      </c>
      <c r="H667" s="5">
        <v>427356802.11000001</v>
      </c>
      <c r="I667" s="5">
        <v>466892802.11000001</v>
      </c>
      <c r="J667" s="5">
        <v>56828000</v>
      </c>
      <c r="K667" s="5">
        <v>17292000</v>
      </c>
      <c r="L667" s="5">
        <v>9608000</v>
      </c>
      <c r="M667" s="5">
        <v>-22035000</v>
      </c>
      <c r="N667" s="5">
        <v>-31140000</v>
      </c>
    </row>
    <row r="668" spans="1:14" x14ac:dyDescent="0.25">
      <c r="A668" s="3" t="s">
        <v>679</v>
      </c>
      <c r="B668" s="4">
        <v>-0.74</v>
      </c>
      <c r="C668" s="4">
        <v>3.96</v>
      </c>
      <c r="D668" s="4">
        <v>-7.83</v>
      </c>
      <c r="E668" s="4">
        <v>-2.9480682045182619E-5</v>
      </c>
      <c r="F668" s="3">
        <v>666</v>
      </c>
      <c r="G668" s="3">
        <v>1</v>
      </c>
      <c r="H668" s="5">
        <v>5145070.92</v>
      </c>
      <c r="I668" s="5">
        <v>5394830.9199999999</v>
      </c>
      <c r="J668" s="5">
        <v>431030</v>
      </c>
      <c r="K668" s="5">
        <v>181270</v>
      </c>
      <c r="L668" s="5">
        <v>615550</v>
      </c>
      <c r="M668" s="5">
        <v>-7261430</v>
      </c>
      <c r="N668" s="5">
        <v>-8725950</v>
      </c>
    </row>
    <row r="669" spans="1:14" x14ac:dyDescent="0.25">
      <c r="A669" s="3" t="s">
        <v>680</v>
      </c>
      <c r="B669" s="4">
        <v>-18.3</v>
      </c>
      <c r="C669" s="4">
        <v>-0.32</v>
      </c>
      <c r="D669" s="4">
        <v>-0.16</v>
      </c>
      <c r="E669" s="4">
        <v>-4.8135895218199408E-5</v>
      </c>
      <c r="F669" s="3">
        <v>667</v>
      </c>
      <c r="G669" s="3">
        <v>1</v>
      </c>
      <c r="H669" s="5">
        <v>752901375.20000005</v>
      </c>
      <c r="I669" s="5">
        <v>745438375.20000005</v>
      </c>
      <c r="J669" s="5">
        <v>30334000</v>
      </c>
      <c r="K669" s="5">
        <v>37797000</v>
      </c>
      <c r="L669" s="5">
        <v>64381000</v>
      </c>
      <c r="M669" s="5">
        <v>-40726000</v>
      </c>
      <c r="N669" s="5">
        <v>-56418000</v>
      </c>
    </row>
    <row r="670" spans="1:14" x14ac:dyDescent="0.25">
      <c r="A670" s="3" t="s">
        <v>681</v>
      </c>
      <c r="B670" s="4">
        <v>0.45</v>
      </c>
      <c r="C670" s="4">
        <v>3.74</v>
      </c>
      <c r="D670" s="4">
        <v>-0.89</v>
      </c>
      <c r="E670" s="4">
        <v>-6.2911069526400826E-5</v>
      </c>
      <c r="F670" s="3">
        <v>668</v>
      </c>
      <c r="G670" s="3">
        <v>1</v>
      </c>
      <c r="H670" s="5">
        <v>3001.3945899999999</v>
      </c>
      <c r="I670" s="5">
        <v>-21334758.605409998</v>
      </c>
      <c r="J670" s="5">
        <v>3611630</v>
      </c>
      <c r="K670" s="5">
        <v>24949390</v>
      </c>
      <c r="L670" s="5">
        <v>10441570</v>
      </c>
      <c r="M670" s="5">
        <v>-47807820</v>
      </c>
      <c r="N670" s="5">
        <v>-145974530</v>
      </c>
    </row>
    <row r="671" spans="1:14" x14ac:dyDescent="0.25">
      <c r="A671" s="3" t="s">
        <v>682</v>
      </c>
      <c r="B671" s="4">
        <v>-0.26</v>
      </c>
      <c r="C671" s="4">
        <v>3.62</v>
      </c>
      <c r="D671" s="4">
        <v>-1.58</v>
      </c>
      <c r="E671" s="4">
        <v>-1.03303583055301E-4</v>
      </c>
      <c r="F671" s="3">
        <v>669</v>
      </c>
      <c r="G671" s="3">
        <v>1</v>
      </c>
      <c r="H671" s="5">
        <v>4312698.2520000003</v>
      </c>
      <c r="I671" s="5">
        <v>1161698.2520000001</v>
      </c>
      <c r="J671" s="5">
        <v>24000</v>
      </c>
      <c r="K671" s="5">
        <v>3175000</v>
      </c>
      <c r="L671" s="5">
        <v>0</v>
      </c>
      <c r="M671" s="5">
        <v>-4552000</v>
      </c>
      <c r="N671" s="5">
        <v>-7600000</v>
      </c>
    </row>
    <row r="672" spans="1:14" x14ac:dyDescent="0.25">
      <c r="A672" s="3" t="s">
        <v>683</v>
      </c>
      <c r="B672" s="4">
        <v>-15.42</v>
      </c>
      <c r="C672" s="4">
        <v>0.27</v>
      </c>
      <c r="D672" s="4">
        <v>-0.24</v>
      </c>
      <c r="E672" s="4">
        <v>-1.4133653474353129E-4</v>
      </c>
      <c r="F672" s="3">
        <v>670</v>
      </c>
      <c r="G672" s="3">
        <v>1</v>
      </c>
      <c r="H672" s="5">
        <v>907458417.49000001</v>
      </c>
      <c r="I672" s="5">
        <v>1920684417.49</v>
      </c>
      <c r="J672" s="5">
        <v>1145139000</v>
      </c>
      <c r="K672" s="5">
        <v>131913000</v>
      </c>
      <c r="L672" s="5">
        <v>326452000</v>
      </c>
      <c r="M672" s="5">
        <v>-124532000</v>
      </c>
      <c r="N672" s="5">
        <v>-160278000</v>
      </c>
    </row>
    <row r="673" spans="1:14" x14ac:dyDescent="0.25">
      <c r="A673" s="3" t="s">
        <v>684</v>
      </c>
      <c r="B673" s="4">
        <v>-17.77</v>
      </c>
      <c r="C673" s="4">
        <v>-0.24</v>
      </c>
      <c r="D673" s="4">
        <v>-0.16</v>
      </c>
      <c r="E673" s="4">
        <v>-1.4501494104764151E-4</v>
      </c>
      <c r="F673" s="3">
        <v>671</v>
      </c>
      <c r="G673" s="3">
        <v>1</v>
      </c>
      <c r="H673" s="5">
        <v>415608447.80000001</v>
      </c>
      <c r="I673" s="5">
        <v>369941447.80000001</v>
      </c>
      <c r="J673" s="5">
        <v>122000</v>
      </c>
      <c r="K673" s="5">
        <v>45789000</v>
      </c>
      <c r="L673" s="5">
        <v>9499000</v>
      </c>
      <c r="M673" s="5">
        <v>-20814000</v>
      </c>
      <c r="N673" s="5">
        <v>-18609000</v>
      </c>
    </row>
    <row r="674" spans="1:14" x14ac:dyDescent="0.25">
      <c r="A674" s="3" t="s">
        <v>685</v>
      </c>
      <c r="B674" s="4">
        <v>-6.3</v>
      </c>
      <c r="C674" s="4">
        <v>2.2400000000000002</v>
      </c>
      <c r="D674" s="4">
        <v>-0.69</v>
      </c>
      <c r="E674" s="4">
        <v>-1.8065774461770501E-4</v>
      </c>
      <c r="F674" s="3">
        <v>672</v>
      </c>
      <c r="G674" s="3">
        <v>1</v>
      </c>
      <c r="H674" s="5">
        <v>10.669229</v>
      </c>
      <c r="I674" s="5">
        <v>2300190.6692289999</v>
      </c>
      <c r="J674" s="5">
        <v>2585130</v>
      </c>
      <c r="K674" s="5">
        <v>284950</v>
      </c>
      <c r="L674" s="5">
        <v>2169860</v>
      </c>
      <c r="M674" s="5">
        <v>-365150</v>
      </c>
      <c r="N674" s="5">
        <v>-3252260</v>
      </c>
    </row>
    <row r="675" spans="1:14" x14ac:dyDescent="0.25">
      <c r="A675" s="3" t="s">
        <v>686</v>
      </c>
      <c r="B675" s="4">
        <v>-2.25</v>
      </c>
      <c r="C675" s="4">
        <v>3.09</v>
      </c>
      <c r="D675" s="4">
        <v>-0.55000000000000004</v>
      </c>
      <c r="E675" s="4">
        <v>-2.043230836200616E-4</v>
      </c>
      <c r="F675" s="3">
        <v>673</v>
      </c>
      <c r="G675" s="3">
        <v>1</v>
      </c>
      <c r="H675" s="5">
        <v>2274393.2000000002</v>
      </c>
      <c r="I675" s="5">
        <v>3675723.2</v>
      </c>
      <c r="J675" s="5">
        <v>1952880</v>
      </c>
      <c r="K675" s="5">
        <v>551550</v>
      </c>
      <c r="L675" s="5">
        <v>6891220</v>
      </c>
      <c r="M675" s="5">
        <v>-1630440</v>
      </c>
      <c r="N675" s="5">
        <v>-1862680</v>
      </c>
    </row>
    <row r="676" spans="1:14" x14ac:dyDescent="0.25">
      <c r="A676" s="3" t="s">
        <v>687</v>
      </c>
      <c r="B676" s="4">
        <v>-16.739999999999998</v>
      </c>
      <c r="C676" s="4">
        <v>-0.05</v>
      </c>
      <c r="D676" s="4">
        <v>-0.04</v>
      </c>
      <c r="E676" s="4">
        <v>-2.1037627564184609E-4</v>
      </c>
      <c r="F676" s="3">
        <v>674</v>
      </c>
      <c r="G676" s="3">
        <v>1</v>
      </c>
      <c r="H676" s="5">
        <v>190566020.37200001</v>
      </c>
      <c r="I676" s="5">
        <v>198265130.37200001</v>
      </c>
      <c r="J676" s="5">
        <v>17258410</v>
      </c>
      <c r="K676" s="5">
        <v>9559300</v>
      </c>
      <c r="L676" s="5">
        <v>85266310</v>
      </c>
      <c r="M676" s="5">
        <v>-11840880</v>
      </c>
      <c r="N676" s="5">
        <v>-12689790</v>
      </c>
    </row>
    <row r="677" spans="1:14" x14ac:dyDescent="0.25">
      <c r="A677" s="3" t="s">
        <v>688</v>
      </c>
      <c r="B677" s="4">
        <v>-14.46</v>
      </c>
      <c r="C677" s="4">
        <v>0.5</v>
      </c>
      <c r="D677" s="4">
        <v>-1.02</v>
      </c>
      <c r="E677" s="4">
        <v>-2.214113933758904E-4</v>
      </c>
      <c r="F677" s="3">
        <v>675</v>
      </c>
      <c r="G677" s="3">
        <v>1</v>
      </c>
      <c r="H677" s="5">
        <v>55276840.966559999</v>
      </c>
      <c r="I677" s="5">
        <v>56928670.966559999</v>
      </c>
      <c r="J677" s="5">
        <v>1700630</v>
      </c>
      <c r="K677" s="5">
        <v>48800</v>
      </c>
      <c r="L677" s="5">
        <v>0</v>
      </c>
      <c r="M677" s="5">
        <v>-3936720</v>
      </c>
      <c r="N677" s="5">
        <v>-1418980</v>
      </c>
    </row>
    <row r="678" spans="1:14" x14ac:dyDescent="0.25">
      <c r="A678" s="3" t="s">
        <v>689</v>
      </c>
      <c r="B678" s="4">
        <v>-2.98</v>
      </c>
      <c r="C678" s="4">
        <v>2.97</v>
      </c>
      <c r="D678" s="4">
        <v>-1.31</v>
      </c>
      <c r="E678" s="4">
        <v>-2.4584037179734881E-4</v>
      </c>
      <c r="F678" s="3">
        <v>676</v>
      </c>
      <c r="G678" s="3">
        <v>1</v>
      </c>
      <c r="H678" s="5">
        <v>106443809.09999999</v>
      </c>
      <c r="I678" s="5">
        <v>71878809.099999994</v>
      </c>
      <c r="J678" s="5">
        <v>0</v>
      </c>
      <c r="K678" s="5">
        <v>34565000</v>
      </c>
      <c r="L678" s="5">
        <v>10655000</v>
      </c>
      <c r="M678" s="5">
        <v>-24097000</v>
      </c>
      <c r="N678" s="5">
        <v>-63564000</v>
      </c>
    </row>
    <row r="679" spans="1:14" x14ac:dyDescent="0.25">
      <c r="A679" s="3" t="s">
        <v>690</v>
      </c>
      <c r="B679" s="4">
        <v>-17.77</v>
      </c>
      <c r="C679" s="4">
        <v>-0.28000000000000003</v>
      </c>
      <c r="D679" s="4">
        <v>-0.09</v>
      </c>
      <c r="E679" s="4">
        <v>-2.4708618306293171E-4</v>
      </c>
      <c r="F679" s="3">
        <v>677</v>
      </c>
      <c r="G679" s="3">
        <v>1</v>
      </c>
      <c r="H679" s="5">
        <v>2439.1961000000001</v>
      </c>
      <c r="I679" s="5">
        <v>5035249.1961000003</v>
      </c>
      <c r="J679" s="5">
        <v>5081650</v>
      </c>
      <c r="K679" s="5">
        <v>48840</v>
      </c>
      <c r="L679" s="5">
        <v>1274810</v>
      </c>
      <c r="M679" s="5">
        <v>-283360</v>
      </c>
      <c r="N679" s="5">
        <v>-1254330</v>
      </c>
    </row>
    <row r="680" spans="1:14" x14ac:dyDescent="0.25">
      <c r="A680" s="3" t="s">
        <v>691</v>
      </c>
      <c r="B680" s="4">
        <v>-16.55</v>
      </c>
      <c r="C680" s="4">
        <v>-0.05</v>
      </c>
      <c r="D680" s="4">
        <v>-0.05</v>
      </c>
      <c r="E680" s="4">
        <v>-3.2990021046382101E-4</v>
      </c>
      <c r="F680" s="3">
        <v>678</v>
      </c>
      <c r="G680" s="3">
        <v>1</v>
      </c>
      <c r="H680" s="5">
        <v>61890772.094999999</v>
      </c>
      <c r="I680" s="5">
        <v>44822502.094999999</v>
      </c>
      <c r="J680" s="5">
        <v>0</v>
      </c>
      <c r="K680" s="5">
        <v>17068270</v>
      </c>
      <c r="L680" s="5">
        <v>622690</v>
      </c>
      <c r="M680" s="5">
        <v>-2709060</v>
      </c>
      <c r="N680" s="5">
        <v>-2433540</v>
      </c>
    </row>
    <row r="681" spans="1:14" x14ac:dyDescent="0.25">
      <c r="A681" s="3" t="s">
        <v>692</v>
      </c>
      <c r="B681" s="4">
        <v>-13.18</v>
      </c>
      <c r="C681" s="4">
        <v>0.96</v>
      </c>
      <c r="D681" s="4">
        <v>-4.4800000000000004</v>
      </c>
      <c r="E681" s="4">
        <v>-3.5196699575376628E-4</v>
      </c>
      <c r="F681" s="3">
        <v>679</v>
      </c>
      <c r="G681" s="3">
        <v>1</v>
      </c>
      <c r="H681" s="5">
        <v>5274193.47</v>
      </c>
      <c r="I681" s="5">
        <v>5393843.4699999997</v>
      </c>
      <c r="J681" s="5">
        <v>131140</v>
      </c>
      <c r="K681" s="5">
        <v>11490</v>
      </c>
      <c r="L681" s="5">
        <v>22180</v>
      </c>
      <c r="M681" s="5">
        <v>-409110</v>
      </c>
      <c r="N681" s="5">
        <v>-597170</v>
      </c>
    </row>
    <row r="682" spans="1:14" x14ac:dyDescent="0.25">
      <c r="A682" s="3" t="s">
        <v>693</v>
      </c>
      <c r="B682" s="4">
        <v>-18.510000000000002</v>
      </c>
      <c r="C682" s="4">
        <v>-0.47</v>
      </c>
      <c r="D682" s="4">
        <v>-0.4</v>
      </c>
      <c r="E682" s="4">
        <v>-3.9786331865658211E-4</v>
      </c>
      <c r="F682" s="3">
        <v>680</v>
      </c>
      <c r="G682" s="3">
        <v>1</v>
      </c>
      <c r="H682" s="5">
        <v>1102415794.0599999</v>
      </c>
      <c r="I682" s="5">
        <v>984377794.05999994</v>
      </c>
      <c r="J682" s="5">
        <v>0</v>
      </c>
      <c r="K682" s="5">
        <v>118038000</v>
      </c>
      <c r="L682" s="5">
        <v>0</v>
      </c>
      <c r="M682" s="5">
        <v>-53179000</v>
      </c>
      <c r="N682" s="5">
        <v>-53585000</v>
      </c>
    </row>
    <row r="683" spans="1:14" x14ac:dyDescent="0.25">
      <c r="A683" s="3" t="s">
        <v>694</v>
      </c>
      <c r="B683" s="4">
        <v>-17.78</v>
      </c>
      <c r="C683" s="4">
        <v>0.25</v>
      </c>
      <c r="D683" s="4">
        <v>-9</v>
      </c>
      <c r="E683" s="4">
        <v>-4.2829848615730769E-4</v>
      </c>
      <c r="F683" s="3">
        <v>681</v>
      </c>
      <c r="G683" s="3">
        <v>1</v>
      </c>
      <c r="H683" s="5">
        <v>7320784.9699999997</v>
      </c>
      <c r="I683" s="5">
        <v>10742194.970000001</v>
      </c>
      <c r="J683" s="5">
        <v>3590060</v>
      </c>
      <c r="K683" s="5">
        <v>168650</v>
      </c>
      <c r="L683" s="5">
        <v>0</v>
      </c>
      <c r="M683" s="5">
        <v>-604170</v>
      </c>
      <c r="N683" s="5">
        <v>-1603380</v>
      </c>
    </row>
    <row r="684" spans="1:14" x14ac:dyDescent="0.25">
      <c r="A684" s="3" t="s">
        <v>695</v>
      </c>
      <c r="B684" s="4">
        <v>-14.67</v>
      </c>
      <c r="C684" s="4">
        <v>0.28999999999999998</v>
      </c>
      <c r="D684" s="4">
        <v>0.16</v>
      </c>
      <c r="E684" s="4">
        <v>-4.7057868489518839E-4</v>
      </c>
      <c r="F684" s="3">
        <v>682</v>
      </c>
      <c r="G684" s="3">
        <v>1</v>
      </c>
      <c r="H684" s="5">
        <v>10343495.25</v>
      </c>
      <c r="I684" s="5">
        <v>10344495.25</v>
      </c>
      <c r="J684" s="5">
        <v>1591000</v>
      </c>
      <c r="K684" s="5">
        <v>1590000</v>
      </c>
      <c r="L684" s="5">
        <v>3587000</v>
      </c>
      <c r="M684" s="5">
        <v>-705000</v>
      </c>
      <c r="N684" s="5">
        <v>935000</v>
      </c>
    </row>
    <row r="685" spans="1:14" x14ac:dyDescent="0.25">
      <c r="A685" s="3" t="s">
        <v>696</v>
      </c>
      <c r="B685" s="4">
        <v>-12.33</v>
      </c>
      <c r="C685" s="4">
        <v>0.82</v>
      </c>
      <c r="D685" s="4">
        <v>-0.36</v>
      </c>
      <c r="E685" s="4">
        <v>-4.8780102827534512E-4</v>
      </c>
      <c r="F685" s="3">
        <v>683</v>
      </c>
      <c r="G685" s="3">
        <v>1</v>
      </c>
      <c r="H685" s="5">
        <v>1702589.175</v>
      </c>
      <c r="I685" s="5">
        <v>2504219.1749999998</v>
      </c>
      <c r="J685" s="5">
        <v>813000</v>
      </c>
      <c r="K685" s="5">
        <v>11370</v>
      </c>
      <c r="L685" s="5">
        <v>0</v>
      </c>
      <c r="M685" s="5">
        <v>-203030</v>
      </c>
      <c r="N685" s="5">
        <v>-257390</v>
      </c>
    </row>
    <row r="686" spans="1:14" x14ac:dyDescent="0.25">
      <c r="A686" s="3" t="s">
        <v>697</v>
      </c>
      <c r="B686" s="4">
        <v>-22.87</v>
      </c>
      <c r="C686" s="4">
        <v>-1.46</v>
      </c>
      <c r="D686" s="4">
        <v>-0.09</v>
      </c>
      <c r="E686" s="4">
        <v>-5.0003690525947386E-4</v>
      </c>
      <c r="F686" s="3">
        <v>684</v>
      </c>
      <c r="G686" s="3">
        <v>1</v>
      </c>
      <c r="H686" s="5">
        <v>204270.27600000001</v>
      </c>
      <c r="I686" s="5">
        <v>6837270.2759999996</v>
      </c>
      <c r="J686" s="5">
        <v>6690000</v>
      </c>
      <c r="K686" s="5">
        <v>57000</v>
      </c>
      <c r="L686" s="5">
        <v>18681000</v>
      </c>
      <c r="M686" s="5">
        <v>-299000</v>
      </c>
      <c r="N686" s="5">
        <v>-950000</v>
      </c>
    </row>
    <row r="687" spans="1:14" x14ac:dyDescent="0.25">
      <c r="A687" s="3" t="s">
        <v>698</v>
      </c>
      <c r="B687" s="4">
        <v>-17.809999999999999</v>
      </c>
      <c r="C687" s="4">
        <v>-0.38</v>
      </c>
      <c r="D687" s="4">
        <v>-0.18</v>
      </c>
      <c r="E687" s="4">
        <v>-5.286266696167552E-4</v>
      </c>
      <c r="F687" s="3">
        <v>685</v>
      </c>
      <c r="G687" s="3">
        <v>1</v>
      </c>
      <c r="H687" s="5">
        <v>111720387.03</v>
      </c>
      <c r="I687" s="5">
        <v>139795387.03</v>
      </c>
      <c r="J687" s="5">
        <v>34274000</v>
      </c>
      <c r="K687" s="5">
        <v>6199000</v>
      </c>
      <c r="L687" s="5">
        <v>117267000</v>
      </c>
      <c r="M687" s="5">
        <v>-7850000</v>
      </c>
      <c r="N687" s="5">
        <v>-16449000</v>
      </c>
    </row>
    <row r="688" spans="1:14" x14ac:dyDescent="0.25">
      <c r="A688" s="3" t="s">
        <v>699</v>
      </c>
      <c r="B688" s="4">
        <v>-17.12</v>
      </c>
      <c r="C688" s="4">
        <v>-0.24</v>
      </c>
      <c r="D688" s="4">
        <v>-0.22</v>
      </c>
      <c r="E688" s="4">
        <v>-5.5888747082270818E-4</v>
      </c>
      <c r="F688" s="3">
        <v>686</v>
      </c>
      <c r="G688" s="3">
        <v>1</v>
      </c>
      <c r="H688" s="5">
        <v>1542730073.8</v>
      </c>
      <c r="I688" s="5">
        <v>1517868073.8</v>
      </c>
      <c r="J688" s="5">
        <v>551000</v>
      </c>
      <c r="K688" s="5">
        <v>25413000</v>
      </c>
      <c r="L688" s="5">
        <v>20139000</v>
      </c>
      <c r="M688" s="5">
        <v>-88637000</v>
      </c>
      <c r="N688" s="5">
        <v>-96520000</v>
      </c>
    </row>
    <row r="689" spans="1:14" x14ac:dyDescent="0.25">
      <c r="A689" s="3" t="s">
        <v>700</v>
      </c>
      <c r="B689" s="4">
        <v>-19.22</v>
      </c>
      <c r="C689" s="4">
        <v>-0.69</v>
      </c>
      <c r="D689" s="4">
        <v>-0.32</v>
      </c>
      <c r="E689" s="4">
        <v>-5.7865685586211413E-4</v>
      </c>
      <c r="F689" s="3">
        <v>687</v>
      </c>
      <c r="G689" s="3">
        <v>1</v>
      </c>
      <c r="H689" s="5">
        <v>229863948.40000001</v>
      </c>
      <c r="I689" s="5">
        <v>239368948.40000001</v>
      </c>
      <c r="J689" s="5">
        <v>15628000</v>
      </c>
      <c r="K689" s="5">
        <v>6123000</v>
      </c>
      <c r="L689" s="5">
        <v>31623000</v>
      </c>
      <c r="M689" s="5">
        <v>-12457000</v>
      </c>
      <c r="N689" s="5">
        <v>-13687000</v>
      </c>
    </row>
    <row r="690" spans="1:14" x14ac:dyDescent="0.25">
      <c r="A690" s="3" t="s">
        <v>701</v>
      </c>
      <c r="B690" s="4">
        <v>-16.649999999999999</v>
      </c>
      <c r="C690" s="4">
        <v>-0.16</v>
      </c>
      <c r="D690" s="4">
        <v>-7.0000000000000007E-2</v>
      </c>
      <c r="E690" s="4">
        <v>-5.8969588380709988E-4</v>
      </c>
      <c r="F690" s="3">
        <v>688</v>
      </c>
      <c r="G690" s="3">
        <v>1</v>
      </c>
      <c r="H690" s="5">
        <v>2383455.938265</v>
      </c>
      <c r="I690" s="5">
        <v>5479685.9382649995</v>
      </c>
      <c r="J690" s="5">
        <v>3097870</v>
      </c>
      <c r="K690" s="5">
        <v>1640</v>
      </c>
      <c r="L690" s="5">
        <v>83000</v>
      </c>
      <c r="M690" s="5">
        <v>-329080</v>
      </c>
      <c r="N690" s="5">
        <v>-421970</v>
      </c>
    </row>
    <row r="691" spans="1:14" x14ac:dyDescent="0.25">
      <c r="A691" s="3" t="s">
        <v>702</v>
      </c>
      <c r="B691" s="4">
        <v>-16.559999999999999</v>
      </c>
      <c r="C691" s="4">
        <v>-0.14000000000000001</v>
      </c>
      <c r="D691" s="4">
        <v>-0.11</v>
      </c>
      <c r="E691" s="4">
        <v>-5.9532762736190341E-4</v>
      </c>
      <c r="F691" s="3">
        <v>689</v>
      </c>
      <c r="G691" s="3">
        <v>1</v>
      </c>
      <c r="H691" s="5">
        <v>14322640.23</v>
      </c>
      <c r="I691" s="5">
        <v>13289070.23</v>
      </c>
      <c r="J691" s="5">
        <v>14010</v>
      </c>
      <c r="K691" s="5">
        <v>1047580</v>
      </c>
      <c r="L691" s="5">
        <v>3496410</v>
      </c>
      <c r="M691" s="5">
        <v>-802560</v>
      </c>
      <c r="N691" s="5">
        <v>-715280</v>
      </c>
    </row>
    <row r="692" spans="1:14" x14ac:dyDescent="0.25">
      <c r="A692" s="3" t="s">
        <v>703</v>
      </c>
      <c r="B692" s="4">
        <v>-9.32</v>
      </c>
      <c r="C692" s="4">
        <v>1.41</v>
      </c>
      <c r="D692" s="4">
        <v>-0.55000000000000004</v>
      </c>
      <c r="E692" s="4">
        <v>-6.826806342152443E-4</v>
      </c>
      <c r="F692" s="3">
        <v>690</v>
      </c>
      <c r="G692" s="3">
        <v>1</v>
      </c>
      <c r="H692" s="5">
        <v>16343677.26</v>
      </c>
      <c r="I692" s="5">
        <v>21272927.260000002</v>
      </c>
      <c r="J692" s="5">
        <v>5475540</v>
      </c>
      <c r="K692" s="5">
        <v>546290</v>
      </c>
      <c r="L692" s="5">
        <v>237010</v>
      </c>
      <c r="M692" s="5">
        <v>-2282120</v>
      </c>
      <c r="N692" s="5">
        <v>-2358210</v>
      </c>
    </row>
    <row r="693" spans="1:14" x14ac:dyDescent="0.25">
      <c r="A693" s="3" t="s">
        <v>704</v>
      </c>
      <c r="B693" s="4">
        <v>-0.73</v>
      </c>
      <c r="C693" s="4">
        <v>4.01</v>
      </c>
      <c r="D693" s="4">
        <v>-12.08</v>
      </c>
      <c r="E693" s="4">
        <v>-7.1103814810996417E-4</v>
      </c>
      <c r="F693" s="3">
        <v>691</v>
      </c>
      <c r="G693" s="3">
        <v>1</v>
      </c>
      <c r="H693" s="5">
        <v>1437356.226</v>
      </c>
      <c r="I693" s="5">
        <v>1999656.226</v>
      </c>
      <c r="J693" s="5">
        <v>563740</v>
      </c>
      <c r="K693" s="5">
        <v>1440</v>
      </c>
      <c r="L693" s="5">
        <v>0</v>
      </c>
      <c r="M693" s="5">
        <v>-2750360</v>
      </c>
      <c r="N693" s="5">
        <v>-2755400</v>
      </c>
    </row>
    <row r="694" spans="1:14" x14ac:dyDescent="0.25">
      <c r="A694" s="3" t="s">
        <v>705</v>
      </c>
      <c r="B694" s="4">
        <v>-14.93</v>
      </c>
      <c r="C694" s="4">
        <v>0.15</v>
      </c>
      <c r="D694" s="4">
        <v>-0.09</v>
      </c>
      <c r="E694" s="4">
        <v>-7.6239549941123363E-4</v>
      </c>
      <c r="F694" s="3">
        <v>692</v>
      </c>
      <c r="G694" s="3">
        <v>1</v>
      </c>
      <c r="H694" s="5">
        <v>6744417.9900000002</v>
      </c>
      <c r="I694" s="5">
        <v>4285417.99</v>
      </c>
      <c r="J694" s="5">
        <v>2273000</v>
      </c>
      <c r="K694" s="5">
        <v>4732000</v>
      </c>
      <c r="L694" s="5">
        <v>64318000</v>
      </c>
      <c r="M694" s="5">
        <v>-287000</v>
      </c>
      <c r="N694" s="5">
        <v>-2059000</v>
      </c>
    </row>
    <row r="695" spans="1:14" x14ac:dyDescent="0.25">
      <c r="A695" s="3" t="s">
        <v>706</v>
      </c>
      <c r="B695" s="4">
        <v>-18.27</v>
      </c>
      <c r="C695" s="4">
        <v>-0.56000000000000005</v>
      </c>
      <c r="D695" s="4">
        <v>-0.45</v>
      </c>
      <c r="E695" s="4">
        <v>-8.1609185140409449E-4</v>
      </c>
      <c r="F695" s="3">
        <v>693</v>
      </c>
      <c r="G695" s="3">
        <v>1</v>
      </c>
      <c r="H695" s="5">
        <v>113227875</v>
      </c>
      <c r="I695" s="5">
        <v>103508565</v>
      </c>
      <c r="J695" s="5">
        <v>0</v>
      </c>
      <c r="K695" s="5">
        <v>9719310</v>
      </c>
      <c r="L695" s="5">
        <v>0</v>
      </c>
      <c r="M695" s="5">
        <v>-5664730</v>
      </c>
      <c r="N695" s="5">
        <v>-5861340</v>
      </c>
    </row>
    <row r="696" spans="1:14" x14ac:dyDescent="0.25">
      <c r="A696" s="3" t="s">
        <v>707</v>
      </c>
      <c r="B696" s="4">
        <v>-14.8</v>
      </c>
      <c r="C696" s="4">
        <v>0.16</v>
      </c>
      <c r="D696" s="4">
        <v>-0.15</v>
      </c>
      <c r="E696" s="4">
        <v>-8.2553572592381635E-4</v>
      </c>
      <c r="F696" s="3">
        <v>694</v>
      </c>
      <c r="G696" s="3">
        <v>1</v>
      </c>
      <c r="H696" s="5">
        <v>11.467888</v>
      </c>
      <c r="I696" s="5">
        <v>183627011.467888</v>
      </c>
      <c r="J696" s="5">
        <v>189653000</v>
      </c>
      <c r="K696" s="5">
        <v>6026000</v>
      </c>
      <c r="L696" s="5">
        <v>148345000</v>
      </c>
      <c r="M696" s="5">
        <v>-12410000</v>
      </c>
      <c r="N696" s="5">
        <v>-23199000</v>
      </c>
    </row>
    <row r="697" spans="1:14" x14ac:dyDescent="0.25">
      <c r="A697" s="3" t="s">
        <v>708</v>
      </c>
      <c r="B697" s="4">
        <v>-6.91</v>
      </c>
      <c r="C697" s="4">
        <v>1.86</v>
      </c>
      <c r="D697" s="4">
        <v>-0.46</v>
      </c>
      <c r="E697" s="4">
        <v>-8.5670565236274816E-4</v>
      </c>
      <c r="F697" s="3">
        <v>695</v>
      </c>
      <c r="G697" s="3">
        <v>1</v>
      </c>
      <c r="H697" s="5">
        <v>11960787.58</v>
      </c>
      <c r="I697" s="5">
        <v>17529787.579999998</v>
      </c>
      <c r="J697" s="5">
        <v>5617000</v>
      </c>
      <c r="K697" s="5">
        <v>48000</v>
      </c>
      <c r="L697" s="5">
        <v>3504000</v>
      </c>
      <c r="M697" s="5">
        <v>-2538000</v>
      </c>
      <c r="N697" s="5">
        <v>-2968000</v>
      </c>
    </row>
    <row r="698" spans="1:14" x14ac:dyDescent="0.25">
      <c r="A698" s="3" t="s">
        <v>709</v>
      </c>
      <c r="B698" s="4">
        <v>-16.2</v>
      </c>
      <c r="C698" s="4">
        <v>-0.16</v>
      </c>
      <c r="D698" s="4">
        <v>-0.11</v>
      </c>
      <c r="E698" s="4">
        <v>-8.7592624648560706E-4</v>
      </c>
      <c r="F698" s="3">
        <v>696</v>
      </c>
      <c r="G698" s="3">
        <v>1</v>
      </c>
      <c r="H698" s="5">
        <v>1189518000</v>
      </c>
      <c r="I698" s="5">
        <v>1296236000</v>
      </c>
      <c r="J698" s="5">
        <v>339942000</v>
      </c>
      <c r="K698" s="5">
        <v>233224000</v>
      </c>
      <c r="L698" s="5">
        <v>543676000</v>
      </c>
      <c r="M698" s="5">
        <v>-80014000</v>
      </c>
      <c r="N698" s="5">
        <v>-158058000</v>
      </c>
    </row>
    <row r="699" spans="1:14" x14ac:dyDescent="0.25">
      <c r="A699" s="3" t="s">
        <v>710</v>
      </c>
      <c r="B699" s="4">
        <v>-0.17</v>
      </c>
      <c r="C699" s="4">
        <v>3.62</v>
      </c>
      <c r="D699" s="4">
        <v>-5.3</v>
      </c>
      <c r="E699" s="4">
        <v>-8.766043211611823E-4</v>
      </c>
      <c r="F699" s="3">
        <v>697</v>
      </c>
      <c r="G699" s="3">
        <v>1</v>
      </c>
      <c r="H699" s="5">
        <v>6326391.5</v>
      </c>
      <c r="I699" s="5">
        <v>3762121.5</v>
      </c>
      <c r="J699" s="5">
        <v>0</v>
      </c>
      <c r="K699" s="5">
        <v>2564270</v>
      </c>
      <c r="L699" s="5">
        <v>0</v>
      </c>
      <c r="M699" s="5">
        <v>-22448920</v>
      </c>
      <c r="N699" s="5">
        <v>-17307350</v>
      </c>
    </row>
    <row r="700" spans="1:14" x14ac:dyDescent="0.25">
      <c r="A700" s="3" t="s">
        <v>711</v>
      </c>
      <c r="B700" s="4">
        <v>-15.41</v>
      </c>
      <c r="C700" s="4">
        <v>0</v>
      </c>
      <c r="D700" s="4">
        <v>0</v>
      </c>
      <c r="E700" s="4">
        <v>-8.8135649197083367E-4</v>
      </c>
      <c r="F700" s="3">
        <v>698</v>
      </c>
      <c r="G700" s="3">
        <v>1</v>
      </c>
      <c r="H700" s="5">
        <v>18134561.140000001</v>
      </c>
      <c r="I700" s="5">
        <v>14603761.140000001</v>
      </c>
      <c r="J700" s="5">
        <v>14587660</v>
      </c>
      <c r="K700" s="5">
        <v>18118460</v>
      </c>
      <c r="L700" s="5">
        <v>74270430</v>
      </c>
      <c r="M700" s="5">
        <v>-947430</v>
      </c>
      <c r="N700" s="5">
        <v>137420</v>
      </c>
    </row>
    <row r="701" spans="1:14" x14ac:dyDescent="0.25">
      <c r="A701" s="3" t="s">
        <v>712</v>
      </c>
      <c r="B701" s="4">
        <v>-16.71</v>
      </c>
      <c r="C701" s="4">
        <v>-0.27</v>
      </c>
      <c r="D701" s="4">
        <v>-0.23</v>
      </c>
      <c r="E701" s="4">
        <v>-9.0125475202376334E-4</v>
      </c>
      <c r="F701" s="3">
        <v>699</v>
      </c>
      <c r="G701" s="3">
        <v>1</v>
      </c>
      <c r="H701" s="5">
        <v>4281991084.3299999</v>
      </c>
      <c r="I701" s="5">
        <v>4165479084.3299999</v>
      </c>
      <c r="J701" s="5">
        <v>3744000</v>
      </c>
      <c r="K701" s="5">
        <v>120256000</v>
      </c>
      <c r="L701" s="5">
        <v>47072000</v>
      </c>
      <c r="M701" s="5">
        <v>-249337000</v>
      </c>
      <c r="N701" s="5">
        <v>-223858000</v>
      </c>
    </row>
    <row r="702" spans="1:14" x14ac:dyDescent="0.25">
      <c r="A702" s="3" t="s">
        <v>713</v>
      </c>
      <c r="B702" s="4">
        <v>-15.94</v>
      </c>
      <c r="C702" s="4">
        <v>-0.13</v>
      </c>
      <c r="D702" s="4">
        <v>-0.08</v>
      </c>
      <c r="E702" s="4">
        <v>-9.4437769383372804E-4</v>
      </c>
      <c r="F702" s="3">
        <v>700</v>
      </c>
      <c r="G702" s="3">
        <v>1</v>
      </c>
      <c r="H702" s="5">
        <v>480581228.05000001</v>
      </c>
      <c r="I702" s="5">
        <v>465972478.05000001</v>
      </c>
      <c r="J702" s="5">
        <v>24830230</v>
      </c>
      <c r="K702" s="5">
        <v>39438980</v>
      </c>
      <c r="L702" s="5">
        <v>0</v>
      </c>
      <c r="M702" s="5">
        <v>-29239790</v>
      </c>
      <c r="N702" s="5">
        <v>-36901410</v>
      </c>
    </row>
    <row r="703" spans="1:14" x14ac:dyDescent="0.25">
      <c r="A703" s="3" t="s">
        <v>714</v>
      </c>
      <c r="B703" s="4">
        <v>-21.65</v>
      </c>
      <c r="C703" s="4">
        <v>-1.31</v>
      </c>
      <c r="D703" s="4">
        <v>-0.9</v>
      </c>
      <c r="E703" s="4">
        <v>-9.7796704786403017E-4</v>
      </c>
      <c r="F703" s="3">
        <v>701</v>
      </c>
      <c r="G703" s="3">
        <v>1</v>
      </c>
      <c r="H703" s="5">
        <v>273271593.07999998</v>
      </c>
      <c r="I703" s="5">
        <v>261137593.08000001</v>
      </c>
      <c r="J703" s="5">
        <v>1392000</v>
      </c>
      <c r="K703" s="5">
        <v>13526000</v>
      </c>
      <c r="L703" s="5">
        <v>7166000</v>
      </c>
      <c r="M703" s="5">
        <v>-12060000</v>
      </c>
      <c r="N703" s="5">
        <v>-16996000</v>
      </c>
    </row>
    <row r="704" spans="1:14" x14ac:dyDescent="0.25">
      <c r="A704" s="3" t="s">
        <v>715</v>
      </c>
      <c r="B704" s="4">
        <v>-15.26</v>
      </c>
      <c r="C704" s="4">
        <v>0.15</v>
      </c>
      <c r="D704" s="4">
        <v>-2.29</v>
      </c>
      <c r="E704" s="4">
        <v>-9.8253755845896865E-4</v>
      </c>
      <c r="F704" s="3">
        <v>702</v>
      </c>
      <c r="G704" s="3">
        <v>1</v>
      </c>
      <c r="H704" s="5">
        <v>3229568.5336000002</v>
      </c>
      <c r="I704" s="5">
        <v>3663998.5336000002</v>
      </c>
      <c r="J704" s="5">
        <v>434560</v>
      </c>
      <c r="K704" s="5">
        <v>130</v>
      </c>
      <c r="L704" s="5">
        <v>15500</v>
      </c>
      <c r="M704" s="5">
        <v>-240070</v>
      </c>
      <c r="N704" s="5">
        <v>-218930</v>
      </c>
    </row>
    <row r="705" spans="1:14" x14ac:dyDescent="0.25">
      <c r="A705" s="3" t="s">
        <v>716</v>
      </c>
      <c r="B705" s="4">
        <v>3.72</v>
      </c>
      <c r="C705" s="4">
        <v>4</v>
      </c>
      <c r="D705" s="4">
        <v>0.92</v>
      </c>
      <c r="E705" s="4">
        <v>-9.8639373956625406E-4</v>
      </c>
      <c r="F705" s="3">
        <v>703</v>
      </c>
      <c r="G705" s="3">
        <v>1</v>
      </c>
      <c r="H705" s="5">
        <v>461693151.89999998</v>
      </c>
      <c r="I705" s="5">
        <v>361488621.89999998</v>
      </c>
      <c r="J705" s="5">
        <v>0</v>
      </c>
      <c r="K705" s="5">
        <v>100204530</v>
      </c>
      <c r="L705" s="5">
        <v>98595650</v>
      </c>
      <c r="M705" s="5">
        <v>97125620</v>
      </c>
      <c r="N705" s="5">
        <v>93274240</v>
      </c>
    </row>
    <row r="706" spans="1:14" x14ac:dyDescent="0.25">
      <c r="A706" s="3" t="s">
        <v>717</v>
      </c>
      <c r="B706" s="4">
        <v>-15.65</v>
      </c>
      <c r="C706" s="4">
        <v>0.06</v>
      </c>
      <c r="D706" s="4">
        <v>-2.2400000000000002</v>
      </c>
      <c r="E706" s="4">
        <v>-9.9155586651553974E-4</v>
      </c>
      <c r="F706" s="3">
        <v>704</v>
      </c>
      <c r="G706" s="3">
        <v>1</v>
      </c>
      <c r="H706" s="5">
        <v>161.05000000000001</v>
      </c>
      <c r="I706" s="5">
        <v>232251.05</v>
      </c>
      <c r="J706" s="5">
        <v>237440</v>
      </c>
      <c r="K706" s="5">
        <v>5350</v>
      </c>
      <c r="L706" s="5">
        <v>0</v>
      </c>
      <c r="M706" s="5">
        <v>-14840</v>
      </c>
      <c r="N706" s="5">
        <v>-14840</v>
      </c>
    </row>
    <row r="707" spans="1:14" x14ac:dyDescent="0.25">
      <c r="A707" s="3" t="s">
        <v>718</v>
      </c>
      <c r="B707" s="4">
        <v>-15.59</v>
      </c>
      <c r="C707" s="4">
        <v>-0.08</v>
      </c>
      <c r="D707" s="4">
        <v>-0.06</v>
      </c>
      <c r="E707" s="4">
        <v>-1.012673805004138E-3</v>
      </c>
      <c r="F707" s="3">
        <v>705</v>
      </c>
      <c r="G707" s="3">
        <v>1</v>
      </c>
      <c r="H707" s="5">
        <v>107368180.92</v>
      </c>
      <c r="I707" s="5">
        <v>74038180.920000002</v>
      </c>
      <c r="J707" s="5">
        <v>0</v>
      </c>
      <c r="K707" s="5">
        <v>33330000</v>
      </c>
      <c r="L707" s="5">
        <v>186584000</v>
      </c>
      <c r="M707" s="5">
        <v>-4749000</v>
      </c>
      <c r="N707" s="5">
        <v>-16608000</v>
      </c>
    </row>
    <row r="708" spans="1:14" x14ac:dyDescent="0.25">
      <c r="A708" s="3" t="s">
        <v>719</v>
      </c>
      <c r="B708" s="4">
        <v>-16.28</v>
      </c>
      <c r="C708" s="4">
        <v>-0.23</v>
      </c>
      <c r="D708" s="4">
        <v>-0.17</v>
      </c>
      <c r="E708" s="4">
        <v>-1.0402420094752279E-3</v>
      </c>
      <c r="F708" s="3">
        <v>706</v>
      </c>
      <c r="G708" s="3">
        <v>1</v>
      </c>
      <c r="H708" s="5">
        <v>1758652095.01</v>
      </c>
      <c r="I708" s="5">
        <v>1487360095.01</v>
      </c>
      <c r="J708" s="5">
        <v>51472000</v>
      </c>
      <c r="K708" s="5">
        <v>322764000</v>
      </c>
      <c r="L708" s="5">
        <v>224498000</v>
      </c>
      <c r="M708" s="5">
        <v>-91380000</v>
      </c>
      <c r="N708" s="5">
        <v>-91413000</v>
      </c>
    </row>
    <row r="709" spans="1:14" x14ac:dyDescent="0.25">
      <c r="A709" s="3" t="s">
        <v>720</v>
      </c>
      <c r="B709" s="4">
        <v>-2.2599999999999998</v>
      </c>
      <c r="C709" s="4">
        <v>2.91</v>
      </c>
      <c r="D709" s="4">
        <v>-2.2400000000000002</v>
      </c>
      <c r="E709" s="4">
        <v>-1.044224295781718E-3</v>
      </c>
      <c r="F709" s="3">
        <v>707</v>
      </c>
      <c r="G709" s="3">
        <v>1</v>
      </c>
      <c r="H709" s="5">
        <v>114792850.05</v>
      </c>
      <c r="I709" s="5">
        <v>132866140.05</v>
      </c>
      <c r="J709" s="5">
        <v>22909870</v>
      </c>
      <c r="K709" s="5">
        <v>4836580</v>
      </c>
      <c r="L709" s="5">
        <v>44296100</v>
      </c>
      <c r="M709" s="5">
        <v>-58792330</v>
      </c>
      <c r="N709" s="5">
        <v>-72870430</v>
      </c>
    </row>
    <row r="710" spans="1:14" x14ac:dyDescent="0.25">
      <c r="A710" s="3" t="s">
        <v>721</v>
      </c>
      <c r="B710" s="4">
        <v>-12.32</v>
      </c>
      <c r="C710" s="4">
        <v>0.61</v>
      </c>
      <c r="D710" s="4">
        <v>-0.09</v>
      </c>
      <c r="E710" s="4">
        <v>-1.048672263683381E-3</v>
      </c>
      <c r="F710" s="3">
        <v>708</v>
      </c>
      <c r="G710" s="3">
        <v>1</v>
      </c>
      <c r="H710" s="5">
        <v>383131.0013</v>
      </c>
      <c r="I710" s="5">
        <v>1789501.0012999999</v>
      </c>
      <c r="J710" s="5">
        <v>1849830</v>
      </c>
      <c r="K710" s="5">
        <v>443460</v>
      </c>
      <c r="L710" s="5">
        <v>690</v>
      </c>
      <c r="M710" s="5">
        <v>-145240</v>
      </c>
      <c r="N710" s="5">
        <v>-156150</v>
      </c>
    </row>
    <row r="711" spans="1:14" x14ac:dyDescent="0.25">
      <c r="A711" s="3" t="s">
        <v>722</v>
      </c>
      <c r="B711" s="4">
        <v>-0.71</v>
      </c>
      <c r="C711" s="4">
        <v>3.12</v>
      </c>
      <c r="D711" s="4">
        <v>-0.44</v>
      </c>
      <c r="E711" s="4">
        <v>-1.0495606475740479E-3</v>
      </c>
      <c r="F711" s="3">
        <v>709</v>
      </c>
      <c r="G711" s="3">
        <v>1</v>
      </c>
      <c r="H711" s="5">
        <v>51.655000000000001</v>
      </c>
      <c r="I711" s="5">
        <v>5831051.6550000003</v>
      </c>
      <c r="J711" s="5">
        <v>7998000</v>
      </c>
      <c r="K711" s="5">
        <v>2167000</v>
      </c>
      <c r="L711" s="5">
        <v>232491000</v>
      </c>
      <c r="M711" s="5">
        <v>-8258000</v>
      </c>
      <c r="N711" s="5">
        <v>-18405000</v>
      </c>
    </row>
    <row r="712" spans="1:14" x14ac:dyDescent="0.25">
      <c r="A712" s="3" t="s">
        <v>723</v>
      </c>
      <c r="B712" s="4">
        <v>-16.37</v>
      </c>
      <c r="C712" s="4">
        <v>-0.25</v>
      </c>
      <c r="D712" s="4">
        <v>-0.24</v>
      </c>
      <c r="E712" s="4">
        <v>-1.0558295582729861E-3</v>
      </c>
      <c r="F712" s="3">
        <v>710</v>
      </c>
      <c r="G712" s="3">
        <v>1</v>
      </c>
      <c r="H712" s="5">
        <v>3689568197.9499998</v>
      </c>
      <c r="I712" s="5">
        <v>3547779197.9499998</v>
      </c>
      <c r="J712" s="5">
        <v>0</v>
      </c>
      <c r="K712" s="5">
        <v>141789000</v>
      </c>
      <c r="L712" s="5">
        <v>0</v>
      </c>
      <c r="M712" s="5">
        <v>-216681000</v>
      </c>
      <c r="N712" s="5">
        <v>-182146000</v>
      </c>
    </row>
    <row r="713" spans="1:14" x14ac:dyDescent="0.25">
      <c r="A713" s="3" t="s">
        <v>724</v>
      </c>
      <c r="B713" s="4">
        <v>-15.72</v>
      </c>
      <c r="C713" s="4">
        <v>-0.13</v>
      </c>
      <c r="D713" s="4">
        <v>-0.05</v>
      </c>
      <c r="E713" s="4">
        <v>-1.074753139436915E-3</v>
      </c>
      <c r="F713" s="3">
        <v>711</v>
      </c>
      <c r="G713" s="3">
        <v>1</v>
      </c>
      <c r="H713" s="5">
        <v>88356509.890000001</v>
      </c>
      <c r="I713" s="5">
        <v>338845059.88999999</v>
      </c>
      <c r="J713" s="5">
        <v>279315900</v>
      </c>
      <c r="K713" s="5">
        <v>28827350</v>
      </c>
      <c r="L713" s="5">
        <v>43862370</v>
      </c>
      <c r="M713" s="5">
        <v>-21553280</v>
      </c>
      <c r="N713" s="5">
        <v>-29285430</v>
      </c>
    </row>
    <row r="714" spans="1:14" x14ac:dyDescent="0.25">
      <c r="A714" s="3" t="s">
        <v>725</v>
      </c>
      <c r="B714" s="4">
        <v>-15.02</v>
      </c>
      <c r="C714" s="4">
        <v>0.01</v>
      </c>
      <c r="D714" s="4">
        <v>0.01</v>
      </c>
      <c r="E714" s="4">
        <v>-1.091912880564891E-3</v>
      </c>
      <c r="F714" s="3">
        <v>712</v>
      </c>
      <c r="G714" s="3">
        <v>1</v>
      </c>
      <c r="H714" s="5">
        <v>10.033745</v>
      </c>
      <c r="I714" s="5">
        <v>-60493899.966255002</v>
      </c>
      <c r="J714" s="5">
        <v>2142570</v>
      </c>
      <c r="K714" s="5">
        <v>62636480</v>
      </c>
      <c r="L714" s="5">
        <v>27003800</v>
      </c>
      <c r="M714" s="5">
        <v>4028220</v>
      </c>
      <c r="N714" s="5">
        <v>1108800</v>
      </c>
    </row>
    <row r="715" spans="1:14" x14ac:dyDescent="0.25">
      <c r="A715" s="3" t="s">
        <v>726</v>
      </c>
      <c r="B715" s="4">
        <v>-2.23</v>
      </c>
      <c r="C715" s="4">
        <v>2.82</v>
      </c>
      <c r="D715" s="4">
        <v>-1.08</v>
      </c>
      <c r="E715" s="4">
        <v>-1.0990672930123891E-3</v>
      </c>
      <c r="F715" s="3">
        <v>713</v>
      </c>
      <c r="G715" s="3">
        <v>1</v>
      </c>
      <c r="H715" s="5">
        <v>267929420.94999999</v>
      </c>
      <c r="I715" s="5">
        <v>239529420.94999999</v>
      </c>
      <c r="J715" s="5">
        <v>16537000</v>
      </c>
      <c r="K715" s="5">
        <v>44937000</v>
      </c>
      <c r="L715" s="5">
        <v>0</v>
      </c>
      <c r="M715" s="5">
        <v>-107208000</v>
      </c>
      <c r="N715" s="5">
        <v>-148701000</v>
      </c>
    </row>
    <row r="716" spans="1:14" x14ac:dyDescent="0.25">
      <c r="A716" s="3" t="s">
        <v>727</v>
      </c>
      <c r="B716" s="4">
        <v>0.19</v>
      </c>
      <c r="C716" s="4">
        <v>3.38</v>
      </c>
      <c r="D716" s="4">
        <v>-1.71</v>
      </c>
      <c r="E716" s="4">
        <v>-1.100341753278361E-3</v>
      </c>
      <c r="F716" s="3">
        <v>714</v>
      </c>
      <c r="G716" s="3">
        <v>1</v>
      </c>
      <c r="H716" s="5">
        <v>314.339</v>
      </c>
      <c r="I716" s="5">
        <v>-6669685.6610000003</v>
      </c>
      <c r="J716" s="5">
        <v>12537000</v>
      </c>
      <c r="K716" s="5">
        <v>19207000</v>
      </c>
      <c r="L716" s="5">
        <v>0</v>
      </c>
      <c r="M716" s="5">
        <v>-34306000</v>
      </c>
      <c r="N716" s="5">
        <v>-36065000</v>
      </c>
    </row>
    <row r="717" spans="1:14" x14ac:dyDescent="0.25">
      <c r="A717" s="3" t="s">
        <v>728</v>
      </c>
      <c r="B717" s="4">
        <v>-10.52</v>
      </c>
      <c r="C717" s="4">
        <v>0.97</v>
      </c>
      <c r="D717" s="4">
        <v>-7.0000000000000007E-2</v>
      </c>
      <c r="E717" s="4">
        <v>-1.118701383481822E-3</v>
      </c>
      <c r="F717" s="3">
        <v>715</v>
      </c>
      <c r="G717" s="3">
        <v>1</v>
      </c>
      <c r="H717" s="5">
        <v>499.98999600000002</v>
      </c>
      <c r="I717" s="5">
        <v>1040389.989996</v>
      </c>
      <c r="J717" s="5">
        <v>1089640</v>
      </c>
      <c r="K717" s="5">
        <v>49750</v>
      </c>
      <c r="L717" s="5">
        <v>141390</v>
      </c>
      <c r="M717" s="5">
        <v>-98940</v>
      </c>
      <c r="N717" s="5">
        <v>-98330</v>
      </c>
    </row>
    <row r="718" spans="1:14" x14ac:dyDescent="0.25">
      <c r="A718" s="3" t="s">
        <v>729</v>
      </c>
      <c r="B718" s="4">
        <v>9.41</v>
      </c>
      <c r="C718" s="4">
        <v>5.23</v>
      </c>
      <c r="D718" s="4">
        <v>-0.12</v>
      </c>
      <c r="E718" s="4">
        <v>-1.1547568824856001E-3</v>
      </c>
      <c r="F718" s="3">
        <v>716</v>
      </c>
      <c r="G718" s="3">
        <v>1</v>
      </c>
      <c r="H718" s="5">
        <v>28707.64</v>
      </c>
      <c r="I718" s="5">
        <v>1148133707.6400001</v>
      </c>
      <c r="J718" s="5">
        <v>1260686000</v>
      </c>
      <c r="K718" s="5">
        <v>112581000</v>
      </c>
      <c r="L718" s="5">
        <v>2787586000</v>
      </c>
      <c r="M718" s="5">
        <v>121980000</v>
      </c>
      <c r="N718" s="5">
        <v>-201278000</v>
      </c>
    </row>
    <row r="719" spans="1:14" x14ac:dyDescent="0.25">
      <c r="A719" s="3" t="s">
        <v>730</v>
      </c>
      <c r="B719" s="4">
        <v>-5.4</v>
      </c>
      <c r="C719" s="4">
        <v>2.08</v>
      </c>
      <c r="D719" s="4">
        <v>-0.53</v>
      </c>
      <c r="E719" s="4">
        <v>-1.1691195443459101E-3</v>
      </c>
      <c r="F719" s="3">
        <v>717</v>
      </c>
      <c r="G719" s="3">
        <v>1</v>
      </c>
      <c r="H719" s="5">
        <v>3159.2753160000002</v>
      </c>
      <c r="I719" s="5">
        <v>968909.27531599998</v>
      </c>
      <c r="J719" s="5">
        <v>975670</v>
      </c>
      <c r="K719" s="5">
        <v>9920</v>
      </c>
      <c r="L719" s="5">
        <v>164760</v>
      </c>
      <c r="M719" s="5">
        <v>-179270</v>
      </c>
      <c r="N719" s="5">
        <v>-644540</v>
      </c>
    </row>
    <row r="720" spans="1:14" x14ac:dyDescent="0.25">
      <c r="A720" s="3" t="s">
        <v>731</v>
      </c>
      <c r="B720" s="4">
        <v>-12.89</v>
      </c>
      <c r="C720" s="4">
        <v>0.46</v>
      </c>
      <c r="D720" s="4">
        <v>-0.38</v>
      </c>
      <c r="E720" s="4">
        <v>-1.1852334149145059E-3</v>
      </c>
      <c r="F720" s="3">
        <v>718</v>
      </c>
      <c r="G720" s="3">
        <v>1</v>
      </c>
      <c r="H720" s="5">
        <v>537242874.77999997</v>
      </c>
      <c r="I720" s="5">
        <v>644289874.77999997</v>
      </c>
      <c r="J720" s="5">
        <v>122103000</v>
      </c>
      <c r="K720" s="5">
        <v>15056000</v>
      </c>
      <c r="L720" s="5">
        <v>317044000</v>
      </c>
      <c r="M720" s="5">
        <v>-49982000</v>
      </c>
      <c r="N720" s="5">
        <v>-81935000</v>
      </c>
    </row>
    <row r="721" spans="1:14" x14ac:dyDescent="0.25">
      <c r="A721" s="3" t="s">
        <v>732</v>
      </c>
      <c r="B721" s="4">
        <v>-15.41</v>
      </c>
      <c r="C721" s="4">
        <v>-0.11</v>
      </c>
      <c r="D721" s="4">
        <v>-0.03</v>
      </c>
      <c r="E721" s="4">
        <v>-1.2049732488623891E-3</v>
      </c>
      <c r="F721" s="3">
        <v>719</v>
      </c>
      <c r="G721" s="3">
        <v>1</v>
      </c>
      <c r="H721" s="5">
        <v>947311843.89999998</v>
      </c>
      <c r="I721" s="5">
        <v>849311843.89999998</v>
      </c>
      <c r="J721" s="5">
        <v>0</v>
      </c>
      <c r="K721" s="5">
        <v>98000000</v>
      </c>
      <c r="L721" s="5">
        <v>372100000</v>
      </c>
      <c r="M721" s="5">
        <v>-55100000</v>
      </c>
      <c r="N721" s="5">
        <v>-40500000</v>
      </c>
    </row>
    <row r="722" spans="1:14" x14ac:dyDescent="0.25">
      <c r="A722" s="3" t="s">
        <v>733</v>
      </c>
      <c r="B722" s="4">
        <v>-16.47</v>
      </c>
      <c r="C722" s="4">
        <v>-0.33</v>
      </c>
      <c r="D722" s="4">
        <v>-0.15</v>
      </c>
      <c r="E722" s="4">
        <v>-1.2077251182203261E-3</v>
      </c>
      <c r="F722" s="3">
        <v>720</v>
      </c>
      <c r="G722" s="3">
        <v>1</v>
      </c>
      <c r="H722" s="5">
        <v>49790958.700000003</v>
      </c>
      <c r="I722" s="5">
        <v>56875958.700000003</v>
      </c>
      <c r="J722" s="5">
        <v>12714000</v>
      </c>
      <c r="K722" s="5">
        <v>5629000</v>
      </c>
      <c r="L722" s="5">
        <v>213237000</v>
      </c>
      <c r="M722" s="5">
        <v>-3454000</v>
      </c>
      <c r="N722" s="5">
        <v>-19103000</v>
      </c>
    </row>
    <row r="723" spans="1:14" x14ac:dyDescent="0.25">
      <c r="A723" s="3" t="s">
        <v>734</v>
      </c>
      <c r="B723" s="4">
        <v>-15.75</v>
      </c>
      <c r="C723" s="4">
        <v>-0.22</v>
      </c>
      <c r="D723" s="4">
        <v>-0.17</v>
      </c>
      <c r="E723" s="4">
        <v>-1.3393763044058751E-3</v>
      </c>
      <c r="F723" s="3">
        <v>721</v>
      </c>
      <c r="G723" s="3">
        <v>1</v>
      </c>
      <c r="H723" s="5">
        <v>63646640.579999998</v>
      </c>
      <c r="I723" s="5">
        <v>60374080.579999998</v>
      </c>
      <c r="J723" s="5">
        <v>8130</v>
      </c>
      <c r="K723" s="5">
        <v>3280690</v>
      </c>
      <c r="L723" s="5">
        <v>21123350</v>
      </c>
      <c r="M723" s="5">
        <v>-3833770</v>
      </c>
      <c r="N723" s="5">
        <v>-3135450</v>
      </c>
    </row>
    <row r="724" spans="1:14" x14ac:dyDescent="0.25">
      <c r="A724" s="3" t="s">
        <v>735</v>
      </c>
      <c r="B724" s="4">
        <v>-15.82</v>
      </c>
      <c r="C724" s="4">
        <v>-0.25</v>
      </c>
      <c r="D724" s="4">
        <v>-0.19</v>
      </c>
      <c r="E724" s="4">
        <v>-1.386590738724719E-3</v>
      </c>
      <c r="F724" s="3">
        <v>722</v>
      </c>
      <c r="G724" s="3">
        <v>1</v>
      </c>
      <c r="H724" s="5">
        <v>40366361.210000001</v>
      </c>
      <c r="I724" s="5">
        <v>32853361.210000001</v>
      </c>
      <c r="J724" s="5">
        <v>332000</v>
      </c>
      <c r="K724" s="5">
        <v>7845000</v>
      </c>
      <c r="L724" s="5">
        <v>168000</v>
      </c>
      <c r="M724" s="5">
        <v>-2077000</v>
      </c>
      <c r="N724" s="5">
        <v>-2077000</v>
      </c>
    </row>
    <row r="725" spans="1:14" x14ac:dyDescent="0.25">
      <c r="A725" s="3" t="s">
        <v>736</v>
      </c>
      <c r="B725" s="4">
        <v>-16.190000000000001</v>
      </c>
      <c r="C725" s="4">
        <v>-0.33</v>
      </c>
      <c r="D725" s="4">
        <v>-0.23</v>
      </c>
      <c r="E725" s="4">
        <v>-1.3964550903585379E-3</v>
      </c>
      <c r="F725" s="3">
        <v>723</v>
      </c>
      <c r="G725" s="3">
        <v>1</v>
      </c>
      <c r="H725" s="5">
        <v>13249424.794199999</v>
      </c>
      <c r="I725" s="5">
        <v>13243424.794199999</v>
      </c>
      <c r="J725" s="5">
        <v>0</v>
      </c>
      <c r="K725" s="5">
        <v>6000</v>
      </c>
      <c r="L725" s="5">
        <v>7400000</v>
      </c>
      <c r="M725" s="5">
        <v>-818000</v>
      </c>
      <c r="N725" s="5">
        <v>-904000</v>
      </c>
    </row>
    <row r="726" spans="1:14" x14ac:dyDescent="0.25">
      <c r="A726" s="3" t="s">
        <v>737</v>
      </c>
      <c r="B726" s="4">
        <v>-22.35</v>
      </c>
      <c r="C726" s="4">
        <v>-1.64</v>
      </c>
      <c r="D726" s="4">
        <v>-0.38</v>
      </c>
      <c r="E726" s="4">
        <v>-1.3979022985154169E-3</v>
      </c>
      <c r="F726" s="3">
        <v>724</v>
      </c>
      <c r="G726" s="3">
        <v>1</v>
      </c>
      <c r="H726" s="5">
        <v>22178291.278000001</v>
      </c>
      <c r="I726" s="5">
        <v>22064291.278000001</v>
      </c>
      <c r="J726" s="5">
        <v>135000</v>
      </c>
      <c r="K726" s="5">
        <v>249000</v>
      </c>
      <c r="L726" s="5">
        <v>203000</v>
      </c>
      <c r="M726" s="5">
        <v>-987000</v>
      </c>
      <c r="N726" s="5">
        <v>-113000</v>
      </c>
    </row>
    <row r="727" spans="1:14" x14ac:dyDescent="0.25">
      <c r="A727" s="3" t="s">
        <v>738</v>
      </c>
      <c r="B727" s="4">
        <v>-16.28</v>
      </c>
      <c r="C727" s="4">
        <v>-0.36</v>
      </c>
      <c r="D727" s="4">
        <v>-0.22</v>
      </c>
      <c r="E727" s="4">
        <v>-1.4255040335507099E-3</v>
      </c>
      <c r="F727" s="3">
        <v>725</v>
      </c>
      <c r="G727" s="3">
        <v>1</v>
      </c>
      <c r="H727" s="5">
        <v>12585574.119999999</v>
      </c>
      <c r="I727" s="5">
        <v>11458574.119999999</v>
      </c>
      <c r="J727" s="5">
        <v>290000</v>
      </c>
      <c r="K727" s="5">
        <v>1417000</v>
      </c>
      <c r="L727" s="5">
        <v>19685000</v>
      </c>
      <c r="M727" s="5">
        <v>-704000</v>
      </c>
      <c r="N727" s="5">
        <v>-1861000</v>
      </c>
    </row>
    <row r="728" spans="1:14" x14ac:dyDescent="0.25">
      <c r="A728" s="3" t="s">
        <v>739</v>
      </c>
      <c r="B728" s="4">
        <v>-6.77</v>
      </c>
      <c r="C728" s="4">
        <v>1.68</v>
      </c>
      <c r="D728" s="4">
        <v>-0.28999999999999998</v>
      </c>
      <c r="E728" s="4">
        <v>-1.4306460065644749E-3</v>
      </c>
      <c r="F728" s="3">
        <v>726</v>
      </c>
      <c r="G728" s="3">
        <v>1</v>
      </c>
      <c r="H728" s="5">
        <v>864406360.79999995</v>
      </c>
      <c r="I728" s="5">
        <v>1056036360.8</v>
      </c>
      <c r="J728" s="5">
        <v>408056000</v>
      </c>
      <c r="K728" s="5">
        <v>216426000</v>
      </c>
      <c r="L728" s="5">
        <v>792104000</v>
      </c>
      <c r="M728" s="5">
        <v>-155953000</v>
      </c>
      <c r="N728" s="5">
        <v>-339635000</v>
      </c>
    </row>
    <row r="729" spans="1:14" x14ac:dyDescent="0.25">
      <c r="A729" s="3" t="s">
        <v>740</v>
      </c>
      <c r="B729" s="4">
        <v>-16.37</v>
      </c>
      <c r="C729" s="4">
        <v>-0.38</v>
      </c>
      <c r="D729" s="4">
        <v>-0.25</v>
      </c>
      <c r="E729" s="4">
        <v>-1.4333754760384469E-3</v>
      </c>
      <c r="F729" s="3">
        <v>727</v>
      </c>
      <c r="G729" s="3">
        <v>1</v>
      </c>
      <c r="H729" s="5">
        <v>274779810.24000001</v>
      </c>
      <c r="I729" s="5">
        <v>261345810.24000001</v>
      </c>
      <c r="J729" s="5">
        <v>0</v>
      </c>
      <c r="K729" s="5">
        <v>13434000</v>
      </c>
      <c r="L729" s="5">
        <v>20518000</v>
      </c>
      <c r="M729" s="5">
        <v>-15963000</v>
      </c>
      <c r="N729" s="5">
        <v>-10639000</v>
      </c>
    </row>
    <row r="730" spans="1:14" x14ac:dyDescent="0.25">
      <c r="A730" s="3" t="s">
        <v>741</v>
      </c>
      <c r="B730" s="4">
        <v>-15.6</v>
      </c>
      <c r="C730" s="4">
        <v>-0.25</v>
      </c>
      <c r="D730" s="4">
        <v>-0.19</v>
      </c>
      <c r="E730" s="4">
        <v>-1.522753264060423E-3</v>
      </c>
      <c r="F730" s="3">
        <v>728</v>
      </c>
      <c r="G730" s="3">
        <v>1</v>
      </c>
      <c r="H730" s="5">
        <v>28764375</v>
      </c>
      <c r="I730" s="5">
        <v>25310495</v>
      </c>
      <c r="J730" s="5">
        <v>1066360</v>
      </c>
      <c r="K730" s="5">
        <v>4520240</v>
      </c>
      <c r="L730" s="5">
        <v>3266390</v>
      </c>
      <c r="M730" s="5">
        <v>-1622140</v>
      </c>
      <c r="N730" s="5">
        <v>-1461120</v>
      </c>
    </row>
    <row r="731" spans="1:14" x14ac:dyDescent="0.25">
      <c r="A731" s="3" t="s">
        <v>742</v>
      </c>
      <c r="B731" s="4">
        <v>-15.43</v>
      </c>
      <c r="C731" s="4">
        <v>-0.22</v>
      </c>
      <c r="D731" s="4">
        <v>-0.21</v>
      </c>
      <c r="E731" s="4">
        <v>-1.5451469930223771E-3</v>
      </c>
      <c r="F731" s="3">
        <v>729</v>
      </c>
      <c r="G731" s="3">
        <v>1</v>
      </c>
      <c r="H731" s="5">
        <v>842979478.04999995</v>
      </c>
      <c r="I731" s="5">
        <v>771389478.04999995</v>
      </c>
      <c r="J731" s="5">
        <v>624000</v>
      </c>
      <c r="K731" s="5">
        <v>72214000</v>
      </c>
      <c r="L731" s="5">
        <v>0</v>
      </c>
      <c r="M731" s="5">
        <v>-49997000</v>
      </c>
      <c r="N731" s="5">
        <v>-38961000</v>
      </c>
    </row>
    <row r="732" spans="1:14" x14ac:dyDescent="0.25">
      <c r="A732" s="3" t="s">
        <v>743</v>
      </c>
      <c r="B732" s="4">
        <v>-14.66</v>
      </c>
      <c r="C732" s="4">
        <v>-0.08</v>
      </c>
      <c r="D732" s="4">
        <v>-0.05</v>
      </c>
      <c r="E732" s="4">
        <v>-1.586340908254833E-3</v>
      </c>
      <c r="F732" s="3">
        <v>730</v>
      </c>
      <c r="G732" s="3">
        <v>1</v>
      </c>
      <c r="H732" s="5">
        <v>10500900</v>
      </c>
      <c r="I732" s="5">
        <v>10025900</v>
      </c>
      <c r="J732" s="5">
        <v>47000</v>
      </c>
      <c r="K732" s="5">
        <v>522000</v>
      </c>
      <c r="L732" s="5">
        <v>23982000</v>
      </c>
      <c r="M732" s="5">
        <v>-684000</v>
      </c>
      <c r="N732" s="5">
        <v>-594000</v>
      </c>
    </row>
    <row r="733" spans="1:14" x14ac:dyDescent="0.25">
      <c r="A733" s="3" t="s">
        <v>744</v>
      </c>
      <c r="B733" s="4">
        <v>-15.47</v>
      </c>
      <c r="C733" s="4">
        <v>-0.26</v>
      </c>
      <c r="D733" s="4">
        <v>-0.23</v>
      </c>
      <c r="E733" s="4">
        <v>-1.639822651446909E-3</v>
      </c>
      <c r="F733" s="3">
        <v>731</v>
      </c>
      <c r="G733" s="3">
        <v>1</v>
      </c>
      <c r="H733" s="5">
        <v>11092615494.6</v>
      </c>
      <c r="I733" s="5">
        <v>10549551494.6</v>
      </c>
      <c r="J733" s="5">
        <v>0</v>
      </c>
      <c r="K733" s="5">
        <v>543064000</v>
      </c>
      <c r="L733" s="5">
        <v>0</v>
      </c>
      <c r="M733" s="5">
        <v>-681865000</v>
      </c>
      <c r="N733" s="5">
        <v>-600093000</v>
      </c>
    </row>
    <row r="734" spans="1:14" x14ac:dyDescent="0.25">
      <c r="A734" s="3" t="s">
        <v>745</v>
      </c>
      <c r="B734" s="4">
        <v>-5.32</v>
      </c>
      <c r="C734" s="4">
        <v>2.72</v>
      </c>
      <c r="D734" s="4">
        <v>-12.9</v>
      </c>
      <c r="E734" s="4">
        <v>-1.7556482173719751E-3</v>
      </c>
      <c r="F734" s="3">
        <v>732</v>
      </c>
      <c r="G734" s="3">
        <v>1</v>
      </c>
      <c r="H734" s="5">
        <v>336240</v>
      </c>
      <c r="I734" s="5">
        <v>331400</v>
      </c>
      <c r="J734" s="5">
        <v>0</v>
      </c>
      <c r="K734" s="5">
        <v>4840</v>
      </c>
      <c r="L734" s="5">
        <v>33550</v>
      </c>
      <c r="M734" s="5">
        <v>-62350</v>
      </c>
      <c r="N734" s="5">
        <v>-62460</v>
      </c>
    </row>
    <row r="735" spans="1:14" x14ac:dyDescent="0.25">
      <c r="A735" s="3" t="s">
        <v>746</v>
      </c>
      <c r="B735" s="4">
        <v>1.43</v>
      </c>
      <c r="C735" s="4">
        <v>3.42</v>
      </c>
      <c r="D735" s="4">
        <v>-1.75</v>
      </c>
      <c r="E735" s="4">
        <v>-1.759944937968152E-3</v>
      </c>
      <c r="F735" s="3">
        <v>733</v>
      </c>
      <c r="G735" s="3">
        <v>1</v>
      </c>
      <c r="H735" s="5">
        <v>29438.261999999999</v>
      </c>
      <c r="I735" s="5">
        <v>6803438.2620000001</v>
      </c>
      <c r="J735" s="5">
        <v>6781000</v>
      </c>
      <c r="K735" s="5">
        <v>7000</v>
      </c>
      <c r="L735" s="5">
        <v>27859000</v>
      </c>
      <c r="M735" s="5">
        <v>4770000</v>
      </c>
      <c r="N735" s="5">
        <v>-31638000</v>
      </c>
    </row>
    <row r="736" spans="1:14" x14ac:dyDescent="0.25">
      <c r="A736" s="3" t="s">
        <v>747</v>
      </c>
      <c r="B736" s="4">
        <v>-13.98</v>
      </c>
      <c r="C736" s="4">
        <v>0</v>
      </c>
      <c r="D736" s="4">
        <v>0</v>
      </c>
      <c r="E736" s="4">
        <v>-1.766412906652907E-3</v>
      </c>
      <c r="F736" s="3">
        <v>734</v>
      </c>
      <c r="G736" s="3">
        <v>1</v>
      </c>
      <c r="H736" s="5">
        <v>1212531427.52</v>
      </c>
      <c r="I736" s="5">
        <v>559197427.51999998</v>
      </c>
      <c r="J736" s="5">
        <v>0</v>
      </c>
      <c r="K736" s="5">
        <v>653334000</v>
      </c>
      <c r="L736" s="5">
        <v>298617000</v>
      </c>
      <c r="M736" s="5">
        <v>-39994000</v>
      </c>
      <c r="N736" s="5">
        <v>4997000</v>
      </c>
    </row>
    <row r="737" spans="1:14" x14ac:dyDescent="0.25">
      <c r="A737" s="3" t="s">
        <v>748</v>
      </c>
      <c r="B737" s="4">
        <v>-0.37</v>
      </c>
      <c r="C737" s="4">
        <v>3.01</v>
      </c>
      <c r="D737" s="4">
        <v>-1.47</v>
      </c>
      <c r="E737" s="4">
        <v>-1.7765130559168219E-3</v>
      </c>
      <c r="F737" s="3">
        <v>735</v>
      </c>
      <c r="G737" s="3">
        <v>1</v>
      </c>
      <c r="H737" s="5">
        <v>1248.0431000000001</v>
      </c>
      <c r="I737" s="5">
        <v>1729658.0430999999</v>
      </c>
      <c r="J737" s="5">
        <v>2155790</v>
      </c>
      <c r="K737" s="5">
        <v>427380</v>
      </c>
      <c r="L737" s="5">
        <v>1805200</v>
      </c>
      <c r="M737" s="5">
        <v>-4661870</v>
      </c>
      <c r="N737" s="5">
        <v>-4946020</v>
      </c>
    </row>
    <row r="738" spans="1:14" x14ac:dyDescent="0.25">
      <c r="A738" s="3" t="s">
        <v>749</v>
      </c>
      <c r="B738" s="4">
        <v>-6.54</v>
      </c>
      <c r="C738" s="4">
        <v>1.62</v>
      </c>
      <c r="D738" s="4">
        <v>-0.45</v>
      </c>
      <c r="E738" s="4">
        <v>-1.777223804924101E-3</v>
      </c>
      <c r="F738" s="3">
        <v>736</v>
      </c>
      <c r="G738" s="3">
        <v>1</v>
      </c>
      <c r="H738" s="5">
        <v>696.27260000000001</v>
      </c>
      <c r="I738" s="5">
        <v>71947696.272599995</v>
      </c>
      <c r="J738" s="5">
        <v>74551000</v>
      </c>
      <c r="K738" s="5">
        <v>2604000</v>
      </c>
      <c r="L738" s="5">
        <v>88379000</v>
      </c>
      <c r="M738" s="5">
        <v>-11008000</v>
      </c>
      <c r="N738" s="5">
        <v>-35239000</v>
      </c>
    </row>
    <row r="739" spans="1:14" x14ac:dyDescent="0.25">
      <c r="A739" s="3" t="s">
        <v>750</v>
      </c>
      <c r="B739" s="4">
        <v>-15.28</v>
      </c>
      <c r="C739" s="4">
        <v>-0.28000000000000003</v>
      </c>
      <c r="D739" s="4">
        <v>-0.24</v>
      </c>
      <c r="E739" s="4">
        <v>-1.817133800297806E-3</v>
      </c>
      <c r="F739" s="3">
        <v>737</v>
      </c>
      <c r="G739" s="3">
        <v>1</v>
      </c>
      <c r="H739" s="5">
        <v>284359584.5</v>
      </c>
      <c r="I739" s="5">
        <v>276448844.5</v>
      </c>
      <c r="J739" s="5">
        <v>3376260</v>
      </c>
      <c r="K739" s="5">
        <v>11287000</v>
      </c>
      <c r="L739" s="5">
        <v>22270470</v>
      </c>
      <c r="M739" s="5">
        <v>-18090280</v>
      </c>
      <c r="N739" s="5">
        <v>-40467190</v>
      </c>
    </row>
    <row r="740" spans="1:14" x14ac:dyDescent="0.25">
      <c r="A740" s="3" t="s">
        <v>751</v>
      </c>
      <c r="B740" s="4">
        <v>-14.11</v>
      </c>
      <c r="C740" s="4">
        <v>-0.05</v>
      </c>
      <c r="D740" s="4">
        <v>-0.04</v>
      </c>
      <c r="E740" s="4">
        <v>-1.838137373973214E-3</v>
      </c>
      <c r="F740" s="3">
        <v>738</v>
      </c>
      <c r="G740" s="3">
        <v>1</v>
      </c>
      <c r="H740" s="5">
        <v>68363763.599999994</v>
      </c>
      <c r="I740" s="5">
        <v>59853763.599999987</v>
      </c>
      <c r="J740" s="5">
        <v>0</v>
      </c>
      <c r="K740" s="5">
        <v>8510000</v>
      </c>
      <c r="L740" s="5">
        <v>25133000</v>
      </c>
      <c r="M740" s="5">
        <v>-4242000</v>
      </c>
      <c r="N740" s="5">
        <v>-1943000</v>
      </c>
    </row>
    <row r="741" spans="1:14" x14ac:dyDescent="0.25">
      <c r="A741" s="3" t="s">
        <v>752</v>
      </c>
      <c r="B741" s="4">
        <v>-9.24</v>
      </c>
      <c r="C741" s="4">
        <v>0.94</v>
      </c>
      <c r="D741" s="4">
        <v>0.73</v>
      </c>
      <c r="E741" s="4">
        <v>-1.8432784075506389E-3</v>
      </c>
      <c r="F741" s="3">
        <v>739</v>
      </c>
      <c r="G741" s="3">
        <v>1</v>
      </c>
      <c r="H741" s="5">
        <v>443492888.72000003</v>
      </c>
      <c r="I741" s="5">
        <v>398796028.72000003</v>
      </c>
      <c r="J741" s="5">
        <v>2000000</v>
      </c>
      <c r="K741" s="5">
        <v>46696860</v>
      </c>
      <c r="L741" s="5">
        <v>37485380</v>
      </c>
      <c r="M741" s="5">
        <v>-43150910</v>
      </c>
      <c r="N741" s="5">
        <v>139708190</v>
      </c>
    </row>
    <row r="742" spans="1:14" x14ac:dyDescent="0.25">
      <c r="A742" s="3" t="s">
        <v>753</v>
      </c>
      <c r="B742" s="4">
        <v>-3.84</v>
      </c>
      <c r="C742" s="4">
        <v>2.4700000000000002</v>
      </c>
      <c r="D742" s="4">
        <v>-4.95</v>
      </c>
      <c r="E742" s="4">
        <v>-1.8604147067837211E-3</v>
      </c>
      <c r="F742" s="3">
        <v>740</v>
      </c>
      <c r="G742" s="3">
        <v>1</v>
      </c>
      <c r="H742" s="5">
        <v>38418235.099399999</v>
      </c>
      <c r="I742" s="5">
        <v>47488975.099399999</v>
      </c>
      <c r="J742" s="5">
        <v>9280080</v>
      </c>
      <c r="K742" s="5">
        <v>209340</v>
      </c>
      <c r="L742" s="5">
        <v>152130</v>
      </c>
      <c r="M742" s="5">
        <v>-12360350</v>
      </c>
      <c r="N742" s="5">
        <v>-34515750</v>
      </c>
    </row>
    <row r="743" spans="1:14" x14ac:dyDescent="0.25">
      <c r="A743" s="3" t="s">
        <v>754</v>
      </c>
      <c r="B743" s="4">
        <v>-0.62</v>
      </c>
      <c r="C743" s="4">
        <v>3.18</v>
      </c>
      <c r="D743" s="4">
        <v>-5.47</v>
      </c>
      <c r="E743" s="4">
        <v>-1.9022022252464491E-3</v>
      </c>
      <c r="F743" s="3">
        <v>741</v>
      </c>
      <c r="G743" s="3">
        <v>1</v>
      </c>
      <c r="H743" s="5">
        <v>34139.56</v>
      </c>
      <c r="I743" s="5">
        <v>7744769.5599999996</v>
      </c>
      <c r="J743" s="5">
        <v>7912810</v>
      </c>
      <c r="K743" s="5">
        <v>202180</v>
      </c>
      <c r="L743" s="5">
        <v>10746470</v>
      </c>
      <c r="M743" s="5">
        <v>-12504220</v>
      </c>
      <c r="N743" s="5">
        <v>-31156820</v>
      </c>
    </row>
    <row r="744" spans="1:14" x14ac:dyDescent="0.25">
      <c r="A744" s="3" t="s">
        <v>755</v>
      </c>
      <c r="B744" s="4">
        <v>-3.21</v>
      </c>
      <c r="C744" s="4">
        <v>2.3199999999999998</v>
      </c>
      <c r="D744" s="4">
        <v>-0.91</v>
      </c>
      <c r="E744" s="4">
        <v>-1.9044120336041E-3</v>
      </c>
      <c r="F744" s="3">
        <v>742</v>
      </c>
      <c r="G744" s="3">
        <v>1</v>
      </c>
      <c r="H744" s="5">
        <v>51164239.490000002</v>
      </c>
      <c r="I744" s="5">
        <v>81937019.49000001</v>
      </c>
      <c r="J744" s="5">
        <v>31559110</v>
      </c>
      <c r="K744" s="5">
        <v>786330</v>
      </c>
      <c r="L744" s="5">
        <v>22986880</v>
      </c>
      <c r="M744" s="5">
        <v>-25559660</v>
      </c>
      <c r="N744" s="5">
        <v>-34962340</v>
      </c>
    </row>
    <row r="745" spans="1:14" x14ac:dyDescent="0.25">
      <c r="A745" s="3" t="s">
        <v>756</v>
      </c>
      <c r="B745" s="4">
        <v>-15.46</v>
      </c>
      <c r="C745" s="4">
        <v>-0.36</v>
      </c>
      <c r="D745" s="4">
        <v>-0.1</v>
      </c>
      <c r="E745" s="4">
        <v>-1.9098705817809909E-3</v>
      </c>
      <c r="F745" s="3">
        <v>743</v>
      </c>
      <c r="G745" s="3">
        <v>1</v>
      </c>
      <c r="H745" s="5">
        <v>991244139.57000005</v>
      </c>
      <c r="I745" s="5">
        <v>1275746139.5699999</v>
      </c>
      <c r="J745" s="5">
        <v>353736000</v>
      </c>
      <c r="K745" s="5">
        <v>69234000</v>
      </c>
      <c r="L745" s="5">
        <v>940203000</v>
      </c>
      <c r="M745" s="5">
        <v>-82520000</v>
      </c>
      <c r="N745" s="5">
        <v>-96025000</v>
      </c>
    </row>
    <row r="746" spans="1:14" x14ac:dyDescent="0.25">
      <c r="A746" s="3" t="s">
        <v>757</v>
      </c>
      <c r="B746" s="4">
        <v>-2.2000000000000002</v>
      </c>
      <c r="C746" s="4">
        <v>2.57</v>
      </c>
      <c r="D746" s="4">
        <v>-1.48</v>
      </c>
      <c r="E746" s="4">
        <v>-1.917136148565307E-3</v>
      </c>
      <c r="F746" s="3">
        <v>744</v>
      </c>
      <c r="G746" s="3">
        <v>1</v>
      </c>
      <c r="H746" s="5">
        <v>1145619.334</v>
      </c>
      <c r="I746" s="5">
        <v>1663349.334</v>
      </c>
      <c r="J746" s="5">
        <v>554460</v>
      </c>
      <c r="K746" s="5">
        <v>36730</v>
      </c>
      <c r="L746" s="5">
        <v>1027110</v>
      </c>
      <c r="M746" s="5">
        <v>-755520</v>
      </c>
      <c r="N746" s="5">
        <v>-1069190</v>
      </c>
    </row>
    <row r="747" spans="1:14" x14ac:dyDescent="0.25">
      <c r="A747" s="3" t="s">
        <v>758</v>
      </c>
      <c r="B747" s="4">
        <v>-22.79</v>
      </c>
      <c r="C747" s="4">
        <v>-1.93</v>
      </c>
      <c r="D747" s="4">
        <v>-0.15</v>
      </c>
      <c r="E747" s="4">
        <v>-1.9191242399806551E-3</v>
      </c>
      <c r="F747" s="3">
        <v>745</v>
      </c>
      <c r="G747" s="3">
        <v>1</v>
      </c>
      <c r="H747" s="5">
        <v>210195.429</v>
      </c>
      <c r="I747" s="5">
        <v>3705585.429</v>
      </c>
      <c r="J747" s="5">
        <v>3496460</v>
      </c>
      <c r="K747" s="5">
        <v>1070</v>
      </c>
      <c r="L747" s="5">
        <v>0</v>
      </c>
      <c r="M747" s="5">
        <v>-162630</v>
      </c>
      <c r="N747" s="5">
        <v>-959490</v>
      </c>
    </row>
    <row r="748" spans="1:14" x14ac:dyDescent="0.25">
      <c r="A748" s="3" t="s">
        <v>759</v>
      </c>
      <c r="B748" s="4">
        <v>-13.99</v>
      </c>
      <c r="C748" s="4">
        <v>-7.0000000000000007E-2</v>
      </c>
      <c r="D748" s="4">
        <v>-0.05</v>
      </c>
      <c r="E748" s="4">
        <v>-1.9721240829445631E-3</v>
      </c>
      <c r="F748" s="3">
        <v>746</v>
      </c>
      <c r="G748" s="3">
        <v>1</v>
      </c>
      <c r="H748" s="5">
        <v>85780963.319999993</v>
      </c>
      <c r="I748" s="5">
        <v>83853773.319999993</v>
      </c>
      <c r="J748" s="5">
        <v>3706930</v>
      </c>
      <c r="K748" s="5">
        <v>5634120</v>
      </c>
      <c r="L748" s="5">
        <v>73244080</v>
      </c>
      <c r="M748" s="5">
        <v>-5993240</v>
      </c>
      <c r="N748" s="5">
        <v>-3192570</v>
      </c>
    </row>
    <row r="749" spans="1:14" x14ac:dyDescent="0.25">
      <c r="A749" s="3" t="s">
        <v>760</v>
      </c>
      <c r="B749" s="4">
        <v>-2.2799999999999998</v>
      </c>
      <c r="C749" s="4">
        <v>2.9</v>
      </c>
      <c r="D749" s="4">
        <v>-7.05</v>
      </c>
      <c r="E749" s="4">
        <v>-1.9886012751823448E-3</v>
      </c>
      <c r="F749" s="3">
        <v>747</v>
      </c>
      <c r="G749" s="3">
        <v>1</v>
      </c>
      <c r="H749" s="5">
        <v>486343.25219999999</v>
      </c>
      <c r="I749" s="5">
        <v>904233.25219999999</v>
      </c>
      <c r="J749" s="5">
        <v>531080</v>
      </c>
      <c r="K749" s="5">
        <v>113190</v>
      </c>
      <c r="L749" s="5">
        <v>0</v>
      </c>
      <c r="M749" s="5">
        <v>-397240</v>
      </c>
      <c r="N749" s="5">
        <v>-2042570</v>
      </c>
    </row>
    <row r="750" spans="1:14" x14ac:dyDescent="0.25">
      <c r="A750" s="3" t="s">
        <v>761</v>
      </c>
      <c r="B750" s="4">
        <v>-10.19</v>
      </c>
      <c r="C750" s="4">
        <v>0.75</v>
      </c>
      <c r="D750" s="4">
        <v>-0.25</v>
      </c>
      <c r="E750" s="4">
        <v>-1.9933270041985599E-3</v>
      </c>
      <c r="F750" s="3">
        <v>748</v>
      </c>
      <c r="G750" s="3">
        <v>1</v>
      </c>
      <c r="H750" s="5">
        <v>209891536.24000001</v>
      </c>
      <c r="I750" s="5">
        <v>201343536.24000001</v>
      </c>
      <c r="J750" s="5">
        <v>11697000</v>
      </c>
      <c r="K750" s="5">
        <v>20245000</v>
      </c>
      <c r="L750" s="5">
        <v>78056000</v>
      </c>
      <c r="M750" s="5">
        <v>-19767000</v>
      </c>
      <c r="N750" s="5">
        <v>-12536000</v>
      </c>
    </row>
    <row r="751" spans="1:14" x14ac:dyDescent="0.25">
      <c r="A751" s="3" t="s">
        <v>762</v>
      </c>
      <c r="B751" s="4">
        <v>-1.97</v>
      </c>
      <c r="C751" s="4">
        <v>2.76</v>
      </c>
      <c r="D751" s="4">
        <v>-4.16</v>
      </c>
      <c r="E751" s="4">
        <v>-2.02748846909496E-3</v>
      </c>
      <c r="F751" s="3">
        <v>749</v>
      </c>
      <c r="G751" s="3">
        <v>1</v>
      </c>
      <c r="H751" s="5">
        <v>167891394.6753</v>
      </c>
      <c r="I751" s="5">
        <v>186627394.6753</v>
      </c>
      <c r="J751" s="5">
        <v>18884000</v>
      </c>
      <c r="K751" s="5">
        <v>148000</v>
      </c>
      <c r="L751" s="5">
        <v>11995000</v>
      </c>
      <c r="M751" s="5">
        <v>-94576000</v>
      </c>
      <c r="N751" s="5">
        <v>-172535000</v>
      </c>
    </row>
    <row r="752" spans="1:14" x14ac:dyDescent="0.25">
      <c r="A752" s="3" t="s">
        <v>763</v>
      </c>
      <c r="B752" s="4">
        <v>-0.51</v>
      </c>
      <c r="C752" s="4">
        <v>2.94</v>
      </c>
      <c r="D752" s="4">
        <v>-2.41</v>
      </c>
      <c r="E752" s="4">
        <v>-2.0734479235444991E-3</v>
      </c>
      <c r="F752" s="3">
        <v>750</v>
      </c>
      <c r="G752" s="3">
        <v>1</v>
      </c>
      <c r="H752" s="5">
        <v>139131.82620000001</v>
      </c>
      <c r="I752" s="5">
        <v>27579131.826200001</v>
      </c>
      <c r="J752" s="5">
        <v>51887000</v>
      </c>
      <c r="K752" s="5">
        <v>24447000</v>
      </c>
      <c r="L752" s="5">
        <v>27384000</v>
      </c>
      <c r="M752" s="5">
        <v>-53862000</v>
      </c>
      <c r="N752" s="5">
        <v>-167950000</v>
      </c>
    </row>
    <row r="753" spans="1:14" x14ac:dyDescent="0.25">
      <c r="A753" s="3" t="s">
        <v>764</v>
      </c>
      <c r="B753" s="4">
        <v>-15.01</v>
      </c>
      <c r="C753" s="4">
        <v>-0.32</v>
      </c>
      <c r="D753" s="4">
        <v>-0.23</v>
      </c>
      <c r="E753" s="4">
        <v>-2.09788775559922E-3</v>
      </c>
      <c r="F753" s="3">
        <v>751</v>
      </c>
      <c r="G753" s="3">
        <v>1</v>
      </c>
      <c r="H753" s="5">
        <v>264900076.65000001</v>
      </c>
      <c r="I753" s="5">
        <v>274680076.64999998</v>
      </c>
      <c r="J753" s="5">
        <v>13488000</v>
      </c>
      <c r="K753" s="5">
        <v>3708000</v>
      </c>
      <c r="L753" s="5">
        <v>37745000</v>
      </c>
      <c r="M753" s="5">
        <v>-18298000</v>
      </c>
      <c r="N753" s="5">
        <v>-26745000</v>
      </c>
    </row>
    <row r="754" spans="1:14" x14ac:dyDescent="0.25">
      <c r="A754" s="3" t="s">
        <v>765</v>
      </c>
      <c r="B754" s="4">
        <v>-13.3</v>
      </c>
      <c r="C754" s="4">
        <v>0.18</v>
      </c>
      <c r="D754" s="4">
        <v>-2.81</v>
      </c>
      <c r="E754" s="4">
        <v>-2.2092504360730781E-3</v>
      </c>
      <c r="F754" s="3">
        <v>752</v>
      </c>
      <c r="G754" s="3">
        <v>1</v>
      </c>
      <c r="H754" s="5">
        <v>7415055.1982000005</v>
      </c>
      <c r="I754" s="5">
        <v>16292255.1982</v>
      </c>
      <c r="J754" s="5">
        <v>9008200</v>
      </c>
      <c r="K754" s="5">
        <v>131000</v>
      </c>
      <c r="L754" s="5">
        <v>235540</v>
      </c>
      <c r="M754" s="5">
        <v>-1225090</v>
      </c>
      <c r="N754" s="5">
        <v>-2123630</v>
      </c>
    </row>
    <row r="755" spans="1:14" x14ac:dyDescent="0.25">
      <c r="A755" s="3" t="s">
        <v>766</v>
      </c>
      <c r="B755" s="4">
        <v>-10.44</v>
      </c>
      <c r="C755" s="4">
        <v>0.66</v>
      </c>
      <c r="D755" s="4">
        <v>-0.88</v>
      </c>
      <c r="E755" s="4">
        <v>-2.220167999284615E-3</v>
      </c>
      <c r="F755" s="3">
        <v>753</v>
      </c>
      <c r="G755" s="3">
        <v>1</v>
      </c>
      <c r="H755" s="5">
        <v>1156260.8999999999</v>
      </c>
      <c r="I755" s="5">
        <v>1377440.9</v>
      </c>
      <c r="J755" s="5">
        <v>237100</v>
      </c>
      <c r="K755" s="5">
        <v>15920</v>
      </c>
      <c r="L755" s="5">
        <v>26760</v>
      </c>
      <c r="M755" s="5">
        <v>-131950</v>
      </c>
      <c r="N755" s="5">
        <v>-136230</v>
      </c>
    </row>
    <row r="756" spans="1:14" x14ac:dyDescent="0.25">
      <c r="A756" s="3" t="s">
        <v>767</v>
      </c>
      <c r="B756" s="4">
        <v>0.13</v>
      </c>
      <c r="C756" s="4">
        <v>3.04</v>
      </c>
      <c r="D756" s="4">
        <v>-2.62</v>
      </c>
      <c r="E756" s="4">
        <v>-2.2211305761404929E-3</v>
      </c>
      <c r="F756" s="3">
        <v>754</v>
      </c>
      <c r="G756" s="3">
        <v>1</v>
      </c>
      <c r="H756" s="5">
        <v>617.18764999999996</v>
      </c>
      <c r="I756" s="5">
        <v>-9037382.8123499993</v>
      </c>
      <c r="J756" s="5">
        <v>0</v>
      </c>
      <c r="K756" s="5">
        <v>9038000</v>
      </c>
      <c r="L756" s="5">
        <v>5325000</v>
      </c>
      <c r="M756" s="5">
        <v>-68389000</v>
      </c>
      <c r="N756" s="5">
        <v>-72534000</v>
      </c>
    </row>
    <row r="757" spans="1:14" x14ac:dyDescent="0.25">
      <c r="A757" s="3" t="s">
        <v>768</v>
      </c>
      <c r="B757" s="4">
        <v>-14.3</v>
      </c>
      <c r="C757" s="4">
        <v>-0.22</v>
      </c>
      <c r="D757" s="4">
        <v>-0.21</v>
      </c>
      <c r="E757" s="4">
        <v>-2.2445272367921272E-3</v>
      </c>
      <c r="F757" s="3">
        <v>755</v>
      </c>
      <c r="G757" s="3">
        <v>1</v>
      </c>
      <c r="H757" s="5">
        <v>1321371136.5</v>
      </c>
      <c r="I757" s="5">
        <v>1259796136.5</v>
      </c>
      <c r="J757" s="5">
        <v>0</v>
      </c>
      <c r="K757" s="5">
        <v>61575000</v>
      </c>
      <c r="L757" s="5">
        <v>0</v>
      </c>
      <c r="M757" s="5">
        <v>-88096000</v>
      </c>
      <c r="N757" s="5">
        <v>-83724000</v>
      </c>
    </row>
    <row r="758" spans="1:14" x14ac:dyDescent="0.25">
      <c r="A758" s="3" t="s">
        <v>769</v>
      </c>
      <c r="B758" s="4">
        <v>-0.64</v>
      </c>
      <c r="C758" s="4">
        <v>2.72</v>
      </c>
      <c r="D758" s="4">
        <v>-0.45</v>
      </c>
      <c r="E758" s="4">
        <v>-2.2505583946094139E-3</v>
      </c>
      <c r="F758" s="3">
        <v>756</v>
      </c>
      <c r="G758" s="3">
        <v>1</v>
      </c>
      <c r="H758" s="5">
        <v>40278688</v>
      </c>
      <c r="I758" s="5">
        <v>16631688</v>
      </c>
      <c r="J758" s="5">
        <v>0</v>
      </c>
      <c r="K758" s="5">
        <v>23647000</v>
      </c>
      <c r="L758" s="5">
        <v>43206000</v>
      </c>
      <c r="M758" s="5">
        <v>-25954000</v>
      </c>
      <c r="N758" s="5">
        <v>-28719000</v>
      </c>
    </row>
    <row r="759" spans="1:14" x14ac:dyDescent="0.25">
      <c r="A759" s="3" t="s">
        <v>770</v>
      </c>
      <c r="B759" s="4">
        <v>-11.84</v>
      </c>
      <c r="C759" s="4">
        <v>0.35</v>
      </c>
      <c r="D759" s="4">
        <v>-0.89</v>
      </c>
      <c r="E759" s="4">
        <v>-2.2513100457194749E-3</v>
      </c>
      <c r="F759" s="3">
        <v>757</v>
      </c>
      <c r="G759" s="3">
        <v>1</v>
      </c>
      <c r="H759" s="5">
        <v>18880290</v>
      </c>
      <c r="I759" s="5">
        <v>18982800</v>
      </c>
      <c r="J759" s="5">
        <v>218980</v>
      </c>
      <c r="K759" s="5">
        <v>116470</v>
      </c>
      <c r="L759" s="5">
        <v>48320</v>
      </c>
      <c r="M759" s="5">
        <v>-1603070</v>
      </c>
      <c r="N759" s="5">
        <v>-1560540</v>
      </c>
    </row>
    <row r="760" spans="1:14" x14ac:dyDescent="0.25">
      <c r="A760" s="3" t="s">
        <v>771</v>
      </c>
      <c r="B760" s="4">
        <v>-10.68</v>
      </c>
      <c r="C760" s="4">
        <v>0.55000000000000004</v>
      </c>
      <c r="D760" s="4">
        <v>-0.59</v>
      </c>
      <c r="E760" s="4">
        <v>-2.3335149689661231E-3</v>
      </c>
      <c r="F760" s="3">
        <v>758</v>
      </c>
      <c r="G760" s="3">
        <v>1</v>
      </c>
      <c r="H760" s="5">
        <v>4212.7928000000002</v>
      </c>
      <c r="I760" s="5">
        <v>10248402.7928</v>
      </c>
      <c r="J760" s="5">
        <v>10247990</v>
      </c>
      <c r="K760" s="5">
        <v>3800</v>
      </c>
      <c r="L760" s="5">
        <v>4800</v>
      </c>
      <c r="M760" s="5">
        <v>-959550</v>
      </c>
      <c r="N760" s="5">
        <v>-3916290</v>
      </c>
    </row>
    <row r="761" spans="1:14" x14ac:dyDescent="0.25">
      <c r="A761" s="3" t="s">
        <v>772</v>
      </c>
      <c r="B761" s="4">
        <v>0.21</v>
      </c>
      <c r="C761" s="4">
        <v>2.85</v>
      </c>
      <c r="D761" s="4">
        <v>-0.16</v>
      </c>
      <c r="E761" s="4">
        <v>-2.345082216925374E-3</v>
      </c>
      <c r="F761" s="3">
        <v>759</v>
      </c>
      <c r="G761" s="3">
        <v>1</v>
      </c>
      <c r="H761" s="5">
        <v>90.108744999999999</v>
      </c>
      <c r="I761" s="5">
        <v>-166689.89125499999</v>
      </c>
      <c r="J761" s="5">
        <v>60410</v>
      </c>
      <c r="K761" s="5">
        <v>227190</v>
      </c>
      <c r="L761" s="5">
        <v>2180</v>
      </c>
      <c r="M761" s="5">
        <v>-779220</v>
      </c>
      <c r="N761" s="5">
        <v>-750040</v>
      </c>
    </row>
    <row r="762" spans="1:14" x14ac:dyDescent="0.25">
      <c r="A762" s="3" t="s">
        <v>773</v>
      </c>
      <c r="B762" s="4">
        <v>-0.67</v>
      </c>
      <c r="C762" s="4">
        <v>2.5499999999999998</v>
      </c>
      <c r="D762" s="4">
        <v>1.5</v>
      </c>
      <c r="E762" s="4">
        <v>-2.3470219141503231E-3</v>
      </c>
      <c r="F762" s="3">
        <v>760</v>
      </c>
      <c r="G762" s="3">
        <v>1</v>
      </c>
      <c r="H762" s="5">
        <v>2982451.9153200001</v>
      </c>
      <c r="I762" s="5">
        <v>2705451.9153200001</v>
      </c>
      <c r="J762" s="5">
        <v>0</v>
      </c>
      <c r="K762" s="5">
        <v>277000</v>
      </c>
      <c r="L762" s="5">
        <v>3542000</v>
      </c>
      <c r="M762" s="5">
        <v>-4029000</v>
      </c>
      <c r="N762" s="5">
        <v>5603000</v>
      </c>
    </row>
    <row r="763" spans="1:14" x14ac:dyDescent="0.25">
      <c r="A763" s="3" t="s">
        <v>774</v>
      </c>
      <c r="B763" s="4">
        <v>-0.6</v>
      </c>
      <c r="C763" s="4">
        <v>2.91</v>
      </c>
      <c r="D763" s="4">
        <v>-3.69</v>
      </c>
      <c r="E763" s="4">
        <v>-2.3513412952349232E-3</v>
      </c>
      <c r="F763" s="3">
        <v>761</v>
      </c>
      <c r="G763" s="3">
        <v>1</v>
      </c>
      <c r="H763" s="5">
        <v>5270808.01</v>
      </c>
      <c r="I763" s="5">
        <v>10838808.01</v>
      </c>
      <c r="J763" s="5">
        <v>8900000</v>
      </c>
      <c r="K763" s="5">
        <v>3332000</v>
      </c>
      <c r="L763" s="5">
        <v>5683000</v>
      </c>
      <c r="M763" s="5">
        <v>-17944000</v>
      </c>
      <c r="N763" s="5">
        <v>-29734000</v>
      </c>
    </row>
    <row r="764" spans="1:14" x14ac:dyDescent="0.25">
      <c r="A764" s="3" t="s">
        <v>775</v>
      </c>
      <c r="B764" s="4">
        <v>-13.17</v>
      </c>
      <c r="C764" s="4">
        <v>-0.03</v>
      </c>
      <c r="D764" s="4">
        <v>-0.02</v>
      </c>
      <c r="E764" s="4">
        <v>-2.3582774423145658E-3</v>
      </c>
      <c r="F764" s="3">
        <v>762</v>
      </c>
      <c r="G764" s="3">
        <v>1</v>
      </c>
      <c r="H764" s="5">
        <v>1309.122163</v>
      </c>
      <c r="I764" s="5">
        <v>2483769.1221630001</v>
      </c>
      <c r="J764" s="5">
        <v>2482460</v>
      </c>
      <c r="K764" s="5">
        <v>0</v>
      </c>
      <c r="L764" s="5">
        <v>0</v>
      </c>
      <c r="M764" s="5">
        <v>-188540</v>
      </c>
      <c r="N764" s="5">
        <v>-188540</v>
      </c>
    </row>
    <row r="765" spans="1:14" x14ac:dyDescent="0.25">
      <c r="A765" s="3" t="s">
        <v>776</v>
      </c>
      <c r="B765" s="4">
        <v>-13.19</v>
      </c>
      <c r="C765" s="4">
        <v>-0.04</v>
      </c>
      <c r="D765" s="4">
        <v>-0.03</v>
      </c>
      <c r="E765" s="4">
        <v>-2.376721664512377E-3</v>
      </c>
      <c r="F765" s="3">
        <v>763</v>
      </c>
      <c r="G765" s="3">
        <v>1</v>
      </c>
      <c r="H765" s="5">
        <v>2419529.77</v>
      </c>
      <c r="I765" s="5">
        <v>-497059470.23000002</v>
      </c>
      <c r="J765" s="5">
        <v>837000</v>
      </c>
      <c r="K765" s="5">
        <v>500316000</v>
      </c>
      <c r="L765" s="5">
        <v>146035000</v>
      </c>
      <c r="M765" s="5">
        <v>37690000</v>
      </c>
      <c r="N765" s="5">
        <v>-47069000</v>
      </c>
    </row>
    <row r="766" spans="1:14" x14ac:dyDescent="0.25">
      <c r="A766" s="3" t="s">
        <v>777</v>
      </c>
      <c r="B766" s="4">
        <v>-13.18</v>
      </c>
      <c r="C766" s="4">
        <v>-0.04</v>
      </c>
      <c r="D766" s="4">
        <v>-0.04</v>
      </c>
      <c r="E766" s="4">
        <v>-2.3848398967869569E-3</v>
      </c>
      <c r="F766" s="3">
        <v>764</v>
      </c>
      <c r="G766" s="3">
        <v>1</v>
      </c>
      <c r="H766" s="5">
        <v>697274022.32000005</v>
      </c>
      <c r="I766" s="5">
        <v>645793022.32000005</v>
      </c>
      <c r="J766" s="5">
        <v>3663000</v>
      </c>
      <c r="K766" s="5">
        <v>55144000</v>
      </c>
      <c r="L766" s="5">
        <v>283470000</v>
      </c>
      <c r="M766" s="5">
        <v>-49014000</v>
      </c>
      <c r="N766" s="5">
        <v>-42708000</v>
      </c>
    </row>
    <row r="767" spans="1:14" x14ac:dyDescent="0.25">
      <c r="A767" s="3" t="s">
        <v>778</v>
      </c>
      <c r="B767" s="4">
        <v>-16.13</v>
      </c>
      <c r="C767" s="4">
        <v>0.47</v>
      </c>
      <c r="D767" s="4">
        <v>-17.22</v>
      </c>
      <c r="E767" s="4">
        <v>-2.3995179185668362E-3</v>
      </c>
      <c r="F767" s="3">
        <v>765</v>
      </c>
      <c r="G767" s="3">
        <v>1</v>
      </c>
      <c r="H767" s="5">
        <v>6394712.1408500001</v>
      </c>
      <c r="I767" s="5">
        <v>6797082.1408500001</v>
      </c>
      <c r="J767" s="5">
        <v>415320</v>
      </c>
      <c r="K767" s="5">
        <v>12950</v>
      </c>
      <c r="L767" s="5">
        <v>303020</v>
      </c>
      <c r="M767" s="5">
        <v>-421370</v>
      </c>
      <c r="N767" s="5">
        <v>-548820</v>
      </c>
    </row>
    <row r="768" spans="1:14" x14ac:dyDescent="0.25">
      <c r="A768" s="3" t="s">
        <v>779</v>
      </c>
      <c r="B768" s="4">
        <v>-17.100000000000001</v>
      </c>
      <c r="C768" s="4">
        <v>-0.84</v>
      </c>
      <c r="D768" s="4">
        <v>-0.78</v>
      </c>
      <c r="E768" s="4">
        <v>-2.4129077914246729E-3</v>
      </c>
      <c r="F768" s="3">
        <v>766</v>
      </c>
      <c r="G768" s="3">
        <v>1</v>
      </c>
      <c r="H768" s="5">
        <v>70466116.920000002</v>
      </c>
      <c r="I768" s="5">
        <v>65785276.920000002</v>
      </c>
      <c r="J768" s="5">
        <v>0</v>
      </c>
      <c r="K768" s="5">
        <v>4680840</v>
      </c>
      <c r="L768" s="5">
        <v>740</v>
      </c>
      <c r="M768" s="5">
        <v>-3847600</v>
      </c>
      <c r="N768" s="5">
        <v>-3999910</v>
      </c>
    </row>
    <row r="769" spans="1:14" x14ac:dyDescent="0.25">
      <c r="A769" s="3" t="s">
        <v>780</v>
      </c>
      <c r="B769" s="4">
        <v>-15.37</v>
      </c>
      <c r="C769" s="4">
        <v>-0.49</v>
      </c>
      <c r="D769" s="4">
        <v>-0.48</v>
      </c>
      <c r="E769" s="4">
        <v>-2.4144933341878651E-3</v>
      </c>
      <c r="F769" s="3">
        <v>767</v>
      </c>
      <c r="G769" s="3">
        <v>1</v>
      </c>
      <c r="H769" s="5">
        <v>31593490.559999999</v>
      </c>
      <c r="I769" s="5">
        <v>27559490.559999999</v>
      </c>
      <c r="J769" s="5">
        <v>0</v>
      </c>
      <c r="K769" s="5">
        <v>4034000</v>
      </c>
      <c r="L769" s="5">
        <v>0</v>
      </c>
      <c r="M769" s="5">
        <v>-1793000</v>
      </c>
      <c r="N769" s="5">
        <v>-2055000</v>
      </c>
    </row>
    <row r="770" spans="1:14" x14ac:dyDescent="0.25">
      <c r="A770" s="3" t="s">
        <v>781</v>
      </c>
      <c r="B770" s="4">
        <v>-14.22</v>
      </c>
      <c r="C770" s="4">
        <v>-0.26</v>
      </c>
      <c r="D770" s="4">
        <v>-0.24</v>
      </c>
      <c r="E770" s="4">
        <v>-2.4154023901590978E-3</v>
      </c>
      <c r="F770" s="3">
        <v>768</v>
      </c>
      <c r="G770" s="3">
        <v>1</v>
      </c>
      <c r="H770" s="5">
        <v>1591825963.1199999</v>
      </c>
      <c r="I770" s="5">
        <v>1444259963.1199999</v>
      </c>
      <c r="J770" s="5">
        <v>0</v>
      </c>
      <c r="K770" s="5">
        <v>147566000</v>
      </c>
      <c r="L770" s="5">
        <v>0</v>
      </c>
      <c r="M770" s="5">
        <v>-101552000</v>
      </c>
      <c r="N770" s="5">
        <v>-88853000</v>
      </c>
    </row>
    <row r="771" spans="1:14" x14ac:dyDescent="0.25">
      <c r="A771" s="3" t="s">
        <v>782</v>
      </c>
      <c r="B771" s="4">
        <v>-14.11</v>
      </c>
      <c r="C771" s="4">
        <v>-0.24</v>
      </c>
      <c r="D771" s="4">
        <v>-0.23</v>
      </c>
      <c r="E771" s="4">
        <v>-2.4237674122205271E-3</v>
      </c>
      <c r="F771" s="3">
        <v>769</v>
      </c>
      <c r="G771" s="3">
        <v>1</v>
      </c>
      <c r="H771" s="5">
        <v>1007991336.55</v>
      </c>
      <c r="I771" s="5">
        <v>958640336.54999995</v>
      </c>
      <c r="J771" s="5">
        <v>0</v>
      </c>
      <c r="K771" s="5">
        <v>49351000</v>
      </c>
      <c r="L771" s="5">
        <v>0</v>
      </c>
      <c r="M771" s="5">
        <v>-67950000</v>
      </c>
      <c r="N771" s="5">
        <v>-61922000</v>
      </c>
    </row>
    <row r="772" spans="1:14" x14ac:dyDescent="0.25">
      <c r="A772" s="3" t="s">
        <v>783</v>
      </c>
      <c r="B772" s="4">
        <v>-1.25</v>
      </c>
      <c r="C772" s="4">
        <v>2.54</v>
      </c>
      <c r="D772" s="4">
        <v>-0.72</v>
      </c>
      <c r="E772" s="4">
        <v>-2.4451854909405941E-3</v>
      </c>
      <c r="F772" s="3">
        <v>770</v>
      </c>
      <c r="G772" s="3">
        <v>1</v>
      </c>
      <c r="H772" s="5">
        <v>2936615.7</v>
      </c>
      <c r="I772" s="5">
        <v>10424825.699999999</v>
      </c>
      <c r="J772" s="5">
        <v>7942520</v>
      </c>
      <c r="K772" s="5">
        <v>454310</v>
      </c>
      <c r="L772" s="5">
        <v>19650800</v>
      </c>
      <c r="M772" s="5">
        <v>-8349230</v>
      </c>
      <c r="N772" s="5">
        <v>-19844150</v>
      </c>
    </row>
    <row r="773" spans="1:14" x14ac:dyDescent="0.25">
      <c r="A773" s="3" t="s">
        <v>784</v>
      </c>
      <c r="B773" s="4">
        <v>-13.08</v>
      </c>
      <c r="C773" s="4">
        <v>0.19</v>
      </c>
      <c r="D773" s="4">
        <v>-3.49</v>
      </c>
      <c r="E773" s="4">
        <v>-2.4476931616647241E-3</v>
      </c>
      <c r="F773" s="3">
        <v>771</v>
      </c>
      <c r="G773" s="3">
        <v>1</v>
      </c>
      <c r="H773" s="5">
        <v>12475.6158</v>
      </c>
      <c r="I773" s="5">
        <v>10674105.615800001</v>
      </c>
      <c r="J773" s="5">
        <v>10709440</v>
      </c>
      <c r="K773" s="5">
        <v>47810</v>
      </c>
      <c r="L773" s="5">
        <v>0</v>
      </c>
      <c r="M773" s="5">
        <v>-816180</v>
      </c>
      <c r="N773" s="5">
        <v>-2777490</v>
      </c>
    </row>
    <row r="774" spans="1:14" x14ac:dyDescent="0.25">
      <c r="A774" s="3" t="s">
        <v>785</v>
      </c>
      <c r="B774" s="4">
        <v>-3.47</v>
      </c>
      <c r="C774" s="4">
        <v>2.14</v>
      </c>
      <c r="D774" s="4">
        <v>-1.95</v>
      </c>
      <c r="E774" s="4">
        <v>-2.464196375800943E-3</v>
      </c>
      <c r="F774" s="3">
        <v>772</v>
      </c>
      <c r="G774" s="3">
        <v>1</v>
      </c>
      <c r="H774" s="5">
        <v>164280272.63999999</v>
      </c>
      <c r="I774" s="5">
        <v>692051272.63999999</v>
      </c>
      <c r="J774" s="5">
        <v>584070000</v>
      </c>
      <c r="K774" s="5">
        <v>56299000</v>
      </c>
      <c r="L774" s="5">
        <v>144584000</v>
      </c>
      <c r="M774" s="5">
        <v>-199348000</v>
      </c>
      <c r="N774" s="5">
        <v>-854014000</v>
      </c>
    </row>
    <row r="775" spans="1:14" x14ac:dyDescent="0.25">
      <c r="A775" s="3" t="s">
        <v>786</v>
      </c>
      <c r="B775" s="4">
        <v>-11.1</v>
      </c>
      <c r="C775" s="4">
        <v>0.49</v>
      </c>
      <c r="D775" s="4">
        <v>-1.75</v>
      </c>
      <c r="E775" s="4">
        <v>-2.4706970547662978E-3</v>
      </c>
      <c r="F775" s="3">
        <v>773</v>
      </c>
      <c r="G775" s="3">
        <v>1</v>
      </c>
      <c r="H775" s="5">
        <v>21676677.57</v>
      </c>
      <c r="I775" s="5">
        <v>23292677.57</v>
      </c>
      <c r="J775" s="5">
        <v>2004000</v>
      </c>
      <c r="K775" s="5">
        <v>388000</v>
      </c>
      <c r="L775" s="5">
        <v>7000</v>
      </c>
      <c r="M775" s="5">
        <v>-2099000</v>
      </c>
      <c r="N775" s="5">
        <v>-2417000</v>
      </c>
    </row>
    <row r="776" spans="1:14" x14ac:dyDescent="0.25">
      <c r="A776" s="3" t="s">
        <v>787</v>
      </c>
      <c r="B776" s="4">
        <v>-10.51</v>
      </c>
      <c r="C776" s="4">
        <v>0.55000000000000004</v>
      </c>
      <c r="D776" s="4">
        <v>-0.76</v>
      </c>
      <c r="E776" s="4">
        <v>-2.4715249176340392E-3</v>
      </c>
      <c r="F776" s="3">
        <v>774</v>
      </c>
      <c r="G776" s="3">
        <v>1</v>
      </c>
      <c r="H776" s="5">
        <v>390476168.89999998</v>
      </c>
      <c r="I776" s="5">
        <v>488868168.89999998</v>
      </c>
      <c r="J776" s="5">
        <v>148629000</v>
      </c>
      <c r="K776" s="5">
        <v>50237000</v>
      </c>
      <c r="L776" s="5">
        <v>1554000</v>
      </c>
      <c r="M776" s="5">
        <v>-46532000</v>
      </c>
      <c r="N776" s="5">
        <v>-61195000</v>
      </c>
    </row>
    <row r="777" spans="1:14" x14ac:dyDescent="0.25">
      <c r="A777" s="3" t="s">
        <v>788</v>
      </c>
      <c r="B777" s="4">
        <v>-5.04</v>
      </c>
      <c r="C777" s="4">
        <v>1.7</v>
      </c>
      <c r="D777" s="4">
        <v>-0.52</v>
      </c>
      <c r="E777" s="4">
        <v>-2.4879589894125972E-3</v>
      </c>
      <c r="F777" s="3">
        <v>775</v>
      </c>
      <c r="G777" s="3">
        <v>1</v>
      </c>
      <c r="H777" s="5">
        <v>13862.576375000001</v>
      </c>
      <c r="I777" s="5">
        <v>9072952.5763750002</v>
      </c>
      <c r="J777" s="5">
        <v>9060230</v>
      </c>
      <c r="K777" s="5">
        <v>1140</v>
      </c>
      <c r="L777" s="5">
        <v>2567440</v>
      </c>
      <c r="M777" s="5">
        <v>-1800580</v>
      </c>
      <c r="N777" s="5">
        <v>-6585510</v>
      </c>
    </row>
    <row r="778" spans="1:14" x14ac:dyDescent="0.25">
      <c r="A778" s="3" t="s">
        <v>789</v>
      </c>
      <c r="B778" s="4">
        <v>-14.11</v>
      </c>
      <c r="C778" s="4">
        <v>-0.28000000000000003</v>
      </c>
      <c r="D778" s="4">
        <v>-0.14000000000000001</v>
      </c>
      <c r="E778" s="4">
        <v>-2.521980601080808E-3</v>
      </c>
      <c r="F778" s="3">
        <v>776</v>
      </c>
      <c r="G778" s="3">
        <v>1</v>
      </c>
      <c r="H778" s="5">
        <v>508361972.04000002</v>
      </c>
      <c r="I778" s="5">
        <v>596065972.03999996</v>
      </c>
      <c r="J778" s="5">
        <v>178773000</v>
      </c>
      <c r="K778" s="5">
        <v>91069000</v>
      </c>
      <c r="L778" s="5">
        <v>182603000</v>
      </c>
      <c r="M778" s="5">
        <v>-42233000</v>
      </c>
      <c r="N778" s="5">
        <v>-71597000</v>
      </c>
    </row>
    <row r="779" spans="1:14" x14ac:dyDescent="0.25">
      <c r="A779" s="3" t="s">
        <v>790</v>
      </c>
      <c r="B779" s="4">
        <v>-3.75</v>
      </c>
      <c r="C779" s="4">
        <v>1.97</v>
      </c>
      <c r="D779" s="4">
        <v>-0.61</v>
      </c>
      <c r="E779" s="4">
        <v>-2.523600374142771E-3</v>
      </c>
      <c r="F779" s="3">
        <v>777</v>
      </c>
      <c r="G779" s="3">
        <v>1</v>
      </c>
      <c r="H779" s="5">
        <v>166246.9227</v>
      </c>
      <c r="I779" s="5">
        <v>2060966.9227</v>
      </c>
      <c r="J779" s="5">
        <v>1912220</v>
      </c>
      <c r="K779" s="5">
        <v>17500</v>
      </c>
      <c r="L779" s="5">
        <v>3677480</v>
      </c>
      <c r="M779" s="5">
        <v>-549010</v>
      </c>
      <c r="N779" s="5">
        <v>-1312040</v>
      </c>
    </row>
    <row r="780" spans="1:14" x14ac:dyDescent="0.25">
      <c r="A780" s="3" t="s">
        <v>791</v>
      </c>
      <c r="B780" s="4">
        <v>-7.4</v>
      </c>
      <c r="C780" s="4">
        <v>1.1499999999999999</v>
      </c>
      <c r="D780" s="4">
        <v>-0.08</v>
      </c>
      <c r="E780" s="4">
        <v>-2.5315776612872469E-3</v>
      </c>
      <c r="F780" s="3">
        <v>778</v>
      </c>
      <c r="G780" s="3">
        <v>1</v>
      </c>
      <c r="H780" s="5">
        <v>37440515</v>
      </c>
      <c r="I780" s="5">
        <v>86675865</v>
      </c>
      <c r="J780" s="5">
        <v>50499810</v>
      </c>
      <c r="K780" s="5">
        <v>1264460</v>
      </c>
      <c r="L780" s="5">
        <v>64997740</v>
      </c>
      <c r="M780" s="5">
        <v>-11714380</v>
      </c>
      <c r="N780" s="5">
        <v>-11776440</v>
      </c>
    </row>
    <row r="781" spans="1:14" x14ac:dyDescent="0.25">
      <c r="A781" s="3" t="s">
        <v>792</v>
      </c>
      <c r="B781" s="4">
        <v>-17.54</v>
      </c>
      <c r="C781" s="4">
        <v>-1.02</v>
      </c>
      <c r="D781" s="4">
        <v>-0.12</v>
      </c>
      <c r="E781" s="4">
        <v>-2.53335191289812E-3</v>
      </c>
      <c r="F781" s="3">
        <v>779</v>
      </c>
      <c r="G781" s="3">
        <v>1</v>
      </c>
      <c r="H781" s="5">
        <v>65878299.802000001</v>
      </c>
      <c r="I781" s="5">
        <v>88232869.802000001</v>
      </c>
      <c r="J781" s="5">
        <v>23382910</v>
      </c>
      <c r="K781" s="5">
        <v>1028340</v>
      </c>
      <c r="L781" s="5">
        <v>18128830</v>
      </c>
      <c r="M781" s="5">
        <v>-5030460</v>
      </c>
      <c r="N781" s="5">
        <v>-6856230</v>
      </c>
    </row>
    <row r="782" spans="1:14" x14ac:dyDescent="0.25">
      <c r="A782" s="3" t="s">
        <v>793</v>
      </c>
      <c r="B782" s="4">
        <v>-15.37</v>
      </c>
      <c r="C782" s="4">
        <v>-0.54</v>
      </c>
      <c r="D782" s="4">
        <v>-0.35</v>
      </c>
      <c r="E782" s="4">
        <v>-2.5338840237525799E-3</v>
      </c>
      <c r="F782" s="3">
        <v>780</v>
      </c>
      <c r="G782" s="3">
        <v>1</v>
      </c>
      <c r="H782" s="5">
        <v>1495783842.28</v>
      </c>
      <c r="I782" s="5">
        <v>1450241842.28</v>
      </c>
      <c r="J782" s="5">
        <v>0</v>
      </c>
      <c r="K782" s="5">
        <v>45542000</v>
      </c>
      <c r="L782" s="5">
        <v>111101000</v>
      </c>
      <c r="M782" s="5">
        <v>-94341000</v>
      </c>
      <c r="N782" s="5">
        <v>-97045000</v>
      </c>
    </row>
    <row r="783" spans="1:14" x14ac:dyDescent="0.25">
      <c r="A783" s="3" t="s">
        <v>794</v>
      </c>
      <c r="B783" s="4">
        <v>-12.24</v>
      </c>
      <c r="C783" s="4">
        <v>0.1</v>
      </c>
      <c r="D783" s="4">
        <v>-0.02</v>
      </c>
      <c r="E783" s="4">
        <v>-2.5582566809548152E-3</v>
      </c>
      <c r="F783" s="3">
        <v>781</v>
      </c>
      <c r="G783" s="3">
        <v>1</v>
      </c>
      <c r="H783" s="5">
        <v>37703346.600000001</v>
      </c>
      <c r="I783" s="5">
        <v>-233604653.40000001</v>
      </c>
      <c r="J783" s="5">
        <v>190981000</v>
      </c>
      <c r="K783" s="5">
        <v>462289000</v>
      </c>
      <c r="L783" s="5">
        <v>14401249000</v>
      </c>
      <c r="M783" s="5">
        <v>19081000</v>
      </c>
      <c r="N783" s="5">
        <v>-64743000</v>
      </c>
    </row>
    <row r="784" spans="1:14" x14ac:dyDescent="0.25">
      <c r="A784" s="3" t="s">
        <v>795</v>
      </c>
      <c r="B784" s="4">
        <v>-13.99</v>
      </c>
      <c r="C784" s="4">
        <v>-0.26</v>
      </c>
      <c r="D784" s="4">
        <v>-0.25</v>
      </c>
      <c r="E784" s="4">
        <v>-2.5596831477693841E-3</v>
      </c>
      <c r="F784" s="3">
        <v>782</v>
      </c>
      <c r="G784" s="3">
        <v>1</v>
      </c>
      <c r="H784" s="5">
        <v>1206778832.54</v>
      </c>
      <c r="I784" s="5">
        <v>1149973832.54</v>
      </c>
      <c r="J784" s="5">
        <v>0</v>
      </c>
      <c r="K784" s="5">
        <v>56805000</v>
      </c>
      <c r="L784" s="5">
        <v>0</v>
      </c>
      <c r="M784" s="5">
        <v>-82216000</v>
      </c>
      <c r="N784" s="5">
        <v>-78307000</v>
      </c>
    </row>
    <row r="785" spans="1:14" x14ac:dyDescent="0.25">
      <c r="A785" s="3" t="s">
        <v>796</v>
      </c>
      <c r="B785" s="4">
        <v>-14.11</v>
      </c>
      <c r="C785" s="4">
        <v>-0.3</v>
      </c>
      <c r="D785" s="4">
        <v>-0.16</v>
      </c>
      <c r="E785" s="4">
        <v>-2.583625868264734E-3</v>
      </c>
      <c r="F785" s="3">
        <v>783</v>
      </c>
      <c r="G785" s="3">
        <v>1</v>
      </c>
      <c r="H785" s="5">
        <v>11181648</v>
      </c>
      <c r="I785" s="5">
        <v>109312648</v>
      </c>
      <c r="J785" s="5">
        <v>124242000</v>
      </c>
      <c r="K785" s="5">
        <v>26111000</v>
      </c>
      <c r="L785" s="5">
        <v>190288000</v>
      </c>
      <c r="M785" s="5">
        <v>-7747000</v>
      </c>
      <c r="N785" s="5">
        <v>-66717000</v>
      </c>
    </row>
    <row r="786" spans="1:14" x14ac:dyDescent="0.25">
      <c r="A786" s="3" t="s">
        <v>797</v>
      </c>
      <c r="B786" s="4">
        <v>-13.5</v>
      </c>
      <c r="C786" s="4">
        <v>-0.18</v>
      </c>
      <c r="D786" s="4">
        <v>-0.12</v>
      </c>
      <c r="E786" s="4">
        <v>-2.606728025302939E-3</v>
      </c>
      <c r="F786" s="3">
        <v>784</v>
      </c>
      <c r="G786" s="3">
        <v>1</v>
      </c>
      <c r="H786" s="5">
        <v>10977242.619999999</v>
      </c>
      <c r="I786" s="5">
        <v>7491242.6199999992</v>
      </c>
      <c r="J786" s="5">
        <v>3254000</v>
      </c>
      <c r="K786" s="5">
        <v>6740000</v>
      </c>
      <c r="L786" s="5">
        <v>14801000</v>
      </c>
      <c r="M786" s="5">
        <v>-555000</v>
      </c>
      <c r="N786" s="5">
        <v>-2760000</v>
      </c>
    </row>
    <row r="787" spans="1:14" x14ac:dyDescent="0.25">
      <c r="A787" s="3" t="s">
        <v>798</v>
      </c>
      <c r="B787" s="4">
        <v>-12.57</v>
      </c>
      <c r="C787" s="4">
        <v>0.09</v>
      </c>
      <c r="D787" s="4">
        <v>-1.43</v>
      </c>
      <c r="E787" s="4">
        <v>-2.654899247394045E-3</v>
      </c>
      <c r="F787" s="3">
        <v>785</v>
      </c>
      <c r="G787" s="3">
        <v>1</v>
      </c>
      <c r="H787" s="5">
        <v>14180.97</v>
      </c>
      <c r="I787" s="5">
        <v>5398140.9699999997</v>
      </c>
      <c r="J787" s="5">
        <v>5585620</v>
      </c>
      <c r="K787" s="5">
        <v>201660</v>
      </c>
      <c r="L787" s="5">
        <v>123590</v>
      </c>
      <c r="M787" s="5">
        <v>-429590</v>
      </c>
      <c r="N787" s="5">
        <v>-672000</v>
      </c>
    </row>
    <row r="788" spans="1:14" x14ac:dyDescent="0.25">
      <c r="A788" s="3" t="s">
        <v>799</v>
      </c>
      <c r="B788" s="4">
        <v>-12.04</v>
      </c>
      <c r="C788" s="4">
        <v>0.25</v>
      </c>
      <c r="D788" s="4">
        <v>-2.2000000000000002</v>
      </c>
      <c r="E788" s="4">
        <v>-2.6691644835757748E-3</v>
      </c>
      <c r="F788" s="3">
        <v>786</v>
      </c>
      <c r="G788" s="3">
        <v>1</v>
      </c>
      <c r="H788" s="5">
        <v>28081755.842399999</v>
      </c>
      <c r="I788" s="5">
        <v>31770735.842399999</v>
      </c>
      <c r="J788" s="5">
        <v>3966350</v>
      </c>
      <c r="K788" s="5">
        <v>277370</v>
      </c>
      <c r="L788" s="5">
        <v>9420</v>
      </c>
      <c r="M788" s="5">
        <v>-2638680</v>
      </c>
      <c r="N788" s="5">
        <v>-3181870</v>
      </c>
    </row>
    <row r="789" spans="1:14" x14ac:dyDescent="0.25">
      <c r="A789" s="3" t="s">
        <v>800</v>
      </c>
      <c r="B789" s="4">
        <v>-14.11</v>
      </c>
      <c r="C789" s="4">
        <v>-0.34</v>
      </c>
      <c r="D789" s="4">
        <v>-0.31</v>
      </c>
      <c r="E789" s="4">
        <v>-2.7281356949851541E-3</v>
      </c>
      <c r="F789" s="3">
        <v>787</v>
      </c>
      <c r="G789" s="3">
        <v>1</v>
      </c>
      <c r="H789" s="5">
        <v>4332908629.1000004</v>
      </c>
      <c r="I789" s="5">
        <v>4027967629.0999999</v>
      </c>
      <c r="J789" s="5">
        <v>35297000</v>
      </c>
      <c r="K789" s="5">
        <v>340238000</v>
      </c>
      <c r="L789" s="5">
        <v>0</v>
      </c>
      <c r="M789" s="5">
        <v>-285405000</v>
      </c>
      <c r="N789" s="5">
        <v>-252060000</v>
      </c>
    </row>
    <row r="790" spans="1:14" x14ac:dyDescent="0.25">
      <c r="A790" s="3" t="s">
        <v>801</v>
      </c>
      <c r="B790" s="4">
        <v>-12.65</v>
      </c>
      <c r="C790" s="4">
        <v>-7.0000000000000007E-2</v>
      </c>
      <c r="D790" s="4">
        <v>-0.06</v>
      </c>
      <c r="E790" s="4">
        <v>-2.8034066729304488E-3</v>
      </c>
      <c r="F790" s="3">
        <v>788</v>
      </c>
      <c r="G790" s="3">
        <v>1</v>
      </c>
      <c r="H790" s="5">
        <v>1654986887.28</v>
      </c>
      <c r="I790" s="5">
        <v>1224381887.28</v>
      </c>
      <c r="J790" s="5">
        <v>0</v>
      </c>
      <c r="K790" s="5">
        <v>430605000</v>
      </c>
      <c r="L790" s="5">
        <v>10588000</v>
      </c>
      <c r="M790" s="5">
        <v>-96787000</v>
      </c>
      <c r="N790" s="5">
        <v>-68994000</v>
      </c>
    </row>
    <row r="791" spans="1:14" x14ac:dyDescent="0.25">
      <c r="A791" s="3" t="s">
        <v>802</v>
      </c>
      <c r="B791" s="4">
        <v>-13.88</v>
      </c>
      <c r="C791" s="4">
        <v>-0.33</v>
      </c>
      <c r="D791" s="4">
        <v>-0.13</v>
      </c>
      <c r="E791" s="4">
        <v>-2.8068713406083721E-3</v>
      </c>
      <c r="F791" s="3">
        <v>789</v>
      </c>
      <c r="G791" s="3">
        <v>1</v>
      </c>
      <c r="H791" s="5">
        <v>137605322.34</v>
      </c>
      <c r="I791" s="5">
        <v>86156322.340000004</v>
      </c>
      <c r="J791" s="5">
        <v>42573000</v>
      </c>
      <c r="K791" s="5">
        <v>94022000</v>
      </c>
      <c r="L791" s="5">
        <v>484182000</v>
      </c>
      <c r="M791" s="5">
        <v>-6205000</v>
      </c>
      <c r="N791" s="5">
        <v>-32878000</v>
      </c>
    </row>
    <row r="792" spans="1:14" x14ac:dyDescent="0.25">
      <c r="A792" s="3" t="s">
        <v>803</v>
      </c>
      <c r="B792" s="4">
        <v>-13.57</v>
      </c>
      <c r="C792" s="4">
        <v>-0.27</v>
      </c>
      <c r="D792" s="4">
        <v>-0.17</v>
      </c>
      <c r="E792" s="4">
        <v>-2.8330911814410469E-3</v>
      </c>
      <c r="F792" s="3">
        <v>790</v>
      </c>
      <c r="G792" s="3">
        <v>1</v>
      </c>
      <c r="H792" s="5">
        <v>79905500.519999996</v>
      </c>
      <c r="I792" s="5">
        <v>94262970.519999996</v>
      </c>
      <c r="J792" s="5">
        <v>15708470</v>
      </c>
      <c r="K792" s="5">
        <v>1351000</v>
      </c>
      <c r="L792" s="5">
        <v>6220</v>
      </c>
      <c r="M792" s="5">
        <v>-6946620</v>
      </c>
      <c r="N792" s="5">
        <v>-9050420</v>
      </c>
    </row>
    <row r="793" spans="1:14" x14ac:dyDescent="0.25">
      <c r="A793" s="3" t="s">
        <v>804</v>
      </c>
      <c r="B793" s="4">
        <v>-14.26</v>
      </c>
      <c r="C793" s="4">
        <v>-0.41</v>
      </c>
      <c r="D793" s="4">
        <v>-0.33</v>
      </c>
      <c r="E793" s="4">
        <v>-2.8414109117852089E-3</v>
      </c>
      <c r="F793" s="3">
        <v>791</v>
      </c>
      <c r="G793" s="3">
        <v>1</v>
      </c>
      <c r="H793" s="5">
        <v>487837203.81</v>
      </c>
      <c r="I793" s="5">
        <v>442777203.81</v>
      </c>
      <c r="J793" s="5">
        <v>9518000</v>
      </c>
      <c r="K793" s="5">
        <v>54578000</v>
      </c>
      <c r="L793" s="5">
        <v>108272000</v>
      </c>
      <c r="M793" s="5">
        <v>-31040000</v>
      </c>
      <c r="N793" s="5">
        <v>-52520000</v>
      </c>
    </row>
    <row r="794" spans="1:14" x14ac:dyDescent="0.25">
      <c r="A794" s="3" t="s">
        <v>805</v>
      </c>
      <c r="B794" s="4">
        <v>-1.69</v>
      </c>
      <c r="C794" s="4">
        <v>5.94</v>
      </c>
      <c r="D794" s="4">
        <v>-55.12</v>
      </c>
      <c r="E794" s="4">
        <v>-2.8429386369853908E-3</v>
      </c>
      <c r="F794" s="3">
        <v>792</v>
      </c>
      <c r="G794" s="3">
        <v>1</v>
      </c>
      <c r="H794" s="5">
        <v>514555.48440000002</v>
      </c>
      <c r="I794" s="5">
        <v>706385.48439999996</v>
      </c>
      <c r="J794" s="5">
        <v>193000</v>
      </c>
      <c r="K794" s="5">
        <v>1170</v>
      </c>
      <c r="L794" s="5">
        <v>1270</v>
      </c>
      <c r="M794" s="5">
        <v>-417180</v>
      </c>
      <c r="N794" s="5">
        <v>-4801180</v>
      </c>
    </row>
    <row r="795" spans="1:14" x14ac:dyDescent="0.25">
      <c r="A795" s="3" t="s">
        <v>806</v>
      </c>
      <c r="B795" s="4">
        <v>-11.93</v>
      </c>
      <c r="C795" s="4">
        <v>0.14000000000000001</v>
      </c>
      <c r="D795" s="4">
        <v>-1.24</v>
      </c>
      <c r="E795" s="4">
        <v>-2.8698888719621012E-3</v>
      </c>
      <c r="F795" s="3">
        <v>793</v>
      </c>
      <c r="G795" s="3">
        <v>1</v>
      </c>
      <c r="H795" s="5">
        <v>3434928.75</v>
      </c>
      <c r="I795" s="5">
        <v>12095428.75</v>
      </c>
      <c r="J795" s="5">
        <v>9197600</v>
      </c>
      <c r="K795" s="5">
        <v>537100</v>
      </c>
      <c r="L795" s="5">
        <v>4312400</v>
      </c>
      <c r="M795" s="5">
        <v>-1014000</v>
      </c>
      <c r="N795" s="5">
        <v>-1802800</v>
      </c>
    </row>
    <row r="796" spans="1:14" x14ac:dyDescent="0.25">
      <c r="A796" s="3" t="s">
        <v>807</v>
      </c>
      <c r="B796" s="4">
        <v>-10.7</v>
      </c>
      <c r="C796" s="4">
        <v>0.46</v>
      </c>
      <c r="D796" s="4">
        <v>-2.69</v>
      </c>
      <c r="E796" s="4">
        <v>-2.9862746019783219E-3</v>
      </c>
      <c r="F796" s="3">
        <v>794</v>
      </c>
      <c r="G796" s="3">
        <v>1</v>
      </c>
      <c r="H796" s="5">
        <v>363017952.30000001</v>
      </c>
      <c r="I796" s="5">
        <v>454123952.30000001</v>
      </c>
      <c r="J796" s="5">
        <v>106226000</v>
      </c>
      <c r="K796" s="5">
        <v>15120000</v>
      </c>
      <c r="L796" s="5">
        <v>0</v>
      </c>
      <c r="M796" s="5">
        <v>-42433000</v>
      </c>
      <c r="N796" s="5">
        <v>-47047000</v>
      </c>
    </row>
    <row r="797" spans="1:14" x14ac:dyDescent="0.25">
      <c r="A797" s="3" t="s">
        <v>808</v>
      </c>
      <c r="B797" s="4">
        <v>-13.67</v>
      </c>
      <c r="C797" s="4">
        <v>-0.34</v>
      </c>
      <c r="D797" s="4">
        <v>-0.3</v>
      </c>
      <c r="E797" s="4">
        <v>-2.998531719079055E-3</v>
      </c>
      <c r="F797" s="3">
        <v>795</v>
      </c>
      <c r="G797" s="3">
        <v>1</v>
      </c>
      <c r="H797" s="5">
        <v>3101865.9183</v>
      </c>
      <c r="I797" s="5">
        <v>2821095.9183</v>
      </c>
      <c r="J797" s="5">
        <v>116700</v>
      </c>
      <c r="K797" s="5">
        <v>397470</v>
      </c>
      <c r="L797" s="5">
        <v>22010</v>
      </c>
      <c r="M797" s="5">
        <v>-206430</v>
      </c>
      <c r="N797" s="5">
        <v>-394090</v>
      </c>
    </row>
    <row r="798" spans="1:14" x14ac:dyDescent="0.25">
      <c r="A798" s="3" t="s">
        <v>809</v>
      </c>
      <c r="B798" s="4">
        <v>-11.49</v>
      </c>
      <c r="C798" s="4">
        <v>0.1</v>
      </c>
      <c r="D798" s="4">
        <v>7.0000000000000007E-2</v>
      </c>
      <c r="E798" s="4">
        <v>-3.00508586903807E-3</v>
      </c>
      <c r="F798" s="3">
        <v>796</v>
      </c>
      <c r="G798" s="3">
        <v>1</v>
      </c>
      <c r="H798" s="5">
        <v>140171716.22999999</v>
      </c>
      <c r="I798" s="5">
        <v>-983120283.76999998</v>
      </c>
      <c r="J798" s="5">
        <v>0</v>
      </c>
      <c r="K798" s="5">
        <v>1123292000</v>
      </c>
      <c r="L798" s="5">
        <v>922201000</v>
      </c>
      <c r="M798" s="5">
        <v>85568000</v>
      </c>
      <c r="N798" s="5">
        <v>98589000</v>
      </c>
    </row>
    <row r="799" spans="1:14" x14ac:dyDescent="0.25">
      <c r="A799" s="3" t="s">
        <v>810</v>
      </c>
      <c r="B799" s="4">
        <v>-13.77</v>
      </c>
      <c r="C799" s="4">
        <v>-0.38</v>
      </c>
      <c r="D799" s="4">
        <v>-0.09</v>
      </c>
      <c r="E799" s="4">
        <v>-3.0117045320384901E-3</v>
      </c>
      <c r="F799" s="3">
        <v>797</v>
      </c>
      <c r="G799" s="3">
        <v>1</v>
      </c>
      <c r="H799" s="5">
        <v>310724167.92000002</v>
      </c>
      <c r="I799" s="5">
        <v>249639167.91999999</v>
      </c>
      <c r="J799" s="5">
        <v>0</v>
      </c>
      <c r="K799" s="5">
        <v>61085000</v>
      </c>
      <c r="L799" s="5">
        <v>753079000</v>
      </c>
      <c r="M799" s="5">
        <v>-18130000</v>
      </c>
      <c r="N799" s="5">
        <v>-43170000</v>
      </c>
    </row>
    <row r="800" spans="1:14" x14ac:dyDescent="0.25">
      <c r="A800" s="3" t="s">
        <v>811</v>
      </c>
      <c r="B800" s="4">
        <v>-8.33</v>
      </c>
      <c r="C800" s="4">
        <v>0.85</v>
      </c>
      <c r="D800" s="4">
        <v>-1.08</v>
      </c>
      <c r="E800" s="4">
        <v>-3.0156923996433709E-3</v>
      </c>
      <c r="F800" s="3">
        <v>798</v>
      </c>
      <c r="G800" s="3">
        <v>1</v>
      </c>
      <c r="H800" s="5">
        <v>2117675134.8499999</v>
      </c>
      <c r="I800" s="5">
        <v>2721776134.8499999</v>
      </c>
      <c r="J800" s="5">
        <v>747529000</v>
      </c>
      <c r="K800" s="5">
        <v>143428000</v>
      </c>
      <c r="L800" s="5">
        <v>14745000</v>
      </c>
      <c r="M800" s="5">
        <v>-326682000</v>
      </c>
      <c r="N800" s="5">
        <v>-413564000</v>
      </c>
    </row>
    <row r="801" spans="1:14" x14ac:dyDescent="0.25">
      <c r="A801" s="3" t="s">
        <v>812</v>
      </c>
      <c r="B801" s="4">
        <v>-1.37</v>
      </c>
      <c r="C801" s="4">
        <v>2.31</v>
      </c>
      <c r="D801" s="4">
        <v>-0.65</v>
      </c>
      <c r="E801" s="4">
        <v>-3.021964797865654E-3</v>
      </c>
      <c r="F801" s="3">
        <v>799</v>
      </c>
      <c r="G801" s="3">
        <v>1</v>
      </c>
      <c r="H801" s="5">
        <v>144025.9227</v>
      </c>
      <c r="I801" s="5">
        <v>2077655.9227</v>
      </c>
      <c r="J801" s="5">
        <v>2336230</v>
      </c>
      <c r="K801" s="5">
        <v>402600</v>
      </c>
      <c r="L801" s="5">
        <v>17635900</v>
      </c>
      <c r="M801" s="5">
        <v>-1512780</v>
      </c>
      <c r="N801" s="5">
        <v>-2300770</v>
      </c>
    </row>
    <row r="802" spans="1:14" x14ac:dyDescent="0.25">
      <c r="A802" s="3" t="s">
        <v>813</v>
      </c>
      <c r="B802" s="4">
        <v>-20.92</v>
      </c>
      <c r="C802" s="4">
        <v>-1.9</v>
      </c>
      <c r="D802" s="4">
        <v>-0.34</v>
      </c>
      <c r="E802" s="4">
        <v>-3.026476389263373E-3</v>
      </c>
      <c r="F802" s="3">
        <v>800</v>
      </c>
      <c r="G802" s="3">
        <v>1</v>
      </c>
      <c r="H802" s="5">
        <v>780621138.25999999</v>
      </c>
      <c r="I802" s="5">
        <v>1310257138.26</v>
      </c>
      <c r="J802" s="5">
        <v>602277000</v>
      </c>
      <c r="K802" s="5">
        <v>72641000</v>
      </c>
      <c r="L802" s="5">
        <v>2942000</v>
      </c>
      <c r="M802" s="5">
        <v>-62640000</v>
      </c>
      <c r="N802" s="5">
        <v>-450152000</v>
      </c>
    </row>
    <row r="803" spans="1:14" x14ac:dyDescent="0.25">
      <c r="A803" s="3" t="s">
        <v>814</v>
      </c>
      <c r="B803" s="4">
        <v>-9.01</v>
      </c>
      <c r="C803" s="4">
        <v>0.64</v>
      </c>
      <c r="D803" s="4">
        <v>-0.35</v>
      </c>
      <c r="E803" s="4">
        <v>-3.060773219387795E-3</v>
      </c>
      <c r="F803" s="3">
        <v>801</v>
      </c>
      <c r="G803" s="3">
        <v>1</v>
      </c>
      <c r="H803" s="5">
        <v>1476527.0597999999</v>
      </c>
      <c r="I803" s="5">
        <v>421560527.05980003</v>
      </c>
      <c r="J803" s="5">
        <v>616602000</v>
      </c>
      <c r="K803" s="5">
        <v>196518000</v>
      </c>
      <c r="L803" s="5">
        <v>1331131000</v>
      </c>
      <c r="M803" s="5">
        <v>-46775000</v>
      </c>
      <c r="N803" s="5">
        <v>-240707000</v>
      </c>
    </row>
    <row r="804" spans="1:14" x14ac:dyDescent="0.25">
      <c r="A804" s="3" t="s">
        <v>815</v>
      </c>
      <c r="B804" s="4">
        <v>-10.96</v>
      </c>
      <c r="C804" s="4">
        <v>0.27</v>
      </c>
      <c r="D804" s="4">
        <v>-1.33</v>
      </c>
      <c r="E804" s="4">
        <v>-3.1119861725882121E-3</v>
      </c>
      <c r="F804" s="3">
        <v>802</v>
      </c>
      <c r="G804" s="3">
        <v>1</v>
      </c>
      <c r="H804" s="5">
        <v>20440000</v>
      </c>
      <c r="I804" s="5">
        <v>20631560</v>
      </c>
      <c r="J804" s="5">
        <v>273740</v>
      </c>
      <c r="K804" s="5">
        <v>82180</v>
      </c>
      <c r="L804" s="5">
        <v>2078740</v>
      </c>
      <c r="M804" s="5">
        <v>-1882460</v>
      </c>
      <c r="N804" s="5">
        <v>-1971440</v>
      </c>
    </row>
    <row r="805" spans="1:14" x14ac:dyDescent="0.25">
      <c r="A805" s="3" t="s">
        <v>816</v>
      </c>
      <c r="B805" s="4">
        <v>-13.24</v>
      </c>
      <c r="C805" s="4">
        <v>-0.3</v>
      </c>
      <c r="D805" s="4">
        <v>-0.13</v>
      </c>
      <c r="E805" s="4">
        <v>-3.1162996841779551E-3</v>
      </c>
      <c r="F805" s="3">
        <v>803</v>
      </c>
      <c r="G805" s="3">
        <v>1</v>
      </c>
      <c r="H805" s="5">
        <v>56127951.68</v>
      </c>
      <c r="I805" s="5">
        <v>56259991.68</v>
      </c>
      <c r="J805" s="5">
        <v>146340</v>
      </c>
      <c r="K805" s="5">
        <v>14300</v>
      </c>
      <c r="L805" s="5">
        <v>18724190</v>
      </c>
      <c r="M805" s="5">
        <v>-4248420</v>
      </c>
      <c r="N805" s="5">
        <v>-9524780</v>
      </c>
    </row>
    <row r="806" spans="1:14" x14ac:dyDescent="0.25">
      <c r="A806" s="3" t="s">
        <v>817</v>
      </c>
      <c r="B806" s="4">
        <v>-12.44</v>
      </c>
      <c r="C806" s="4">
        <v>-0.13</v>
      </c>
      <c r="D806" s="4">
        <v>-0.13</v>
      </c>
      <c r="E806" s="4">
        <v>-3.1202448206983681E-3</v>
      </c>
      <c r="F806" s="3">
        <v>804</v>
      </c>
      <c r="G806" s="3">
        <v>1</v>
      </c>
      <c r="H806" s="5">
        <v>1292208965.1900001</v>
      </c>
      <c r="I806" s="5">
        <v>966316965.19000006</v>
      </c>
      <c r="J806" s="5">
        <v>0</v>
      </c>
      <c r="K806" s="5">
        <v>325892000</v>
      </c>
      <c r="L806" s="5">
        <v>2370000</v>
      </c>
      <c r="M806" s="5">
        <v>-77675000</v>
      </c>
      <c r="N806" s="5">
        <v>-62806000</v>
      </c>
    </row>
    <row r="807" spans="1:14" x14ac:dyDescent="0.25">
      <c r="A807" s="3" t="s">
        <v>818</v>
      </c>
      <c r="B807" s="4">
        <v>-12.97</v>
      </c>
      <c r="C807" s="4">
        <v>-0.24</v>
      </c>
      <c r="D807" s="4">
        <v>-0.23</v>
      </c>
      <c r="E807" s="4">
        <v>-3.1293368616873568E-3</v>
      </c>
      <c r="F807" s="3">
        <v>805</v>
      </c>
      <c r="G807" s="3">
        <v>1</v>
      </c>
      <c r="H807" s="5">
        <v>1342601096.53</v>
      </c>
      <c r="I807" s="5">
        <v>1319809096.53</v>
      </c>
      <c r="J807" s="5">
        <v>0</v>
      </c>
      <c r="K807" s="5">
        <v>22792000</v>
      </c>
      <c r="L807" s="5">
        <v>6235000</v>
      </c>
      <c r="M807" s="5">
        <v>-101768000</v>
      </c>
      <c r="N807" s="5">
        <v>-84969000</v>
      </c>
    </row>
    <row r="808" spans="1:14" x14ac:dyDescent="0.25">
      <c r="A808" s="3" t="s">
        <v>819</v>
      </c>
      <c r="B808" s="4">
        <v>-5.58</v>
      </c>
      <c r="C808" s="4">
        <v>1.45</v>
      </c>
      <c r="D808" s="4">
        <v>-1.96</v>
      </c>
      <c r="E808" s="4">
        <v>-3.1538618842927081E-3</v>
      </c>
      <c r="F808" s="3">
        <v>806</v>
      </c>
      <c r="G808" s="3">
        <v>1</v>
      </c>
      <c r="H808" s="5">
        <v>74885092.069499999</v>
      </c>
      <c r="I808" s="5">
        <v>78101092.069499999</v>
      </c>
      <c r="J808" s="5">
        <v>3292000</v>
      </c>
      <c r="K808" s="5">
        <v>76000</v>
      </c>
      <c r="L808" s="5">
        <v>5824000</v>
      </c>
      <c r="M808" s="5">
        <v>-13995000</v>
      </c>
      <c r="N808" s="5">
        <v>-12978000</v>
      </c>
    </row>
    <row r="809" spans="1:14" x14ac:dyDescent="0.25">
      <c r="A809" s="3" t="s">
        <v>820</v>
      </c>
      <c r="B809" s="4">
        <v>-0.8</v>
      </c>
      <c r="C809" s="4">
        <v>2.91</v>
      </c>
      <c r="D809" s="4">
        <v>-8.51</v>
      </c>
      <c r="E809" s="4">
        <v>-3.1573479916512021E-3</v>
      </c>
      <c r="F809" s="3">
        <v>807</v>
      </c>
      <c r="G809" s="3">
        <v>1</v>
      </c>
      <c r="H809" s="5">
        <v>155251.1257</v>
      </c>
      <c r="I809" s="5">
        <v>152751.1257</v>
      </c>
      <c r="J809" s="5">
        <v>0</v>
      </c>
      <c r="K809" s="5">
        <v>2500</v>
      </c>
      <c r="L809" s="5">
        <v>0</v>
      </c>
      <c r="M809" s="5">
        <v>-191390</v>
      </c>
      <c r="N809" s="5">
        <v>-191390</v>
      </c>
    </row>
    <row r="810" spans="1:14" x14ac:dyDescent="0.25">
      <c r="A810" s="3" t="s">
        <v>821</v>
      </c>
      <c r="B810" s="4">
        <v>-14.74</v>
      </c>
      <c r="C810" s="4">
        <v>-0.65</v>
      </c>
      <c r="D810" s="4">
        <v>-7.0000000000000007E-2</v>
      </c>
      <c r="E810" s="4">
        <v>-3.187620915657332E-3</v>
      </c>
      <c r="F810" s="3">
        <v>808</v>
      </c>
      <c r="G810" s="3">
        <v>1</v>
      </c>
      <c r="H810" s="5">
        <v>384206374.07999998</v>
      </c>
      <c r="I810" s="5">
        <v>504600374.07999998</v>
      </c>
      <c r="J810" s="5">
        <v>150000000</v>
      </c>
      <c r="K810" s="5">
        <v>29606000</v>
      </c>
      <c r="L810" s="5">
        <v>228825000</v>
      </c>
      <c r="M810" s="5">
        <v>-34241000</v>
      </c>
      <c r="N810" s="5">
        <v>-556449000</v>
      </c>
    </row>
    <row r="811" spans="1:14" x14ac:dyDescent="0.25">
      <c r="A811" s="3" t="s">
        <v>822</v>
      </c>
      <c r="B811" s="4">
        <v>-0.54</v>
      </c>
      <c r="C811" s="4">
        <v>2.64</v>
      </c>
      <c r="D811" s="4">
        <v>-3.8</v>
      </c>
      <c r="E811" s="4">
        <v>-3.189823211160318E-3</v>
      </c>
      <c r="F811" s="3">
        <v>809</v>
      </c>
      <c r="G811" s="3">
        <v>1</v>
      </c>
      <c r="H811" s="5">
        <v>5823966.3300000001</v>
      </c>
      <c r="I811" s="5">
        <v>27295966.329999998</v>
      </c>
      <c r="J811" s="5">
        <v>22309000</v>
      </c>
      <c r="K811" s="5">
        <v>837000</v>
      </c>
      <c r="L811" s="5">
        <v>530000</v>
      </c>
      <c r="M811" s="5">
        <v>-50643000</v>
      </c>
      <c r="N811" s="5">
        <v>-55361000</v>
      </c>
    </row>
    <row r="812" spans="1:14" x14ac:dyDescent="0.25">
      <c r="A812" s="3" t="s">
        <v>823</v>
      </c>
      <c r="B812" s="4">
        <v>-28.12</v>
      </c>
      <c r="C812" s="4">
        <v>-3.43</v>
      </c>
      <c r="D812" s="4">
        <v>-1.38</v>
      </c>
      <c r="E812" s="4">
        <v>-3.1915889246402949E-3</v>
      </c>
      <c r="F812" s="3">
        <v>810</v>
      </c>
      <c r="G812" s="3">
        <v>1</v>
      </c>
      <c r="H812" s="5">
        <v>55662969.439999998</v>
      </c>
      <c r="I812" s="5">
        <v>84735559.439999998</v>
      </c>
      <c r="J812" s="5">
        <v>31941830</v>
      </c>
      <c r="K812" s="5">
        <v>2869240</v>
      </c>
      <c r="L812" s="5">
        <v>1868330</v>
      </c>
      <c r="M812" s="5">
        <v>-3013680</v>
      </c>
      <c r="N812" s="5">
        <v>-91168280</v>
      </c>
    </row>
    <row r="813" spans="1:14" x14ac:dyDescent="0.25">
      <c r="A813" s="3" t="s">
        <v>824</v>
      </c>
      <c r="B813" s="4">
        <v>-6.65</v>
      </c>
      <c r="C813" s="4">
        <v>1.1599999999999999</v>
      </c>
      <c r="D813" s="4">
        <v>-1.25</v>
      </c>
      <c r="E813" s="4">
        <v>-3.1925705911217839E-3</v>
      </c>
      <c r="F813" s="3">
        <v>811</v>
      </c>
      <c r="G813" s="3">
        <v>1</v>
      </c>
      <c r="H813" s="5">
        <v>221909391.55000001</v>
      </c>
      <c r="I813" s="5">
        <v>235564391.55000001</v>
      </c>
      <c r="J813" s="5">
        <v>22180000</v>
      </c>
      <c r="K813" s="5">
        <v>8525000</v>
      </c>
      <c r="L813" s="5">
        <v>29431000</v>
      </c>
      <c r="M813" s="5">
        <v>-35441000</v>
      </c>
      <c r="N813" s="5">
        <v>-30045000</v>
      </c>
    </row>
    <row r="814" spans="1:14" x14ac:dyDescent="0.25">
      <c r="A814" s="3" t="s">
        <v>825</v>
      </c>
      <c r="B814" s="4">
        <v>-19.2</v>
      </c>
      <c r="C814" s="4">
        <v>-1.6</v>
      </c>
      <c r="D814" s="4">
        <v>-0.36</v>
      </c>
      <c r="E814" s="4">
        <v>-3.228069611881967E-3</v>
      </c>
      <c r="F814" s="3">
        <v>812</v>
      </c>
      <c r="G814" s="3">
        <v>1</v>
      </c>
      <c r="H814" s="5">
        <v>1858560730.0799999</v>
      </c>
      <c r="I814" s="5">
        <v>2189521730.0799999</v>
      </c>
      <c r="J814" s="5">
        <v>346644000</v>
      </c>
      <c r="K814" s="5">
        <v>15683000</v>
      </c>
      <c r="L814" s="5">
        <v>0</v>
      </c>
      <c r="M814" s="5">
        <v>-114062000</v>
      </c>
      <c r="N814" s="5">
        <v>-289136000</v>
      </c>
    </row>
    <row r="815" spans="1:14" x14ac:dyDescent="0.25">
      <c r="A815" s="3" t="s">
        <v>826</v>
      </c>
      <c r="B815" s="4">
        <v>-15.72</v>
      </c>
      <c r="C815" s="4">
        <v>-0.87</v>
      </c>
      <c r="D815" s="4">
        <v>-0.22</v>
      </c>
      <c r="E815" s="4">
        <v>-3.2456735103244048E-3</v>
      </c>
      <c r="F815" s="3">
        <v>813</v>
      </c>
      <c r="G815" s="3">
        <v>1</v>
      </c>
      <c r="H815" s="5">
        <v>2524178099.0999999</v>
      </c>
      <c r="I815" s="5">
        <v>2565718099.0999999</v>
      </c>
      <c r="J815" s="5">
        <v>452830000</v>
      </c>
      <c r="K815" s="5">
        <v>411290000</v>
      </c>
      <c r="L815" s="5">
        <v>781367000</v>
      </c>
      <c r="M815" s="5">
        <v>-163182000</v>
      </c>
      <c r="N815" s="5">
        <v>-197878000</v>
      </c>
    </row>
    <row r="816" spans="1:14" x14ac:dyDescent="0.25">
      <c r="A816" s="3" t="s">
        <v>827</v>
      </c>
      <c r="B816" s="4">
        <v>-11.72</v>
      </c>
      <c r="C816" s="4">
        <v>-0.03</v>
      </c>
      <c r="D816" s="4">
        <v>-0.03</v>
      </c>
      <c r="E816" s="4">
        <v>-3.2576412949683019E-3</v>
      </c>
      <c r="F816" s="3">
        <v>814</v>
      </c>
      <c r="G816" s="3">
        <v>1</v>
      </c>
      <c r="H816" s="5">
        <v>21135456.225000001</v>
      </c>
      <c r="I816" s="5">
        <v>11522736.225</v>
      </c>
      <c r="J816" s="5">
        <v>40970</v>
      </c>
      <c r="K816" s="5">
        <v>9653690</v>
      </c>
      <c r="L816" s="5">
        <v>6819860</v>
      </c>
      <c r="M816" s="5">
        <v>-982950</v>
      </c>
      <c r="N816" s="5">
        <v>-622680</v>
      </c>
    </row>
    <row r="817" spans="1:14" x14ac:dyDescent="0.25">
      <c r="A817" s="3" t="s">
        <v>828</v>
      </c>
      <c r="B817" s="4">
        <v>-1.28</v>
      </c>
      <c r="C817" s="4">
        <v>2.31</v>
      </c>
      <c r="D817" s="4">
        <v>-1.76</v>
      </c>
      <c r="E817" s="4">
        <v>-3.2917895992425009E-3</v>
      </c>
      <c r="F817" s="3">
        <v>815</v>
      </c>
      <c r="G817" s="3">
        <v>1</v>
      </c>
      <c r="H817" s="5">
        <v>7860521.0499999998</v>
      </c>
      <c r="I817" s="5">
        <v>15351281.050000001</v>
      </c>
      <c r="J817" s="5">
        <v>7778310</v>
      </c>
      <c r="K817" s="5">
        <v>287550</v>
      </c>
      <c r="L817" s="5">
        <v>11420270</v>
      </c>
      <c r="M817" s="5">
        <v>-11980330</v>
      </c>
      <c r="N817" s="5">
        <v>-17604360</v>
      </c>
    </row>
    <row r="818" spans="1:14" x14ac:dyDescent="0.25">
      <c r="A818" s="3" t="s">
        <v>829</v>
      </c>
      <c r="B818" s="4">
        <v>-10.029999999999999</v>
      </c>
      <c r="C818" s="4">
        <v>0.32</v>
      </c>
      <c r="D818" s="4">
        <v>-0.03</v>
      </c>
      <c r="E818" s="4">
        <v>-3.2923408122683601E-3</v>
      </c>
      <c r="F818" s="3">
        <v>816</v>
      </c>
      <c r="G818" s="3">
        <v>1</v>
      </c>
      <c r="H818" s="5">
        <v>1763.4870000000001</v>
      </c>
      <c r="I818" s="5">
        <v>1976763.487</v>
      </c>
      <c r="J818" s="5">
        <v>2144000</v>
      </c>
      <c r="K818" s="5">
        <v>169000</v>
      </c>
      <c r="L818" s="5">
        <v>8297000</v>
      </c>
      <c r="M818" s="5">
        <v>-197000</v>
      </c>
      <c r="N818" s="5">
        <v>-132000</v>
      </c>
    </row>
    <row r="819" spans="1:14" x14ac:dyDescent="0.25">
      <c r="A819" s="3" t="s">
        <v>830</v>
      </c>
      <c r="B819" s="4">
        <v>-13.06</v>
      </c>
      <c r="C819" s="4">
        <v>-0.32</v>
      </c>
      <c r="D819" s="4">
        <v>-0.22</v>
      </c>
      <c r="E819" s="4">
        <v>-3.3028538399518161E-3</v>
      </c>
      <c r="F819" s="3">
        <v>817</v>
      </c>
      <c r="G819" s="3">
        <v>1</v>
      </c>
      <c r="H819" s="5">
        <v>45213620.479999997</v>
      </c>
      <c r="I819" s="5">
        <v>33819620.479999997</v>
      </c>
      <c r="J819" s="5">
        <v>3000000</v>
      </c>
      <c r="K819" s="5">
        <v>14394000</v>
      </c>
      <c r="L819" s="5">
        <v>43384000</v>
      </c>
      <c r="M819" s="5">
        <v>-2589000</v>
      </c>
      <c r="N819" s="5">
        <v>-9863000</v>
      </c>
    </row>
    <row r="820" spans="1:14" x14ac:dyDescent="0.25">
      <c r="A820" s="3" t="s">
        <v>831</v>
      </c>
      <c r="B820" s="4">
        <v>-18.96</v>
      </c>
      <c r="C820" s="4">
        <v>-1.58</v>
      </c>
      <c r="D820" s="4">
        <v>-0.34</v>
      </c>
      <c r="E820" s="4">
        <v>-3.3149652814279001E-3</v>
      </c>
      <c r="F820" s="3">
        <v>818</v>
      </c>
      <c r="G820" s="3">
        <v>1</v>
      </c>
      <c r="H820" s="5">
        <v>227297611.53</v>
      </c>
      <c r="I820" s="5">
        <v>225864611.53</v>
      </c>
      <c r="J820" s="5">
        <v>20603000</v>
      </c>
      <c r="K820" s="5">
        <v>22036000</v>
      </c>
      <c r="L820" s="5">
        <v>55641000</v>
      </c>
      <c r="M820" s="5">
        <v>-11912000</v>
      </c>
      <c r="N820" s="5">
        <v>-15115000</v>
      </c>
    </row>
    <row r="821" spans="1:14" x14ac:dyDescent="0.25">
      <c r="A821" s="3" t="s">
        <v>832</v>
      </c>
      <c r="B821" s="4">
        <v>-2.83</v>
      </c>
      <c r="C821" s="4">
        <v>1.79</v>
      </c>
      <c r="D821" s="4">
        <v>0.85</v>
      </c>
      <c r="E821" s="4">
        <v>-3.3314543442182851E-3</v>
      </c>
      <c r="F821" s="3">
        <v>819</v>
      </c>
      <c r="G821" s="3">
        <v>1</v>
      </c>
      <c r="H821" s="5">
        <v>14485965.654999999</v>
      </c>
      <c r="I821" s="5">
        <v>12806615.654999999</v>
      </c>
      <c r="J821" s="5">
        <v>0</v>
      </c>
      <c r="K821" s="5">
        <v>1679350</v>
      </c>
      <c r="L821" s="5">
        <v>15503250</v>
      </c>
      <c r="M821" s="5">
        <v>-4530020</v>
      </c>
      <c r="N821" s="5">
        <v>4490820</v>
      </c>
    </row>
    <row r="822" spans="1:14" x14ac:dyDescent="0.25">
      <c r="A822" s="3" t="s">
        <v>833</v>
      </c>
      <c r="B822" s="4">
        <v>0.03</v>
      </c>
      <c r="C822" s="4">
        <v>2.63</v>
      </c>
      <c r="D822" s="4">
        <v>-3.01</v>
      </c>
      <c r="E822" s="4">
        <v>-3.419108443285229E-3</v>
      </c>
      <c r="F822" s="3">
        <v>820</v>
      </c>
      <c r="G822" s="3">
        <v>1</v>
      </c>
      <c r="H822" s="5">
        <v>5000.9486999999999</v>
      </c>
      <c r="I822" s="5">
        <v>-21099.05130000001</v>
      </c>
      <c r="J822" s="5">
        <v>86430</v>
      </c>
      <c r="K822" s="5">
        <v>112530</v>
      </c>
      <c r="L822" s="5">
        <v>49320</v>
      </c>
      <c r="M822" s="5">
        <v>-722800</v>
      </c>
      <c r="N822" s="5">
        <v>-380070</v>
      </c>
    </row>
    <row r="823" spans="1:14" x14ac:dyDescent="0.25">
      <c r="A823" s="3" t="s">
        <v>834</v>
      </c>
      <c r="B823" s="4">
        <v>-0.04</v>
      </c>
      <c r="C823" s="4">
        <v>2.64</v>
      </c>
      <c r="D823" s="4">
        <v>-3.5</v>
      </c>
      <c r="E823" s="4">
        <v>-3.4414126986890181E-3</v>
      </c>
      <c r="F823" s="3">
        <v>821</v>
      </c>
      <c r="G823" s="3">
        <v>1</v>
      </c>
      <c r="H823" s="5">
        <v>5647.6603999999998</v>
      </c>
      <c r="I823" s="5">
        <v>608977.66039999994</v>
      </c>
      <c r="J823" s="5">
        <v>1431120</v>
      </c>
      <c r="K823" s="5">
        <v>827790</v>
      </c>
      <c r="L823" s="5">
        <v>1103980</v>
      </c>
      <c r="M823" s="5">
        <v>-17270810</v>
      </c>
      <c r="N823" s="5">
        <v>-43089980</v>
      </c>
    </row>
    <row r="824" spans="1:14" x14ac:dyDescent="0.25">
      <c r="A824" s="3" t="s">
        <v>835</v>
      </c>
      <c r="B824" s="4">
        <v>-3.78</v>
      </c>
      <c r="C824" s="4">
        <v>1.79</v>
      </c>
      <c r="D824" s="4">
        <v>-2.87</v>
      </c>
      <c r="E824" s="4">
        <v>-3.4610776898281082E-3</v>
      </c>
      <c r="F824" s="3">
        <v>822</v>
      </c>
      <c r="G824" s="3">
        <v>1</v>
      </c>
      <c r="H824" s="5">
        <v>213042.38529999999</v>
      </c>
      <c r="I824" s="5">
        <v>32012042.385299999</v>
      </c>
      <c r="J824" s="5">
        <v>31988000</v>
      </c>
      <c r="K824" s="5">
        <v>189000</v>
      </c>
      <c r="L824" s="5">
        <v>12230000</v>
      </c>
      <c r="M824" s="5">
        <v>-8469000</v>
      </c>
      <c r="N824" s="5">
        <v>-43314000</v>
      </c>
    </row>
    <row r="825" spans="1:14" x14ac:dyDescent="0.25">
      <c r="A825" s="3" t="s">
        <v>836</v>
      </c>
      <c r="B825" s="4">
        <v>-0.21</v>
      </c>
      <c r="C825" s="4">
        <v>2.42</v>
      </c>
      <c r="D825" s="4">
        <v>-1.01</v>
      </c>
      <c r="E825" s="4">
        <v>-3.4915279383578128E-3</v>
      </c>
      <c r="F825" s="3">
        <v>823</v>
      </c>
      <c r="G825" s="3">
        <v>1</v>
      </c>
      <c r="H825" s="5">
        <v>3870.65</v>
      </c>
      <c r="I825" s="5">
        <v>896960.64999999991</v>
      </c>
      <c r="J825" s="5">
        <v>1787300</v>
      </c>
      <c r="K825" s="5">
        <v>894210</v>
      </c>
      <c r="L825" s="5">
        <v>10878240</v>
      </c>
      <c r="M825" s="5">
        <v>-4328770</v>
      </c>
      <c r="N825" s="5">
        <v>-6711540</v>
      </c>
    </row>
    <row r="826" spans="1:14" x14ac:dyDescent="0.25">
      <c r="A826" s="3" t="s">
        <v>837</v>
      </c>
      <c r="B826" s="4">
        <v>-11.32</v>
      </c>
      <c r="C826" s="4">
        <v>-0.04</v>
      </c>
      <c r="D826" s="4">
        <v>-0.02</v>
      </c>
      <c r="E826" s="4">
        <v>-3.532174103288353E-3</v>
      </c>
      <c r="F826" s="3">
        <v>824</v>
      </c>
      <c r="G826" s="3">
        <v>1</v>
      </c>
      <c r="H826" s="5">
        <v>3615682.84</v>
      </c>
      <c r="I826" s="5">
        <v>8213632.8399999999</v>
      </c>
      <c r="J826" s="5">
        <v>5130560</v>
      </c>
      <c r="K826" s="5">
        <v>532610</v>
      </c>
      <c r="L826" s="5">
        <v>30300360</v>
      </c>
      <c r="M826" s="5">
        <v>-725330</v>
      </c>
      <c r="N826" s="5">
        <v>-1115980</v>
      </c>
    </row>
    <row r="827" spans="1:14" x14ac:dyDescent="0.25">
      <c r="A827" s="3" t="s">
        <v>838</v>
      </c>
      <c r="B827" s="4">
        <v>-14.26</v>
      </c>
      <c r="C827" s="4">
        <v>-0.66</v>
      </c>
      <c r="D827" s="4">
        <v>-0.28999999999999998</v>
      </c>
      <c r="E827" s="4">
        <v>-3.5560349808366342E-3</v>
      </c>
      <c r="F827" s="3">
        <v>825</v>
      </c>
      <c r="G827" s="3">
        <v>1</v>
      </c>
      <c r="H827" s="5">
        <v>55083434.749499999</v>
      </c>
      <c r="I827" s="5">
        <v>58063954.749499999</v>
      </c>
      <c r="J827" s="5">
        <v>3043710</v>
      </c>
      <c r="K827" s="5">
        <v>63190</v>
      </c>
      <c r="L827" s="5">
        <v>166030</v>
      </c>
      <c r="M827" s="5">
        <v>-4070750</v>
      </c>
      <c r="N827" s="5">
        <v>-4694000</v>
      </c>
    </row>
    <row r="828" spans="1:14" x14ac:dyDescent="0.25">
      <c r="A828" s="3" t="s">
        <v>839</v>
      </c>
      <c r="B828" s="4">
        <v>-13.32</v>
      </c>
      <c r="C828" s="4">
        <v>-0.46</v>
      </c>
      <c r="D828" s="4">
        <v>-0.38</v>
      </c>
      <c r="E828" s="4">
        <v>-3.5773094152703102E-3</v>
      </c>
      <c r="F828" s="3">
        <v>826</v>
      </c>
      <c r="G828" s="3">
        <v>1</v>
      </c>
      <c r="H828" s="5">
        <v>518063793.42000002</v>
      </c>
      <c r="I828" s="5">
        <v>457082793.42000002</v>
      </c>
      <c r="J828" s="5">
        <v>0</v>
      </c>
      <c r="K828" s="5">
        <v>60981000</v>
      </c>
      <c r="L828" s="5">
        <v>76067000</v>
      </c>
      <c r="M828" s="5">
        <v>-34313000</v>
      </c>
      <c r="N828" s="5">
        <v>-39661000</v>
      </c>
    </row>
    <row r="829" spans="1:14" x14ac:dyDescent="0.25">
      <c r="A829" s="3" t="s">
        <v>840</v>
      </c>
      <c r="B829" s="4">
        <v>-13.71</v>
      </c>
      <c r="C829" s="4">
        <v>-0.56000000000000005</v>
      </c>
      <c r="D829" s="4">
        <v>-0.26</v>
      </c>
      <c r="E829" s="4">
        <v>-3.601718144298795E-3</v>
      </c>
      <c r="F829" s="3">
        <v>827</v>
      </c>
      <c r="G829" s="3">
        <v>1</v>
      </c>
      <c r="H829" s="5">
        <v>4883605670.1800003</v>
      </c>
      <c r="I829" s="5">
        <v>4339431670.1800003</v>
      </c>
      <c r="J829" s="5">
        <v>0</v>
      </c>
      <c r="K829" s="5">
        <v>544174000</v>
      </c>
      <c r="L829" s="5">
        <v>489407000</v>
      </c>
      <c r="M829" s="5">
        <v>-316628000</v>
      </c>
      <c r="N829" s="5">
        <v>-216201000</v>
      </c>
    </row>
    <row r="830" spans="1:14" x14ac:dyDescent="0.25">
      <c r="A830" s="3" t="s">
        <v>841</v>
      </c>
      <c r="B830" s="4">
        <v>-12.84</v>
      </c>
      <c r="C830" s="4">
        <v>-0.37</v>
      </c>
      <c r="D830" s="4">
        <v>-0.36</v>
      </c>
      <c r="E830" s="4">
        <v>-3.6104907724448941E-3</v>
      </c>
      <c r="F830" s="3">
        <v>828</v>
      </c>
      <c r="G830" s="3">
        <v>1</v>
      </c>
      <c r="H830" s="5">
        <v>447128570.75999999</v>
      </c>
      <c r="I830" s="5">
        <v>437720300.75999999</v>
      </c>
      <c r="J830" s="5">
        <v>0</v>
      </c>
      <c r="K830" s="5">
        <v>9408270</v>
      </c>
      <c r="L830" s="5">
        <v>0</v>
      </c>
      <c r="M830" s="5">
        <v>-34077260</v>
      </c>
      <c r="N830" s="5">
        <v>-33884540</v>
      </c>
    </row>
    <row r="831" spans="1:14" x14ac:dyDescent="0.25">
      <c r="A831" s="3" t="s">
        <v>842</v>
      </c>
      <c r="B831" s="4">
        <v>-0.88</v>
      </c>
      <c r="C831" s="4">
        <v>5.97</v>
      </c>
      <c r="D831" s="4">
        <v>-57</v>
      </c>
      <c r="E831" s="4">
        <v>-3.6202404739763962E-3</v>
      </c>
      <c r="F831" s="3">
        <v>829</v>
      </c>
      <c r="G831" s="3">
        <v>1</v>
      </c>
      <c r="H831" s="5">
        <v>2339400.56</v>
      </c>
      <c r="I831" s="5">
        <v>3092060.56</v>
      </c>
      <c r="J831" s="5">
        <v>777500</v>
      </c>
      <c r="K831" s="5">
        <v>24840</v>
      </c>
      <c r="L831" s="5">
        <v>225950</v>
      </c>
      <c r="M831" s="5">
        <v>-3521890</v>
      </c>
      <c r="N831" s="5">
        <v>-4871550</v>
      </c>
    </row>
    <row r="832" spans="1:14" x14ac:dyDescent="0.25">
      <c r="A832" s="3" t="s">
        <v>843</v>
      </c>
      <c r="B832" s="4">
        <v>-1.82</v>
      </c>
      <c r="C832" s="4">
        <v>1.97</v>
      </c>
      <c r="D832" s="4">
        <v>-0.24</v>
      </c>
      <c r="E832" s="4">
        <v>-3.6467430903110009E-3</v>
      </c>
      <c r="F832" s="3">
        <v>830</v>
      </c>
      <c r="G832" s="3">
        <v>1</v>
      </c>
      <c r="H832" s="5">
        <v>156896.33199999999</v>
      </c>
      <c r="I832" s="5">
        <v>-1325673.6680000001</v>
      </c>
      <c r="J832" s="5">
        <v>0</v>
      </c>
      <c r="K832" s="5">
        <v>1482570</v>
      </c>
      <c r="L832" s="5">
        <v>34017230</v>
      </c>
      <c r="M832" s="5">
        <v>729890</v>
      </c>
      <c r="N832" s="5">
        <v>-4048940</v>
      </c>
    </row>
    <row r="833" spans="1:14" x14ac:dyDescent="0.25">
      <c r="A833" s="3" t="s">
        <v>844</v>
      </c>
      <c r="B833" s="4">
        <v>-2.7</v>
      </c>
      <c r="C833" s="4">
        <v>1.78</v>
      </c>
      <c r="D833" s="4">
        <v>-0.24</v>
      </c>
      <c r="E833" s="4">
        <v>-3.6510715222428879E-3</v>
      </c>
      <c r="F833" s="3">
        <v>831</v>
      </c>
      <c r="G833" s="3">
        <v>1</v>
      </c>
      <c r="H833" s="5">
        <v>8000000</v>
      </c>
      <c r="I833" s="5">
        <v>7921410</v>
      </c>
      <c r="J833" s="5">
        <v>0</v>
      </c>
      <c r="K833" s="5">
        <v>78590</v>
      </c>
      <c r="L833" s="5">
        <v>0</v>
      </c>
      <c r="M833" s="5">
        <v>-2932240</v>
      </c>
      <c r="N833" s="5">
        <v>-5027970</v>
      </c>
    </row>
    <row r="834" spans="1:14" x14ac:dyDescent="0.25">
      <c r="A834" s="3" t="s">
        <v>845</v>
      </c>
      <c r="B834" s="4">
        <v>-0.46</v>
      </c>
      <c r="C834" s="4">
        <v>2.2799999999999998</v>
      </c>
      <c r="D834" s="4">
        <v>-0.55000000000000004</v>
      </c>
      <c r="E834" s="4">
        <v>-3.6525730715680159E-3</v>
      </c>
      <c r="F834" s="3">
        <v>832</v>
      </c>
      <c r="G834" s="3">
        <v>1</v>
      </c>
      <c r="H834" s="5">
        <v>7333.5110000000004</v>
      </c>
      <c r="I834" s="5">
        <v>53294333.511</v>
      </c>
      <c r="J834" s="5">
        <v>60699000</v>
      </c>
      <c r="K834" s="5">
        <v>7412000</v>
      </c>
      <c r="L834" s="5">
        <v>25767000</v>
      </c>
      <c r="M834" s="5">
        <v>-116318000</v>
      </c>
      <c r="N834" s="5">
        <v>-57128000</v>
      </c>
    </row>
    <row r="835" spans="1:14" x14ac:dyDescent="0.25">
      <c r="A835" s="3" t="s">
        <v>846</v>
      </c>
      <c r="B835" s="4">
        <v>-20.11</v>
      </c>
      <c r="C835" s="4">
        <v>-1.91</v>
      </c>
      <c r="D835" s="4">
        <v>-0.9</v>
      </c>
      <c r="E835" s="4">
        <v>-3.6647211460814361E-3</v>
      </c>
      <c r="F835" s="3">
        <v>833</v>
      </c>
      <c r="G835" s="3">
        <v>1</v>
      </c>
      <c r="H835" s="5">
        <v>561090713.66999996</v>
      </c>
      <c r="I835" s="5">
        <v>552350713.66999996</v>
      </c>
      <c r="J835" s="5">
        <v>0</v>
      </c>
      <c r="K835" s="5">
        <v>8740000</v>
      </c>
      <c r="L835" s="5">
        <v>0</v>
      </c>
      <c r="M835" s="5">
        <v>-27463000</v>
      </c>
      <c r="N835" s="5">
        <v>-62293000</v>
      </c>
    </row>
    <row r="836" spans="1:14" x14ac:dyDescent="0.25">
      <c r="A836" s="3" t="s">
        <v>847</v>
      </c>
      <c r="B836" s="4">
        <v>-10.55</v>
      </c>
      <c r="C836" s="4">
        <v>7.0000000000000007E-2</v>
      </c>
      <c r="D836" s="4">
        <v>0.02</v>
      </c>
      <c r="E836" s="4">
        <v>-3.6831971584942551E-3</v>
      </c>
      <c r="F836" s="3">
        <v>834</v>
      </c>
      <c r="G836" s="3">
        <v>1</v>
      </c>
      <c r="H836" s="5">
        <v>7549.3414000000002</v>
      </c>
      <c r="I836" s="5">
        <v>313959.34139999998</v>
      </c>
      <c r="J836" s="5">
        <v>337240</v>
      </c>
      <c r="K836" s="5">
        <v>30830</v>
      </c>
      <c r="L836" s="5">
        <v>2031280</v>
      </c>
      <c r="M836" s="5">
        <v>-29770</v>
      </c>
      <c r="N836" s="5">
        <v>77940</v>
      </c>
    </row>
    <row r="837" spans="1:14" x14ac:dyDescent="0.25">
      <c r="A837" s="3" t="s">
        <v>848</v>
      </c>
      <c r="B837" s="4">
        <v>-14.4</v>
      </c>
      <c r="C837" s="4">
        <v>-0.72</v>
      </c>
      <c r="D837" s="4">
        <v>-0.62</v>
      </c>
      <c r="E837" s="4">
        <v>-3.7064056202219908E-3</v>
      </c>
      <c r="F837" s="3">
        <v>835</v>
      </c>
      <c r="G837" s="3">
        <v>1</v>
      </c>
      <c r="H837" s="5">
        <v>17126.101999999999</v>
      </c>
      <c r="I837" s="5">
        <v>-103513.898</v>
      </c>
      <c r="J837" s="5">
        <v>0</v>
      </c>
      <c r="K837" s="5">
        <v>120640</v>
      </c>
      <c r="L837" s="5">
        <v>69710</v>
      </c>
      <c r="M837" s="5">
        <v>7190</v>
      </c>
      <c r="N837" s="5">
        <v>-98900</v>
      </c>
    </row>
    <row r="838" spans="1:14" x14ac:dyDescent="0.25">
      <c r="A838" s="3" t="s">
        <v>849</v>
      </c>
      <c r="B838" s="4">
        <v>-1.1599999999999999</v>
      </c>
      <c r="C838" s="4">
        <v>2.0299999999999998</v>
      </c>
      <c r="D838" s="4">
        <v>0.54</v>
      </c>
      <c r="E838" s="4">
        <v>-3.7314049511859072E-3</v>
      </c>
      <c r="F838" s="3">
        <v>836</v>
      </c>
      <c r="G838" s="3">
        <v>1</v>
      </c>
      <c r="H838" s="5">
        <v>807.39593000000002</v>
      </c>
      <c r="I838" s="5">
        <v>846977.39593</v>
      </c>
      <c r="J838" s="5">
        <v>948050</v>
      </c>
      <c r="K838" s="5">
        <v>101880</v>
      </c>
      <c r="L838" s="5">
        <v>13430990</v>
      </c>
      <c r="M838" s="5">
        <v>-730990</v>
      </c>
      <c r="N838" s="5">
        <v>10350860</v>
      </c>
    </row>
    <row r="839" spans="1:14" x14ac:dyDescent="0.25">
      <c r="A839" s="3" t="s">
        <v>850</v>
      </c>
      <c r="B839" s="4">
        <v>-11.58</v>
      </c>
      <c r="C839" s="4">
        <v>-0.17</v>
      </c>
      <c r="D839" s="4">
        <v>-0.14000000000000001</v>
      </c>
      <c r="E839" s="4">
        <v>-3.7700199652823639E-3</v>
      </c>
      <c r="F839" s="3">
        <v>837</v>
      </c>
      <c r="G839" s="3">
        <v>1</v>
      </c>
      <c r="H839" s="5">
        <v>997063707</v>
      </c>
      <c r="I839" s="5">
        <v>1046563707</v>
      </c>
      <c r="J839" s="5">
        <v>181000000</v>
      </c>
      <c r="K839" s="5">
        <v>131500000</v>
      </c>
      <c r="L839" s="5">
        <v>452500000</v>
      </c>
      <c r="M839" s="5">
        <v>-90400000</v>
      </c>
      <c r="N839" s="5">
        <v>-304600000</v>
      </c>
    </row>
    <row r="840" spans="1:14" x14ac:dyDescent="0.25">
      <c r="A840" s="3" t="s">
        <v>851</v>
      </c>
      <c r="B840" s="4">
        <v>-15.21</v>
      </c>
      <c r="C840" s="4">
        <v>-0.93</v>
      </c>
      <c r="D840" s="4">
        <v>-0.42</v>
      </c>
      <c r="E840" s="4">
        <v>-3.773265174512219E-3</v>
      </c>
      <c r="F840" s="3">
        <v>838</v>
      </c>
      <c r="G840" s="3">
        <v>1</v>
      </c>
      <c r="H840" s="5">
        <v>90784647.840000004</v>
      </c>
      <c r="I840" s="5">
        <v>92941217.840000004</v>
      </c>
      <c r="J840" s="5">
        <v>2158500</v>
      </c>
      <c r="K840" s="5">
        <v>1930</v>
      </c>
      <c r="L840" s="5">
        <v>0</v>
      </c>
      <c r="M840" s="5">
        <v>-6110650</v>
      </c>
      <c r="N840" s="5">
        <v>-10966050</v>
      </c>
    </row>
    <row r="841" spans="1:14" x14ac:dyDescent="0.25">
      <c r="A841" s="3" t="s">
        <v>852</v>
      </c>
      <c r="B841" s="4">
        <v>-3.88</v>
      </c>
      <c r="C841" s="4">
        <v>1.7</v>
      </c>
      <c r="D841" s="4">
        <v>-3.47</v>
      </c>
      <c r="E841" s="4">
        <v>-3.7749696906378099E-3</v>
      </c>
      <c r="F841" s="3">
        <v>839</v>
      </c>
      <c r="G841" s="3">
        <v>1</v>
      </c>
      <c r="H841" s="5">
        <v>19722743.661600001</v>
      </c>
      <c r="I841" s="5">
        <v>41387283.661600001</v>
      </c>
      <c r="J841" s="5">
        <v>22136850</v>
      </c>
      <c r="K841" s="5">
        <v>472310</v>
      </c>
      <c r="L841" s="5">
        <v>14636760</v>
      </c>
      <c r="M841" s="5">
        <v>-10675150</v>
      </c>
      <c r="N841" s="5">
        <v>-74726800</v>
      </c>
    </row>
    <row r="842" spans="1:14" x14ac:dyDescent="0.25">
      <c r="A842" s="3" t="s">
        <v>853</v>
      </c>
      <c r="B842" s="4">
        <v>-6.9</v>
      </c>
      <c r="C842" s="4">
        <v>0.9</v>
      </c>
      <c r="D842" s="4">
        <v>-1.26</v>
      </c>
      <c r="E842" s="4">
        <v>-3.7910032576482611E-3</v>
      </c>
      <c r="F842" s="3">
        <v>840</v>
      </c>
      <c r="G842" s="3">
        <v>1</v>
      </c>
      <c r="H842" s="5">
        <v>8837019.1999999993</v>
      </c>
      <c r="I842" s="5">
        <v>11486999.199999999</v>
      </c>
      <c r="J842" s="5">
        <v>2842980</v>
      </c>
      <c r="K842" s="5">
        <v>193000</v>
      </c>
      <c r="L842" s="5">
        <v>157370</v>
      </c>
      <c r="M842" s="5">
        <v>-1665530</v>
      </c>
      <c r="N842" s="5">
        <v>-1956420</v>
      </c>
    </row>
    <row r="843" spans="1:14" x14ac:dyDescent="0.25">
      <c r="A843" s="3" t="s">
        <v>854</v>
      </c>
      <c r="B843" s="4">
        <v>-3.47</v>
      </c>
      <c r="C843" s="4">
        <v>1.57</v>
      </c>
      <c r="D843" s="4">
        <v>-0.43</v>
      </c>
      <c r="E843" s="4">
        <v>-3.817919935844153E-3</v>
      </c>
      <c r="F843" s="3">
        <v>841</v>
      </c>
      <c r="G843" s="3">
        <v>1</v>
      </c>
      <c r="H843" s="5">
        <v>151302491.37</v>
      </c>
      <c r="I843" s="5">
        <v>1810382491.3699999</v>
      </c>
      <c r="J843" s="5">
        <v>1813957000</v>
      </c>
      <c r="K843" s="5">
        <v>154877000</v>
      </c>
      <c r="L843" s="5">
        <v>574911000</v>
      </c>
      <c r="M843" s="5">
        <v>-521494000</v>
      </c>
      <c r="N843" s="5">
        <v>-764274000</v>
      </c>
    </row>
    <row r="844" spans="1:14" x14ac:dyDescent="0.25">
      <c r="A844" s="3" t="s">
        <v>855</v>
      </c>
      <c r="B844" s="4">
        <v>-11.02</v>
      </c>
      <c r="C844" s="4">
        <v>0.09</v>
      </c>
      <c r="D844" s="4">
        <v>-2.5299999999999998</v>
      </c>
      <c r="E844" s="4">
        <v>-3.826419053966695E-3</v>
      </c>
      <c r="F844" s="3">
        <v>842</v>
      </c>
      <c r="G844" s="3">
        <v>1</v>
      </c>
      <c r="H844" s="5">
        <v>3731.1887000000002</v>
      </c>
      <c r="I844" s="5">
        <v>22296081.188700002</v>
      </c>
      <c r="J844" s="5">
        <v>22300000</v>
      </c>
      <c r="K844" s="5">
        <v>7650</v>
      </c>
      <c r="L844" s="5">
        <v>224720</v>
      </c>
      <c r="M844" s="5">
        <v>-2022870</v>
      </c>
      <c r="N844" s="5">
        <v>-2682770</v>
      </c>
    </row>
    <row r="845" spans="1:14" x14ac:dyDescent="0.25">
      <c r="A845" s="3" t="s">
        <v>856</v>
      </c>
      <c r="B845" s="4">
        <v>-7.88</v>
      </c>
      <c r="C845" s="4">
        <v>0.59</v>
      </c>
      <c r="D845" s="4">
        <v>-0.18</v>
      </c>
      <c r="E845" s="4">
        <v>-3.8718280464122359E-3</v>
      </c>
      <c r="F845" s="3">
        <v>843</v>
      </c>
      <c r="G845" s="3">
        <v>1</v>
      </c>
      <c r="H845" s="5">
        <v>68.913595000000001</v>
      </c>
      <c r="I845" s="5">
        <v>16214598.913595</v>
      </c>
      <c r="J845" s="5">
        <v>16444820</v>
      </c>
      <c r="K845" s="5">
        <v>230290</v>
      </c>
      <c r="L845" s="5">
        <v>12123890</v>
      </c>
      <c r="M845" s="5">
        <v>-2057900</v>
      </c>
      <c r="N845" s="5">
        <v>-3332000</v>
      </c>
    </row>
    <row r="846" spans="1:14" x14ac:dyDescent="0.25">
      <c r="A846" s="3" t="s">
        <v>857</v>
      </c>
      <c r="B846" s="4">
        <v>-5.53</v>
      </c>
      <c r="C846" s="4">
        <v>1.04</v>
      </c>
      <c r="D846" s="4">
        <v>0.54</v>
      </c>
      <c r="E846" s="4">
        <v>-3.887189155994402E-3</v>
      </c>
      <c r="F846" s="3">
        <v>844</v>
      </c>
      <c r="G846" s="3">
        <v>1</v>
      </c>
      <c r="H846" s="5">
        <v>96827251.5</v>
      </c>
      <c r="I846" s="5">
        <v>108197251.5</v>
      </c>
      <c r="J846" s="5">
        <v>11378000</v>
      </c>
      <c r="K846" s="5">
        <v>8000</v>
      </c>
      <c r="L846" s="5">
        <v>36831000</v>
      </c>
      <c r="M846" s="5">
        <v>-19551000</v>
      </c>
      <c r="N846" s="5">
        <v>57567000</v>
      </c>
    </row>
    <row r="847" spans="1:14" x14ac:dyDescent="0.25">
      <c r="A847" s="3" t="s">
        <v>858</v>
      </c>
      <c r="B847" s="4">
        <v>-18.61</v>
      </c>
      <c r="C847" s="4">
        <v>-1.69</v>
      </c>
      <c r="D847" s="4">
        <v>-0.56999999999999995</v>
      </c>
      <c r="E847" s="4">
        <v>-3.8937847692672831E-3</v>
      </c>
      <c r="F847" s="3">
        <v>845</v>
      </c>
      <c r="G847" s="3">
        <v>1</v>
      </c>
      <c r="H847" s="5">
        <v>2298420660.8600001</v>
      </c>
      <c r="I847" s="5">
        <v>2237328660.8600001</v>
      </c>
      <c r="J847" s="5">
        <v>115387000</v>
      </c>
      <c r="K847" s="5">
        <v>176479000</v>
      </c>
      <c r="L847" s="5">
        <v>13996000</v>
      </c>
      <c r="M847" s="5">
        <v>-120194000</v>
      </c>
      <c r="N847" s="5">
        <v>-130394000</v>
      </c>
    </row>
    <row r="848" spans="1:14" x14ac:dyDescent="0.25">
      <c r="A848" s="3" t="s">
        <v>859</v>
      </c>
      <c r="B848" s="4">
        <v>-1.76</v>
      </c>
      <c r="C848" s="4">
        <v>1.9</v>
      </c>
      <c r="D848" s="4">
        <v>-0.31</v>
      </c>
      <c r="E848" s="4">
        <v>-3.899636759637214E-3</v>
      </c>
      <c r="F848" s="3">
        <v>846</v>
      </c>
      <c r="G848" s="3">
        <v>1</v>
      </c>
      <c r="H848" s="5">
        <v>226119876</v>
      </c>
      <c r="I848" s="5">
        <v>170665876</v>
      </c>
      <c r="J848" s="5">
        <v>0</v>
      </c>
      <c r="K848" s="5">
        <v>55454000</v>
      </c>
      <c r="L848" s="5">
        <v>22602000</v>
      </c>
      <c r="M848" s="5">
        <v>-97165000</v>
      </c>
      <c r="N848" s="5">
        <v>-86620000</v>
      </c>
    </row>
    <row r="849" spans="1:14" x14ac:dyDescent="0.25">
      <c r="A849" s="3" t="s">
        <v>860</v>
      </c>
      <c r="B849" s="4">
        <v>-6.54</v>
      </c>
      <c r="C849" s="4">
        <v>1.06</v>
      </c>
      <c r="D849" s="4">
        <v>-3.13</v>
      </c>
      <c r="E849" s="4">
        <v>-3.91224492050532E-3</v>
      </c>
      <c r="F849" s="3">
        <v>847</v>
      </c>
      <c r="G849" s="3">
        <v>1</v>
      </c>
      <c r="H849" s="5">
        <v>363174772.20499998</v>
      </c>
      <c r="I849" s="5">
        <v>423675772.20499998</v>
      </c>
      <c r="J849" s="5">
        <v>62676000</v>
      </c>
      <c r="K849" s="5">
        <v>2175000</v>
      </c>
      <c r="L849" s="5">
        <v>1382000</v>
      </c>
      <c r="M849" s="5">
        <v>-64764000</v>
      </c>
      <c r="N849" s="5">
        <v>-83778000</v>
      </c>
    </row>
    <row r="850" spans="1:14" x14ac:dyDescent="0.25">
      <c r="A850" s="3" t="s">
        <v>861</v>
      </c>
      <c r="B850" s="4">
        <v>-8.82</v>
      </c>
      <c r="C850" s="4">
        <v>0.38</v>
      </c>
      <c r="D850" s="4">
        <v>-0.28999999999999998</v>
      </c>
      <c r="E850" s="4">
        <v>-3.9180277505431356E-3</v>
      </c>
      <c r="F850" s="3">
        <v>848</v>
      </c>
      <c r="G850" s="3">
        <v>1</v>
      </c>
      <c r="H850" s="5">
        <v>232175</v>
      </c>
      <c r="I850" s="5">
        <v>15077175</v>
      </c>
      <c r="J850" s="5">
        <v>29376000</v>
      </c>
      <c r="K850" s="5">
        <v>14531000</v>
      </c>
      <c r="L850" s="5">
        <v>34642000</v>
      </c>
      <c r="M850" s="5">
        <v>-1710000</v>
      </c>
      <c r="N850" s="5">
        <v>-5747000</v>
      </c>
    </row>
    <row r="851" spans="1:14" x14ac:dyDescent="0.25">
      <c r="A851" s="3" t="s">
        <v>862</v>
      </c>
      <c r="B851" s="4">
        <v>-9.99</v>
      </c>
      <c r="C851" s="4">
        <v>0.1</v>
      </c>
      <c r="D851" s="4">
        <v>0.06</v>
      </c>
      <c r="E851" s="4">
        <v>-3.9353957501771907E-3</v>
      </c>
      <c r="F851" s="3">
        <v>849</v>
      </c>
      <c r="G851" s="3">
        <v>1</v>
      </c>
      <c r="H851" s="5">
        <v>100436033.25</v>
      </c>
      <c r="I851" s="5">
        <v>-6560547966.75</v>
      </c>
      <c r="J851" s="5">
        <v>0</v>
      </c>
      <c r="K851" s="5">
        <v>6660984000</v>
      </c>
      <c r="L851" s="5">
        <v>1243255000</v>
      </c>
      <c r="M851" s="5">
        <v>656787000</v>
      </c>
      <c r="N851" s="5">
        <v>501065000</v>
      </c>
    </row>
    <row r="852" spans="1:14" x14ac:dyDescent="0.25">
      <c r="A852" s="3" t="s">
        <v>863</v>
      </c>
      <c r="B852" s="4">
        <v>-14.5</v>
      </c>
      <c r="C852" s="4">
        <v>-0.85</v>
      </c>
      <c r="D852" s="4">
        <v>-0.23</v>
      </c>
      <c r="E852" s="4">
        <v>-3.9448984179164433E-3</v>
      </c>
      <c r="F852" s="3">
        <v>850</v>
      </c>
      <c r="G852" s="3">
        <v>1</v>
      </c>
      <c r="H852" s="5">
        <v>32442949.920000002</v>
      </c>
      <c r="I852" s="5">
        <v>172313949.91999999</v>
      </c>
      <c r="J852" s="5">
        <v>151851000</v>
      </c>
      <c r="K852" s="5">
        <v>11980000</v>
      </c>
      <c r="L852" s="5">
        <v>454550000</v>
      </c>
      <c r="M852" s="5">
        <v>-11887000</v>
      </c>
      <c r="N852" s="5">
        <v>-113356000</v>
      </c>
    </row>
    <row r="853" spans="1:14" x14ac:dyDescent="0.25">
      <c r="A853" s="3" t="s">
        <v>864</v>
      </c>
      <c r="B853" s="4">
        <v>-12.26</v>
      </c>
      <c r="C853" s="4">
        <v>-0.37</v>
      </c>
      <c r="D853" s="4">
        <v>-0.24</v>
      </c>
      <c r="E853" s="4">
        <v>-3.9463163839453166E-3</v>
      </c>
      <c r="F853" s="3">
        <v>851</v>
      </c>
      <c r="G853" s="3">
        <v>1</v>
      </c>
      <c r="H853" s="5">
        <v>11427735.481799999</v>
      </c>
      <c r="I853" s="5">
        <v>10579735.481799999</v>
      </c>
      <c r="J853" s="5">
        <v>1975000</v>
      </c>
      <c r="K853" s="5">
        <v>2823000</v>
      </c>
      <c r="L853" s="5">
        <v>24207000</v>
      </c>
      <c r="M853" s="5">
        <v>-863000</v>
      </c>
      <c r="N853" s="5">
        <v>-3824000</v>
      </c>
    </row>
    <row r="854" spans="1:14" x14ac:dyDescent="0.25">
      <c r="A854" s="3" t="s">
        <v>865</v>
      </c>
      <c r="B854" s="4">
        <v>-11.14</v>
      </c>
      <c r="C854" s="4">
        <v>-0.15</v>
      </c>
      <c r="D854" s="4">
        <v>-0.13</v>
      </c>
      <c r="E854" s="4">
        <v>-3.9826287753473508E-3</v>
      </c>
      <c r="F854" s="3">
        <v>852</v>
      </c>
      <c r="G854" s="3">
        <v>1</v>
      </c>
      <c r="H854" s="5">
        <v>32036289.120000001</v>
      </c>
      <c r="I854" s="5">
        <v>25203559.120000001</v>
      </c>
      <c r="J854" s="5">
        <v>0</v>
      </c>
      <c r="K854" s="5">
        <v>6832730</v>
      </c>
      <c r="L854" s="5">
        <v>10527930</v>
      </c>
      <c r="M854" s="5">
        <v>-2262330</v>
      </c>
      <c r="N854" s="5">
        <v>-2552650</v>
      </c>
    </row>
    <row r="855" spans="1:14" x14ac:dyDescent="0.25">
      <c r="A855" s="3" t="s">
        <v>866</v>
      </c>
      <c r="B855" s="4">
        <v>-12.45</v>
      </c>
      <c r="C855" s="4">
        <v>-0.43</v>
      </c>
      <c r="D855" s="4">
        <v>-0.14000000000000001</v>
      </c>
      <c r="E855" s="4">
        <v>-3.9827928520125323E-3</v>
      </c>
      <c r="F855" s="3">
        <v>853</v>
      </c>
      <c r="G855" s="3">
        <v>1</v>
      </c>
      <c r="H855" s="5">
        <v>778724389.79999995</v>
      </c>
      <c r="I855" s="5">
        <v>588132389.79999995</v>
      </c>
      <c r="J855" s="5">
        <v>0</v>
      </c>
      <c r="K855" s="5">
        <v>190592000</v>
      </c>
      <c r="L855" s="5">
        <v>786565000</v>
      </c>
      <c r="M855" s="5">
        <v>-47222000</v>
      </c>
      <c r="N855" s="5">
        <v>-85288000</v>
      </c>
    </row>
    <row r="856" spans="1:14" x14ac:dyDescent="0.25">
      <c r="A856" s="3" t="s">
        <v>867</v>
      </c>
      <c r="B856" s="4">
        <v>6.27</v>
      </c>
      <c r="C856" s="4">
        <v>3.59</v>
      </c>
      <c r="D856" s="4">
        <v>-0.38</v>
      </c>
      <c r="E856" s="4">
        <v>-4.0000525349895436E-3</v>
      </c>
      <c r="F856" s="3">
        <v>854</v>
      </c>
      <c r="G856" s="3">
        <v>1</v>
      </c>
      <c r="H856" s="5">
        <v>2224505701.8600001</v>
      </c>
      <c r="I856" s="5">
        <v>5547042701.8600006</v>
      </c>
      <c r="J856" s="5">
        <v>3900493000</v>
      </c>
      <c r="K856" s="5">
        <v>577956000</v>
      </c>
      <c r="L856" s="5">
        <v>1711225000</v>
      </c>
      <c r="M856" s="5">
        <v>885032000</v>
      </c>
      <c r="N856" s="5">
        <v>-1632025000</v>
      </c>
    </row>
    <row r="857" spans="1:14" x14ac:dyDescent="0.25">
      <c r="A857" s="3" t="s">
        <v>868</v>
      </c>
      <c r="B857" s="4">
        <v>-14.98</v>
      </c>
      <c r="C857" s="4">
        <v>-0.93</v>
      </c>
      <c r="D857" s="4">
        <v>-0.86</v>
      </c>
      <c r="E857" s="4">
        <v>-4.0004940749552584E-3</v>
      </c>
      <c r="F857" s="3">
        <v>855</v>
      </c>
      <c r="G857" s="3">
        <v>1</v>
      </c>
      <c r="H857" s="5">
        <v>2994737934.5</v>
      </c>
      <c r="I857" s="5">
        <v>2881310934.5</v>
      </c>
      <c r="J857" s="5">
        <v>0</v>
      </c>
      <c r="K857" s="5">
        <v>113427000</v>
      </c>
      <c r="L857" s="5">
        <v>0</v>
      </c>
      <c r="M857" s="5">
        <v>-192360000</v>
      </c>
      <c r="N857" s="5">
        <v>-177810000</v>
      </c>
    </row>
    <row r="858" spans="1:14" x14ac:dyDescent="0.25">
      <c r="A858" s="3" t="s">
        <v>869</v>
      </c>
      <c r="B858" s="4">
        <v>-8.1300000000000008</v>
      </c>
      <c r="C858" s="4">
        <v>0.79</v>
      </c>
      <c r="D858" s="4">
        <v>-4.7</v>
      </c>
      <c r="E858" s="4">
        <v>-4.0111457767287913E-3</v>
      </c>
      <c r="F858" s="3">
        <v>856</v>
      </c>
      <c r="G858" s="3">
        <v>1</v>
      </c>
      <c r="H858" s="5">
        <v>29251479.578400001</v>
      </c>
      <c r="I858" s="5">
        <v>32103499.578400001</v>
      </c>
      <c r="J858" s="5">
        <v>3159460</v>
      </c>
      <c r="K858" s="5">
        <v>307440</v>
      </c>
      <c r="L858" s="5">
        <v>617140</v>
      </c>
      <c r="M858" s="5">
        <v>-3947520</v>
      </c>
      <c r="N858" s="5">
        <v>-4732550</v>
      </c>
    </row>
    <row r="859" spans="1:14" x14ac:dyDescent="0.25">
      <c r="A859" s="3" t="s">
        <v>870</v>
      </c>
      <c r="B859" s="4">
        <v>-10.130000000000001</v>
      </c>
      <c r="C859" s="4">
        <v>0.04</v>
      </c>
      <c r="D859" s="4">
        <v>0.04</v>
      </c>
      <c r="E859" s="4">
        <v>-4.0259665656598694E-3</v>
      </c>
      <c r="F859" s="3">
        <v>857</v>
      </c>
      <c r="G859" s="3">
        <v>1</v>
      </c>
      <c r="H859" s="5">
        <v>452030.4</v>
      </c>
      <c r="I859" s="5">
        <v>395030.4</v>
      </c>
      <c r="J859" s="5">
        <v>0</v>
      </c>
      <c r="K859" s="5">
        <v>57000</v>
      </c>
      <c r="L859" s="5">
        <v>0</v>
      </c>
      <c r="M859" s="5">
        <v>-39000</v>
      </c>
      <c r="N859" s="5">
        <v>78000</v>
      </c>
    </row>
    <row r="860" spans="1:14" x14ac:dyDescent="0.25">
      <c r="A860" s="3" t="s">
        <v>871</v>
      </c>
      <c r="B860" s="4">
        <v>-10.52</v>
      </c>
      <c r="C860" s="4">
        <v>-0.04</v>
      </c>
      <c r="D860" s="4">
        <v>-0.02</v>
      </c>
      <c r="E860" s="4">
        <v>-4.0273105590545484E-3</v>
      </c>
      <c r="F860" s="3">
        <v>858</v>
      </c>
      <c r="G860" s="3">
        <v>1</v>
      </c>
      <c r="H860" s="5">
        <v>21378718.800000001</v>
      </c>
      <c r="I860" s="5">
        <v>14906718.800000001</v>
      </c>
      <c r="J860" s="5">
        <v>0</v>
      </c>
      <c r="K860" s="5">
        <v>6472000</v>
      </c>
      <c r="L860" s="5">
        <v>4255000</v>
      </c>
      <c r="M860" s="5">
        <v>-1417000</v>
      </c>
      <c r="N860" s="5">
        <v>-629000</v>
      </c>
    </row>
    <row r="861" spans="1:14" x14ac:dyDescent="0.25">
      <c r="A861" s="3" t="s">
        <v>872</v>
      </c>
      <c r="B861" s="4">
        <v>-4.79</v>
      </c>
      <c r="C861" s="4">
        <v>1.19</v>
      </c>
      <c r="D861" s="4">
        <v>-0.17</v>
      </c>
      <c r="E861" s="4">
        <v>-4.0487471593641834E-3</v>
      </c>
      <c r="F861" s="3">
        <v>859</v>
      </c>
      <c r="G861" s="3">
        <v>1</v>
      </c>
      <c r="H861" s="5">
        <v>11916055.221100001</v>
      </c>
      <c r="I861" s="5">
        <v>56146085.221100003</v>
      </c>
      <c r="J861" s="5">
        <v>45076620</v>
      </c>
      <c r="K861" s="5">
        <v>846590</v>
      </c>
      <c r="L861" s="5">
        <v>70314320</v>
      </c>
      <c r="M861" s="5">
        <v>-11726760</v>
      </c>
      <c r="N861" s="5">
        <v>-14505460</v>
      </c>
    </row>
    <row r="862" spans="1:14" x14ac:dyDescent="0.25">
      <c r="A862" s="3" t="s">
        <v>873</v>
      </c>
      <c r="B862" s="4">
        <v>-12.04</v>
      </c>
      <c r="C862" s="4">
        <v>-0.36</v>
      </c>
      <c r="D862" s="4">
        <v>-0.26</v>
      </c>
      <c r="E862" s="4">
        <v>-4.0574433554215724E-3</v>
      </c>
      <c r="F862" s="3">
        <v>860</v>
      </c>
      <c r="G862" s="3">
        <v>1</v>
      </c>
      <c r="H862" s="5">
        <v>1356749837.8</v>
      </c>
      <c r="I862" s="5">
        <v>1325294837.8</v>
      </c>
      <c r="J862" s="5">
        <v>28000</v>
      </c>
      <c r="K862" s="5">
        <v>31483000</v>
      </c>
      <c r="L862" s="5">
        <v>76304000</v>
      </c>
      <c r="M862" s="5">
        <v>-110106000</v>
      </c>
      <c r="N862" s="5">
        <v>-122695000</v>
      </c>
    </row>
    <row r="863" spans="1:14" x14ac:dyDescent="0.25">
      <c r="A863" s="3" t="s">
        <v>874</v>
      </c>
      <c r="B863" s="4">
        <v>-10.23</v>
      </c>
      <c r="C863" s="4">
        <v>0.13</v>
      </c>
      <c r="D863" s="4">
        <v>-1.88</v>
      </c>
      <c r="E863" s="4">
        <v>-4.0744051484400976E-3</v>
      </c>
      <c r="F863" s="3">
        <v>861</v>
      </c>
      <c r="G863" s="3">
        <v>1</v>
      </c>
      <c r="H863" s="5">
        <v>1788458.6429999999</v>
      </c>
      <c r="I863" s="5">
        <v>144548458.64300001</v>
      </c>
      <c r="J863" s="5">
        <v>151049000</v>
      </c>
      <c r="K863" s="5">
        <v>8289000</v>
      </c>
      <c r="L863" s="5">
        <v>0</v>
      </c>
      <c r="M863" s="5">
        <v>-14133000</v>
      </c>
      <c r="N863" s="5">
        <v>-18957000</v>
      </c>
    </row>
    <row r="864" spans="1:14" x14ac:dyDescent="0.25">
      <c r="A864" s="3" t="s">
        <v>875</v>
      </c>
      <c r="B864" s="4">
        <v>-1.51</v>
      </c>
      <c r="C864" s="4">
        <v>1.91</v>
      </c>
      <c r="D864" s="4">
        <v>-0.57999999999999996</v>
      </c>
      <c r="E864" s="4">
        <v>-4.0775570126423506E-3</v>
      </c>
      <c r="F864" s="3">
        <v>862</v>
      </c>
      <c r="G864" s="3">
        <v>1</v>
      </c>
      <c r="H864" s="5">
        <v>4483.7722999999996</v>
      </c>
      <c r="I864" s="5">
        <v>27473483.772300001</v>
      </c>
      <c r="J864" s="5">
        <v>29672000</v>
      </c>
      <c r="K864" s="5">
        <v>2203000</v>
      </c>
      <c r="L864" s="5">
        <v>119923000</v>
      </c>
      <c r="M864" s="5">
        <v>-18168000</v>
      </c>
      <c r="N864" s="5">
        <v>-30959000</v>
      </c>
    </row>
    <row r="865" spans="1:14" x14ac:dyDescent="0.25">
      <c r="A865" s="3" t="s">
        <v>876</v>
      </c>
      <c r="B865" s="4">
        <v>-4.34</v>
      </c>
      <c r="C865" s="4">
        <v>1.32</v>
      </c>
      <c r="D865" s="4">
        <v>-0.88</v>
      </c>
      <c r="E865" s="4">
        <v>-4.0886054115476279E-3</v>
      </c>
      <c r="F865" s="3">
        <v>863</v>
      </c>
      <c r="G865" s="3">
        <v>1</v>
      </c>
      <c r="H865" s="5">
        <v>944718483.20000005</v>
      </c>
      <c r="I865" s="5">
        <v>1201902483.2</v>
      </c>
      <c r="J865" s="5">
        <v>554447000</v>
      </c>
      <c r="K865" s="5">
        <v>297263000</v>
      </c>
      <c r="L865" s="5">
        <v>55252000</v>
      </c>
      <c r="M865" s="5">
        <v>-276667000</v>
      </c>
      <c r="N865" s="5">
        <v>-334326000</v>
      </c>
    </row>
    <row r="866" spans="1:14" x14ac:dyDescent="0.25">
      <c r="A866" s="3" t="s">
        <v>877</v>
      </c>
      <c r="B866" s="4">
        <v>-7.53</v>
      </c>
      <c r="C866" s="4">
        <v>0.6</v>
      </c>
      <c r="D866" s="4">
        <v>-0.36</v>
      </c>
      <c r="E866" s="4">
        <v>-4.0942791171905933E-3</v>
      </c>
      <c r="F866" s="3">
        <v>864</v>
      </c>
      <c r="G866" s="3">
        <v>1</v>
      </c>
      <c r="H866" s="5">
        <v>224449791.25</v>
      </c>
      <c r="I866" s="5">
        <v>182786861.25</v>
      </c>
      <c r="J866" s="5">
        <v>22158470</v>
      </c>
      <c r="K866" s="5">
        <v>63821400</v>
      </c>
      <c r="L866" s="5">
        <v>46435410</v>
      </c>
      <c r="M866" s="5">
        <v>-24278760</v>
      </c>
      <c r="N866" s="5">
        <v>-39475320</v>
      </c>
    </row>
    <row r="867" spans="1:14" x14ac:dyDescent="0.25">
      <c r="A867" s="3" t="s">
        <v>878</v>
      </c>
      <c r="B867" s="4">
        <v>-8.7200000000000006</v>
      </c>
      <c r="C867" s="4">
        <v>0.34</v>
      </c>
      <c r="D867" s="4">
        <v>-0.32</v>
      </c>
      <c r="E867" s="4">
        <v>-4.1012813153042636E-3</v>
      </c>
      <c r="F867" s="3">
        <v>865</v>
      </c>
      <c r="G867" s="3">
        <v>1</v>
      </c>
      <c r="H867" s="5">
        <v>78628524</v>
      </c>
      <c r="I867" s="5">
        <v>75706524</v>
      </c>
      <c r="J867" s="5">
        <v>0</v>
      </c>
      <c r="K867" s="5">
        <v>2922000</v>
      </c>
      <c r="L867" s="5">
        <v>0</v>
      </c>
      <c r="M867" s="5">
        <v>-8682000</v>
      </c>
      <c r="N867" s="5">
        <v>-11123000</v>
      </c>
    </row>
    <row r="868" spans="1:14" x14ac:dyDescent="0.25">
      <c r="A868" s="3" t="s">
        <v>879</v>
      </c>
      <c r="B868" s="4">
        <v>-8.68</v>
      </c>
      <c r="C868" s="4">
        <v>0.82</v>
      </c>
      <c r="D868" s="4">
        <v>-7.41</v>
      </c>
      <c r="E868" s="4">
        <v>-4.106824844850249E-3</v>
      </c>
      <c r="F868" s="3">
        <v>866</v>
      </c>
      <c r="G868" s="3">
        <v>1</v>
      </c>
      <c r="H868" s="5">
        <v>16494926.208000001</v>
      </c>
      <c r="I868" s="5">
        <v>17383546.208000001</v>
      </c>
      <c r="J868" s="5">
        <v>1057500</v>
      </c>
      <c r="K868" s="5">
        <v>168880</v>
      </c>
      <c r="L868" s="5">
        <v>0</v>
      </c>
      <c r="M868" s="5">
        <v>-2003530</v>
      </c>
      <c r="N868" s="5">
        <v>-2001730</v>
      </c>
    </row>
    <row r="869" spans="1:14" x14ac:dyDescent="0.25">
      <c r="A869" s="3" t="s">
        <v>880</v>
      </c>
      <c r="B869" s="4">
        <v>-0.9</v>
      </c>
      <c r="C869" s="4">
        <v>2.09</v>
      </c>
      <c r="D869" s="4">
        <v>-1.63</v>
      </c>
      <c r="E869" s="4">
        <v>-4.1375614245419481E-3</v>
      </c>
      <c r="F869" s="3">
        <v>867</v>
      </c>
      <c r="G869" s="3">
        <v>1</v>
      </c>
      <c r="H869" s="5">
        <v>63497850</v>
      </c>
      <c r="I869" s="5">
        <v>309562850</v>
      </c>
      <c r="J869" s="5">
        <v>274960000</v>
      </c>
      <c r="K869" s="5">
        <v>28895000</v>
      </c>
      <c r="L869" s="5">
        <v>509048000</v>
      </c>
      <c r="M869" s="5">
        <v>-345037000</v>
      </c>
      <c r="N869" s="5">
        <v>-614300000</v>
      </c>
    </row>
    <row r="870" spans="1:14" x14ac:dyDescent="0.25">
      <c r="A870" s="3" t="s">
        <v>881</v>
      </c>
      <c r="B870" s="4">
        <v>-2.83</v>
      </c>
      <c r="C870" s="4">
        <v>-1.27</v>
      </c>
      <c r="D870" s="4">
        <v>42.48</v>
      </c>
      <c r="E870" s="4">
        <v>-4.1423604484854999E-3</v>
      </c>
      <c r="F870" s="3">
        <v>868</v>
      </c>
      <c r="G870" s="3">
        <v>1</v>
      </c>
      <c r="H870" s="5">
        <v>3841588.6255999999</v>
      </c>
      <c r="I870" s="5">
        <v>4789228.6255999999</v>
      </c>
      <c r="J870" s="5">
        <v>968600</v>
      </c>
      <c r="K870" s="5">
        <v>20960</v>
      </c>
      <c r="L870" s="5">
        <v>0</v>
      </c>
      <c r="M870" s="5">
        <v>-1692060</v>
      </c>
      <c r="N870" s="5">
        <v>2122190</v>
      </c>
    </row>
    <row r="871" spans="1:14" x14ac:dyDescent="0.25">
      <c r="A871" s="3" t="s">
        <v>882</v>
      </c>
      <c r="B871" s="4">
        <v>-9.64</v>
      </c>
      <c r="C871" s="4">
        <v>0.11</v>
      </c>
      <c r="D871" s="4">
        <v>-0.04</v>
      </c>
      <c r="E871" s="4">
        <v>-4.142414608335504E-3</v>
      </c>
      <c r="F871" s="3">
        <v>869</v>
      </c>
      <c r="G871" s="3">
        <v>1</v>
      </c>
      <c r="H871" s="5">
        <v>309300201.95999998</v>
      </c>
      <c r="I871" s="5">
        <v>523040201.95999998</v>
      </c>
      <c r="J871" s="5">
        <v>245434000</v>
      </c>
      <c r="K871" s="5">
        <v>31694000</v>
      </c>
      <c r="L871" s="5">
        <v>327274000</v>
      </c>
      <c r="M871" s="5">
        <v>-54275000</v>
      </c>
      <c r="N871" s="5">
        <v>-21074000</v>
      </c>
    </row>
    <row r="872" spans="1:14" x14ac:dyDescent="0.25">
      <c r="A872" s="3" t="s">
        <v>883</v>
      </c>
      <c r="B872" s="4">
        <v>-9.5299999999999994</v>
      </c>
      <c r="C872" s="4">
        <v>0.14000000000000001</v>
      </c>
      <c r="D872" s="4">
        <v>-0.14000000000000001</v>
      </c>
      <c r="E872" s="4">
        <v>-4.1431053157350416E-3</v>
      </c>
      <c r="F872" s="3">
        <v>870</v>
      </c>
      <c r="G872" s="3">
        <v>1</v>
      </c>
      <c r="H872" s="5">
        <v>13.761084</v>
      </c>
      <c r="I872" s="5">
        <v>86055013.761084005</v>
      </c>
      <c r="J872" s="5">
        <v>92332000</v>
      </c>
      <c r="K872" s="5">
        <v>6277000</v>
      </c>
      <c r="L872" s="5">
        <v>11480000</v>
      </c>
      <c r="M872" s="5">
        <v>-9031000</v>
      </c>
      <c r="N872" s="5">
        <v>-8226000</v>
      </c>
    </row>
    <row r="873" spans="1:14" x14ac:dyDescent="0.25">
      <c r="A873" s="3" t="s">
        <v>884</v>
      </c>
      <c r="B873" s="4">
        <v>-12.21</v>
      </c>
      <c r="C873" s="4">
        <v>-0.43</v>
      </c>
      <c r="D873" s="4">
        <v>-0.3</v>
      </c>
      <c r="E873" s="4">
        <v>-4.1621982139824834E-3</v>
      </c>
      <c r="F873" s="3">
        <v>871</v>
      </c>
      <c r="G873" s="3">
        <v>1</v>
      </c>
      <c r="H873" s="5">
        <v>58635299.340000004</v>
      </c>
      <c r="I873" s="5">
        <v>57556299.340000004</v>
      </c>
      <c r="J873" s="5">
        <v>0</v>
      </c>
      <c r="K873" s="5">
        <v>1079000</v>
      </c>
      <c r="L873" s="5">
        <v>52119000</v>
      </c>
      <c r="M873" s="5">
        <v>-4714000</v>
      </c>
      <c r="N873" s="5">
        <v>-6458000</v>
      </c>
    </row>
    <row r="874" spans="1:14" x14ac:dyDescent="0.25">
      <c r="A874" s="3" t="s">
        <v>885</v>
      </c>
      <c r="B874" s="4">
        <v>-0.52</v>
      </c>
      <c r="C874" s="4">
        <v>2.5499999999999998</v>
      </c>
      <c r="D874" s="4">
        <v>-7.59</v>
      </c>
      <c r="E874" s="4">
        <v>-4.1933451585593204E-3</v>
      </c>
      <c r="F874" s="3">
        <v>872</v>
      </c>
      <c r="G874" s="3">
        <v>1</v>
      </c>
      <c r="H874" s="5">
        <v>984.04740600000002</v>
      </c>
      <c r="I874" s="5">
        <v>626314.04740599997</v>
      </c>
      <c r="J874" s="5">
        <v>669780</v>
      </c>
      <c r="K874" s="5">
        <v>44450</v>
      </c>
      <c r="L874" s="5">
        <v>82560</v>
      </c>
      <c r="M874" s="5">
        <v>-1199430</v>
      </c>
      <c r="N874" s="5">
        <v>-1658770</v>
      </c>
    </row>
    <row r="875" spans="1:14" x14ac:dyDescent="0.25">
      <c r="A875" s="3" t="s">
        <v>886</v>
      </c>
      <c r="B875" s="4">
        <v>-9.94</v>
      </c>
      <c r="C875" s="4">
        <v>0.02</v>
      </c>
      <c r="D875" s="4">
        <v>0.01</v>
      </c>
      <c r="E875" s="4">
        <v>-4.2071357676657754E-3</v>
      </c>
      <c r="F875" s="3">
        <v>873</v>
      </c>
      <c r="G875" s="3">
        <v>1</v>
      </c>
      <c r="H875" s="5">
        <v>832200721.5</v>
      </c>
      <c r="I875" s="5">
        <v>545756721.5</v>
      </c>
      <c r="J875" s="5">
        <v>0</v>
      </c>
      <c r="K875" s="5">
        <v>286444000</v>
      </c>
      <c r="L875" s="5">
        <v>673759000</v>
      </c>
      <c r="M875" s="5">
        <v>-54903000</v>
      </c>
      <c r="N875" s="5">
        <v>12363000</v>
      </c>
    </row>
    <row r="876" spans="1:14" x14ac:dyDescent="0.25">
      <c r="A876" s="3" t="s">
        <v>887</v>
      </c>
      <c r="B876" s="4">
        <v>-10.72</v>
      </c>
      <c r="C876" s="4">
        <v>-0.14000000000000001</v>
      </c>
      <c r="D876" s="4">
        <v>-0.14000000000000001</v>
      </c>
      <c r="E876" s="4">
        <v>-4.2156108341876511E-3</v>
      </c>
      <c r="F876" s="3">
        <v>874</v>
      </c>
      <c r="G876" s="3">
        <v>1</v>
      </c>
      <c r="H876" s="5">
        <v>1855229615.1900001</v>
      </c>
      <c r="I876" s="5">
        <v>1685719615.1900001</v>
      </c>
      <c r="J876" s="5">
        <v>0</v>
      </c>
      <c r="K876" s="5">
        <v>169510000</v>
      </c>
      <c r="L876" s="5">
        <v>0</v>
      </c>
      <c r="M876" s="5">
        <v>-157236000</v>
      </c>
      <c r="N876" s="5">
        <v>-122526000</v>
      </c>
    </row>
    <row r="877" spans="1:14" x14ac:dyDescent="0.25">
      <c r="A877" s="3" t="s">
        <v>888</v>
      </c>
      <c r="B877" s="4">
        <v>-11.35</v>
      </c>
      <c r="C877" s="4">
        <v>-0.27</v>
      </c>
      <c r="D877" s="4">
        <v>-0.23</v>
      </c>
      <c r="E877" s="4">
        <v>-4.2186690056572728E-3</v>
      </c>
      <c r="F877" s="3">
        <v>875</v>
      </c>
      <c r="G877" s="3">
        <v>1</v>
      </c>
      <c r="H877" s="5">
        <v>49407350.374200001</v>
      </c>
      <c r="I877" s="5">
        <v>47386350.374200001</v>
      </c>
      <c r="J877" s="5">
        <v>1527000</v>
      </c>
      <c r="K877" s="5">
        <v>3548000</v>
      </c>
      <c r="L877" s="5">
        <v>17779000</v>
      </c>
      <c r="M877" s="5">
        <v>-4176000</v>
      </c>
      <c r="N877" s="5">
        <v>-2402000</v>
      </c>
    </row>
    <row r="878" spans="1:14" x14ac:dyDescent="0.25">
      <c r="A878" s="3" t="s">
        <v>889</v>
      </c>
      <c r="B878" s="4">
        <v>-6.89</v>
      </c>
      <c r="C878" s="4">
        <v>1.66</v>
      </c>
      <c r="D878" s="4">
        <v>-14.89</v>
      </c>
      <c r="E878" s="4">
        <v>-4.2305415553870306E-3</v>
      </c>
      <c r="F878" s="3">
        <v>876</v>
      </c>
      <c r="G878" s="3">
        <v>1</v>
      </c>
      <c r="H878" s="5">
        <v>13741.3058</v>
      </c>
      <c r="I878" s="5">
        <v>27431.305799999998</v>
      </c>
      <c r="J878" s="5">
        <v>14170</v>
      </c>
      <c r="K878" s="5">
        <v>480</v>
      </c>
      <c r="L878" s="5">
        <v>7350</v>
      </c>
      <c r="M878" s="5">
        <v>-3980</v>
      </c>
      <c r="N878" s="5">
        <v>-282780</v>
      </c>
    </row>
    <row r="879" spans="1:14" x14ac:dyDescent="0.25">
      <c r="A879" s="3" t="s">
        <v>890</v>
      </c>
      <c r="B879" s="4">
        <v>-11.13</v>
      </c>
      <c r="C879" s="4">
        <v>-0.23</v>
      </c>
      <c r="D879" s="4">
        <v>-0.21</v>
      </c>
      <c r="E879" s="4">
        <v>-4.2353990497801357E-3</v>
      </c>
      <c r="F879" s="3">
        <v>877</v>
      </c>
      <c r="G879" s="3">
        <v>1</v>
      </c>
      <c r="H879" s="5">
        <v>4005305024.8200002</v>
      </c>
      <c r="I879" s="5">
        <v>3740760024.8200002</v>
      </c>
      <c r="J879" s="5">
        <v>0</v>
      </c>
      <c r="K879" s="5">
        <v>264545000</v>
      </c>
      <c r="L879" s="5">
        <v>1039000</v>
      </c>
      <c r="M879" s="5">
        <v>-336054000</v>
      </c>
      <c r="N879" s="5">
        <v>-298408000</v>
      </c>
    </row>
    <row r="880" spans="1:14" x14ac:dyDescent="0.25">
      <c r="A880" s="3" t="s">
        <v>891</v>
      </c>
      <c r="B880" s="4">
        <v>-7.03</v>
      </c>
      <c r="C880" s="4">
        <v>1.1299999999999999</v>
      </c>
      <c r="D880" s="4">
        <v>-7.48</v>
      </c>
      <c r="E880" s="4">
        <v>-4.2458451534623694E-3</v>
      </c>
      <c r="F880" s="3">
        <v>878</v>
      </c>
      <c r="G880" s="3">
        <v>1</v>
      </c>
      <c r="H880" s="5">
        <v>3043499.6716499999</v>
      </c>
      <c r="I880" s="5">
        <v>3290469.6716499999</v>
      </c>
      <c r="J880" s="5">
        <v>246970</v>
      </c>
      <c r="K880" s="5">
        <v>0</v>
      </c>
      <c r="L880" s="5">
        <v>0</v>
      </c>
      <c r="M880" s="5">
        <v>-467860</v>
      </c>
      <c r="N880" s="5">
        <v>-435950</v>
      </c>
    </row>
    <row r="881" spans="1:14" x14ac:dyDescent="0.25">
      <c r="A881" s="3" t="s">
        <v>892</v>
      </c>
      <c r="B881" s="4">
        <v>-11.41</v>
      </c>
      <c r="C881" s="4">
        <v>-0.28999999999999998</v>
      </c>
      <c r="D881" s="4">
        <v>-0.27</v>
      </c>
      <c r="E881" s="4">
        <v>-4.2470370918137497E-3</v>
      </c>
      <c r="F881" s="3">
        <v>879</v>
      </c>
      <c r="G881" s="3">
        <v>1</v>
      </c>
      <c r="H881" s="5">
        <v>1829854947.96</v>
      </c>
      <c r="I881" s="5">
        <v>1788188947.96</v>
      </c>
      <c r="J881" s="5">
        <v>0</v>
      </c>
      <c r="K881" s="5">
        <v>41666000</v>
      </c>
      <c r="L881" s="5">
        <v>0</v>
      </c>
      <c r="M881" s="5">
        <v>-156763000</v>
      </c>
      <c r="N881" s="5">
        <v>-133813000</v>
      </c>
    </row>
    <row r="882" spans="1:14" x14ac:dyDescent="0.25">
      <c r="A882" s="3" t="s">
        <v>893</v>
      </c>
      <c r="B882" s="4">
        <v>-11.67</v>
      </c>
      <c r="C882" s="4">
        <v>-0.35</v>
      </c>
      <c r="D882" s="4">
        <v>-0.25</v>
      </c>
      <c r="E882" s="4">
        <v>-4.2556213326214714E-3</v>
      </c>
      <c r="F882" s="3">
        <v>880</v>
      </c>
      <c r="G882" s="3">
        <v>1</v>
      </c>
      <c r="H882" s="5">
        <v>33444409.600000001</v>
      </c>
      <c r="I882" s="5">
        <v>32901409.600000001</v>
      </c>
      <c r="J882" s="5">
        <v>846000</v>
      </c>
      <c r="K882" s="5">
        <v>1389000</v>
      </c>
      <c r="L882" s="5">
        <v>18532000</v>
      </c>
      <c r="M882" s="5">
        <v>-2819000</v>
      </c>
      <c r="N882" s="5">
        <v>-4290000</v>
      </c>
    </row>
    <row r="883" spans="1:14" x14ac:dyDescent="0.25">
      <c r="A883" s="3" t="s">
        <v>894</v>
      </c>
      <c r="B883" s="4">
        <v>-19.100000000000001</v>
      </c>
      <c r="C883" s="4">
        <v>-1.92</v>
      </c>
      <c r="D883" s="4">
        <v>-0.63</v>
      </c>
      <c r="E883" s="4">
        <v>-4.2666408109080546E-3</v>
      </c>
      <c r="F883" s="3">
        <v>881</v>
      </c>
      <c r="G883" s="3">
        <v>1</v>
      </c>
      <c r="H883" s="5">
        <v>6408828604.5600004</v>
      </c>
      <c r="I883" s="5">
        <v>6210637604.5600004</v>
      </c>
      <c r="J883" s="5">
        <v>49000</v>
      </c>
      <c r="K883" s="5">
        <v>198240000</v>
      </c>
      <c r="L883" s="5">
        <v>84693000</v>
      </c>
      <c r="M883" s="5">
        <v>-325207000</v>
      </c>
      <c r="N883" s="5">
        <v>-350681000</v>
      </c>
    </row>
    <row r="884" spans="1:14" x14ac:dyDescent="0.25">
      <c r="A884" s="3" t="s">
        <v>895</v>
      </c>
      <c r="B884" s="4">
        <v>-10.119999999999999</v>
      </c>
      <c r="C884" s="4">
        <v>-0.04</v>
      </c>
      <c r="D884" s="4">
        <v>-0.03</v>
      </c>
      <c r="E884" s="4">
        <v>-4.2768078135151516E-3</v>
      </c>
      <c r="F884" s="3">
        <v>882</v>
      </c>
      <c r="G884" s="3">
        <v>1</v>
      </c>
      <c r="H884" s="5">
        <v>13814697660.889999</v>
      </c>
      <c r="I884" s="5">
        <v>11193240660.889999</v>
      </c>
      <c r="J884" s="5">
        <v>0</v>
      </c>
      <c r="K884" s="5">
        <v>2621457000</v>
      </c>
      <c r="L884" s="5">
        <v>29053000</v>
      </c>
      <c r="M884" s="5">
        <v>-1106349000</v>
      </c>
      <c r="N884" s="5">
        <v>-171981000</v>
      </c>
    </row>
    <row r="885" spans="1:14" x14ac:dyDescent="0.25">
      <c r="A885" s="3" t="s">
        <v>896</v>
      </c>
      <c r="B885" s="4">
        <v>-9.26</v>
      </c>
      <c r="C885" s="4">
        <v>0.44</v>
      </c>
      <c r="D885" s="4">
        <v>-4.66</v>
      </c>
      <c r="E885" s="4">
        <v>-4.315325672155047E-3</v>
      </c>
      <c r="F885" s="3">
        <v>883</v>
      </c>
      <c r="G885" s="3">
        <v>1</v>
      </c>
      <c r="H885" s="5">
        <v>3002711</v>
      </c>
      <c r="I885" s="5">
        <v>4243991</v>
      </c>
      <c r="J885" s="5">
        <v>1242650</v>
      </c>
      <c r="K885" s="5">
        <v>1370</v>
      </c>
      <c r="L885" s="5">
        <v>323940</v>
      </c>
      <c r="M885" s="5">
        <v>-458290</v>
      </c>
      <c r="N885" s="5">
        <v>-1308800</v>
      </c>
    </row>
    <row r="886" spans="1:14" x14ac:dyDescent="0.25">
      <c r="A886" s="3" t="s">
        <v>897</v>
      </c>
      <c r="B886" s="4">
        <v>-11.41</v>
      </c>
      <c r="C886" s="4">
        <v>-0.33</v>
      </c>
      <c r="D886" s="4">
        <v>-0.14000000000000001</v>
      </c>
      <c r="E886" s="4">
        <v>-4.3375341743640064E-3</v>
      </c>
      <c r="F886" s="3">
        <v>884</v>
      </c>
      <c r="G886" s="3">
        <v>1</v>
      </c>
      <c r="H886" s="5">
        <v>148350237.93000001</v>
      </c>
      <c r="I886" s="5">
        <v>129306167.93000001</v>
      </c>
      <c r="J886" s="5">
        <v>0</v>
      </c>
      <c r="K886" s="5">
        <v>19044070</v>
      </c>
      <c r="L886" s="5">
        <v>0</v>
      </c>
      <c r="M886" s="5">
        <v>-11334750</v>
      </c>
      <c r="N886" s="5">
        <v>-3334360</v>
      </c>
    </row>
    <row r="887" spans="1:14" x14ac:dyDescent="0.25">
      <c r="A887" s="3" t="s">
        <v>898</v>
      </c>
      <c r="B887" s="4">
        <v>-1.62</v>
      </c>
      <c r="C887" s="4">
        <v>1.83</v>
      </c>
      <c r="D887" s="4">
        <v>-1.1299999999999999</v>
      </c>
      <c r="E887" s="4">
        <v>-4.346721067852985E-3</v>
      </c>
      <c r="F887" s="3">
        <v>885</v>
      </c>
      <c r="G887" s="3">
        <v>1</v>
      </c>
      <c r="H887" s="5">
        <v>19942483.842599999</v>
      </c>
      <c r="I887" s="5">
        <v>27529943.842599999</v>
      </c>
      <c r="J887" s="5">
        <v>7733970</v>
      </c>
      <c r="K887" s="5">
        <v>146510</v>
      </c>
      <c r="L887" s="5">
        <v>386940</v>
      </c>
      <c r="M887" s="5">
        <v>-16974750</v>
      </c>
      <c r="N887" s="5">
        <v>-30113500</v>
      </c>
    </row>
    <row r="888" spans="1:14" x14ac:dyDescent="0.25">
      <c r="A888" s="3" t="s">
        <v>899</v>
      </c>
      <c r="B888" s="4">
        <v>-6.77</v>
      </c>
      <c r="C888" s="4">
        <v>0.7</v>
      </c>
      <c r="D888" s="4">
        <v>-0.74</v>
      </c>
      <c r="E888" s="4">
        <v>-4.3490256899691247E-3</v>
      </c>
      <c r="F888" s="3">
        <v>886</v>
      </c>
      <c r="G888" s="3">
        <v>1</v>
      </c>
      <c r="H888" s="5">
        <v>109872562.59999999</v>
      </c>
      <c r="I888" s="5">
        <v>216494562.59999999</v>
      </c>
      <c r="J888" s="5">
        <v>123086000</v>
      </c>
      <c r="K888" s="5">
        <v>16464000</v>
      </c>
      <c r="L888" s="5">
        <v>274058000</v>
      </c>
      <c r="M888" s="5">
        <v>-31990000</v>
      </c>
      <c r="N888" s="5">
        <v>-115091000</v>
      </c>
    </row>
    <row r="889" spans="1:14" x14ac:dyDescent="0.25">
      <c r="A889" s="3" t="s">
        <v>900</v>
      </c>
      <c r="B889" s="4">
        <v>-13.74</v>
      </c>
      <c r="C889" s="4">
        <v>-0.85</v>
      </c>
      <c r="D889" s="4">
        <v>0.09</v>
      </c>
      <c r="E889" s="4">
        <v>-4.3535492004141418E-3</v>
      </c>
      <c r="F889" s="3">
        <v>887</v>
      </c>
      <c r="G889" s="3">
        <v>1</v>
      </c>
      <c r="H889" s="5">
        <v>42395640.173500001</v>
      </c>
      <c r="I889" s="5">
        <v>48607800.173500001</v>
      </c>
      <c r="J889" s="5">
        <v>13745850</v>
      </c>
      <c r="K889" s="5">
        <v>7533690</v>
      </c>
      <c r="L889" s="5">
        <v>10856610</v>
      </c>
      <c r="M889" s="5">
        <v>-3538750</v>
      </c>
      <c r="N889" s="5">
        <v>5750290</v>
      </c>
    </row>
    <row r="890" spans="1:14" x14ac:dyDescent="0.25">
      <c r="A890" s="3" t="s">
        <v>901</v>
      </c>
      <c r="B890" s="4">
        <v>0.86</v>
      </c>
      <c r="C890" s="4">
        <v>2.33</v>
      </c>
      <c r="D890" s="4">
        <v>-1.05</v>
      </c>
      <c r="E890" s="4">
        <v>-4.4215315173852434E-3</v>
      </c>
      <c r="F890" s="3">
        <v>888</v>
      </c>
      <c r="G890" s="3">
        <v>1</v>
      </c>
      <c r="H890" s="5">
        <v>90.761081000000004</v>
      </c>
      <c r="I890" s="5">
        <v>-38312909.238918997</v>
      </c>
      <c r="J890" s="5">
        <v>0</v>
      </c>
      <c r="K890" s="5">
        <v>38313000</v>
      </c>
      <c r="L890" s="5">
        <v>2593000</v>
      </c>
      <c r="M890" s="5">
        <v>-44386000</v>
      </c>
      <c r="N890" s="5">
        <v>-44369000</v>
      </c>
    </row>
    <row r="891" spans="1:14" x14ac:dyDescent="0.25">
      <c r="A891" s="3" t="s">
        <v>902</v>
      </c>
      <c r="B891" s="4">
        <v>-13.21</v>
      </c>
      <c r="C891" s="4">
        <v>-0.72</v>
      </c>
      <c r="D891" s="4">
        <v>-0.53</v>
      </c>
      <c r="E891" s="4">
        <v>-4.4255598589766562E-3</v>
      </c>
      <c r="F891" s="3">
        <v>889</v>
      </c>
      <c r="G891" s="3">
        <v>1</v>
      </c>
      <c r="H891" s="5">
        <v>2490906571.8299999</v>
      </c>
      <c r="I891" s="5">
        <v>2452806571.8299999</v>
      </c>
      <c r="J891" s="5">
        <v>49828000</v>
      </c>
      <c r="K891" s="5">
        <v>87928000</v>
      </c>
      <c r="L891" s="5">
        <v>0</v>
      </c>
      <c r="M891" s="5">
        <v>-185684000</v>
      </c>
      <c r="N891" s="5">
        <v>-175850000</v>
      </c>
    </row>
    <row r="892" spans="1:14" x14ac:dyDescent="0.25">
      <c r="A892" s="3" t="s">
        <v>903</v>
      </c>
      <c r="B892" s="4">
        <v>-0.41</v>
      </c>
      <c r="C892" s="4">
        <v>2.11</v>
      </c>
      <c r="D892" s="4">
        <v>-1.97</v>
      </c>
      <c r="E892" s="4">
        <v>-4.448632193305024E-3</v>
      </c>
      <c r="F892" s="3">
        <v>890</v>
      </c>
      <c r="G892" s="3">
        <v>1</v>
      </c>
      <c r="H892" s="5">
        <v>1708.9516000000001</v>
      </c>
      <c r="I892" s="5">
        <v>1129708.9516</v>
      </c>
      <c r="J892" s="5">
        <v>1181210</v>
      </c>
      <c r="K892" s="5">
        <v>53210</v>
      </c>
      <c r="L892" s="5">
        <v>1182680</v>
      </c>
      <c r="M892" s="5">
        <v>-2729480</v>
      </c>
      <c r="N892" s="5">
        <v>-4249280</v>
      </c>
    </row>
    <row r="893" spans="1:14" x14ac:dyDescent="0.25">
      <c r="A893" s="3" t="s">
        <v>904</v>
      </c>
      <c r="B893" s="4">
        <v>-0.85</v>
      </c>
      <c r="C893" s="4">
        <v>2.15</v>
      </c>
      <c r="D893" s="4">
        <v>-4.03</v>
      </c>
      <c r="E893" s="4">
        <v>-4.4581121895419917E-3</v>
      </c>
      <c r="F893" s="3">
        <v>891</v>
      </c>
      <c r="G893" s="3">
        <v>1</v>
      </c>
      <c r="H893" s="5">
        <v>157.65</v>
      </c>
      <c r="I893" s="5">
        <v>4964157.6500000004</v>
      </c>
      <c r="J893" s="5">
        <v>5835000</v>
      </c>
      <c r="K893" s="5">
        <v>871000</v>
      </c>
      <c r="L893" s="5">
        <v>0</v>
      </c>
      <c r="M893" s="5">
        <v>-5808000</v>
      </c>
      <c r="N893" s="5">
        <v>-10716000</v>
      </c>
    </row>
    <row r="894" spans="1:14" x14ac:dyDescent="0.25">
      <c r="A894" s="3" t="s">
        <v>905</v>
      </c>
      <c r="B894" s="4">
        <v>-0.38</v>
      </c>
      <c r="C894" s="4">
        <v>2.3199999999999998</v>
      </c>
      <c r="D894" s="4">
        <v>-5.12</v>
      </c>
      <c r="E894" s="4">
        <v>-4.4680774350069879E-3</v>
      </c>
      <c r="F894" s="3">
        <v>892</v>
      </c>
      <c r="G894" s="3">
        <v>1</v>
      </c>
      <c r="H894" s="5">
        <v>10990.0592</v>
      </c>
      <c r="I894" s="5">
        <v>39200990.059199996</v>
      </c>
      <c r="J894" s="5">
        <v>47816000</v>
      </c>
      <c r="K894" s="5">
        <v>8626000</v>
      </c>
      <c r="L894" s="5">
        <v>8396000</v>
      </c>
      <c r="M894" s="5">
        <v>-104351000</v>
      </c>
      <c r="N894" s="5">
        <v>-159253000</v>
      </c>
    </row>
    <row r="895" spans="1:14" x14ac:dyDescent="0.25">
      <c r="A895" s="3" t="s">
        <v>906</v>
      </c>
      <c r="B895" s="4">
        <v>-3.85</v>
      </c>
      <c r="C895" s="4">
        <v>1.25</v>
      </c>
      <c r="D895" s="4">
        <v>-0.24</v>
      </c>
      <c r="E895" s="4">
        <v>-4.4706740388452543E-3</v>
      </c>
      <c r="F895" s="3">
        <v>893</v>
      </c>
      <c r="G895" s="3">
        <v>1</v>
      </c>
      <c r="H895" s="5">
        <v>8369200.6595999999</v>
      </c>
      <c r="I895" s="5">
        <v>42227200.659599997</v>
      </c>
      <c r="J895" s="5">
        <v>35303000</v>
      </c>
      <c r="K895" s="5">
        <v>1445000</v>
      </c>
      <c r="L895" s="5">
        <v>62288000</v>
      </c>
      <c r="M895" s="5">
        <v>-10958000</v>
      </c>
      <c r="N895" s="5">
        <v>-6236000</v>
      </c>
    </row>
    <row r="896" spans="1:14" x14ac:dyDescent="0.25">
      <c r="A896" s="3" t="s">
        <v>907</v>
      </c>
      <c r="B896" s="4">
        <v>-0.57999999999999996</v>
      </c>
      <c r="C896" s="4">
        <v>2.14</v>
      </c>
      <c r="D896" s="4">
        <v>-3.15</v>
      </c>
      <c r="E896" s="4">
        <v>-4.4843600115570259E-3</v>
      </c>
      <c r="F896" s="3">
        <v>894</v>
      </c>
      <c r="G896" s="3">
        <v>1</v>
      </c>
      <c r="H896" s="5">
        <v>459.98160000000001</v>
      </c>
      <c r="I896" s="5">
        <v>12518459.9816</v>
      </c>
      <c r="J896" s="5">
        <v>13655000</v>
      </c>
      <c r="K896" s="5">
        <v>1137000</v>
      </c>
      <c r="L896" s="5">
        <v>0</v>
      </c>
      <c r="M896" s="5">
        <v>-21540000</v>
      </c>
      <c r="N896" s="5">
        <v>-26898000</v>
      </c>
    </row>
    <row r="897" spans="1:14" x14ac:dyDescent="0.25">
      <c r="A897" s="3" t="s">
        <v>908</v>
      </c>
      <c r="B897" s="4">
        <v>-0.06</v>
      </c>
      <c r="C897" s="4">
        <v>2.4300000000000002</v>
      </c>
      <c r="D897" s="4">
        <v>-5.86</v>
      </c>
      <c r="E897" s="4">
        <v>-4.4910503068898641E-3</v>
      </c>
      <c r="F897" s="3">
        <v>895</v>
      </c>
      <c r="G897" s="3">
        <v>1</v>
      </c>
      <c r="H897" s="5">
        <v>43.593082000000003</v>
      </c>
      <c r="I897" s="5">
        <v>1860043.593082</v>
      </c>
      <c r="J897" s="5">
        <v>7119000</v>
      </c>
      <c r="K897" s="5">
        <v>5259000</v>
      </c>
      <c r="L897" s="5">
        <v>1269000</v>
      </c>
      <c r="M897" s="5">
        <v>-30813000</v>
      </c>
      <c r="N897" s="5">
        <v>-58795000</v>
      </c>
    </row>
    <row r="898" spans="1:14" x14ac:dyDescent="0.25">
      <c r="A898" s="3" t="s">
        <v>909</v>
      </c>
      <c r="B898" s="4">
        <v>-12.01</v>
      </c>
      <c r="C898" s="4">
        <v>-0.51</v>
      </c>
      <c r="D898" s="4">
        <v>-0.31</v>
      </c>
      <c r="E898" s="4">
        <v>-4.5190602106172043E-3</v>
      </c>
      <c r="F898" s="3">
        <v>896</v>
      </c>
      <c r="G898" s="3">
        <v>1</v>
      </c>
      <c r="H898" s="5">
        <v>15245.183241999999</v>
      </c>
      <c r="I898" s="5">
        <v>361105.183242</v>
      </c>
      <c r="J898" s="5">
        <v>346050</v>
      </c>
      <c r="K898" s="5">
        <v>190</v>
      </c>
      <c r="L898" s="5">
        <v>3800</v>
      </c>
      <c r="M898" s="5">
        <v>-30070</v>
      </c>
      <c r="N898" s="5">
        <v>-379630</v>
      </c>
    </row>
    <row r="899" spans="1:14" x14ac:dyDescent="0.25">
      <c r="A899" s="3" t="s">
        <v>910</v>
      </c>
      <c r="B899" s="4">
        <v>-13.48</v>
      </c>
      <c r="C899" s="4">
        <v>-0.81</v>
      </c>
      <c r="D899" s="4">
        <v>-0.56999999999999995</v>
      </c>
      <c r="E899" s="4">
        <v>-4.5262098745957099E-3</v>
      </c>
      <c r="F899" s="3">
        <v>897</v>
      </c>
      <c r="G899" s="3">
        <v>1</v>
      </c>
      <c r="H899" s="5">
        <v>92412874.319999993</v>
      </c>
      <c r="I899" s="5">
        <v>94303454.319999993</v>
      </c>
      <c r="J899" s="5">
        <v>2636570</v>
      </c>
      <c r="K899" s="5">
        <v>745990</v>
      </c>
      <c r="L899" s="5">
        <v>50670</v>
      </c>
      <c r="M899" s="5">
        <v>-6993820</v>
      </c>
      <c r="N899" s="5">
        <v>-7093480</v>
      </c>
    </row>
    <row r="900" spans="1:14" x14ac:dyDescent="0.25">
      <c r="A900" s="3" t="s">
        <v>911</v>
      </c>
      <c r="B900" s="4">
        <v>-4.55</v>
      </c>
      <c r="C900" s="4">
        <v>1</v>
      </c>
      <c r="D900" s="4">
        <v>0.94</v>
      </c>
      <c r="E900" s="4">
        <v>-4.5321446792655901E-3</v>
      </c>
      <c r="F900" s="3">
        <v>898</v>
      </c>
      <c r="G900" s="3">
        <v>1</v>
      </c>
      <c r="H900" s="5">
        <v>382978.04369999998</v>
      </c>
      <c r="I900" s="5">
        <v>451658.04369999998</v>
      </c>
      <c r="J900" s="5">
        <v>91900</v>
      </c>
      <c r="K900" s="5">
        <v>23220</v>
      </c>
      <c r="L900" s="5">
        <v>0</v>
      </c>
      <c r="M900" s="5">
        <v>-99240</v>
      </c>
      <c r="N900" s="5">
        <v>1462830</v>
      </c>
    </row>
    <row r="901" spans="1:14" x14ac:dyDescent="0.25">
      <c r="A901" s="3" t="s">
        <v>912</v>
      </c>
      <c r="B901" s="4">
        <v>-3.07</v>
      </c>
      <c r="C901" s="4">
        <v>1.41</v>
      </c>
      <c r="D901" s="4">
        <v>-0.46</v>
      </c>
      <c r="E901" s="4">
        <v>-4.533572955691097E-3</v>
      </c>
      <c r="F901" s="3">
        <v>899</v>
      </c>
      <c r="G901" s="3">
        <v>1</v>
      </c>
      <c r="H901" s="5">
        <v>2806496.4194999998</v>
      </c>
      <c r="I901" s="5">
        <v>64046496.419499993</v>
      </c>
      <c r="J901" s="5">
        <v>80339000</v>
      </c>
      <c r="K901" s="5">
        <v>19099000</v>
      </c>
      <c r="L901" s="5">
        <v>48536000</v>
      </c>
      <c r="M901" s="5">
        <v>-20862000</v>
      </c>
      <c r="N901" s="5">
        <v>-35532000</v>
      </c>
    </row>
    <row r="902" spans="1:14" x14ac:dyDescent="0.25">
      <c r="A902" s="3" t="s">
        <v>913</v>
      </c>
      <c r="B902" s="4">
        <v>-1.1200000000000001</v>
      </c>
      <c r="C902" s="4">
        <v>2.36</v>
      </c>
      <c r="D902" s="4">
        <v>-8.58</v>
      </c>
      <c r="E902" s="4">
        <v>-4.5619449811824548E-3</v>
      </c>
      <c r="F902" s="3">
        <v>900</v>
      </c>
      <c r="G902" s="3">
        <v>1</v>
      </c>
      <c r="H902" s="5">
        <v>1007129.1531999999</v>
      </c>
      <c r="I902" s="5">
        <v>1388429.1532000001</v>
      </c>
      <c r="J902" s="5">
        <v>428000</v>
      </c>
      <c r="K902" s="5">
        <v>46700</v>
      </c>
      <c r="L902" s="5">
        <v>30</v>
      </c>
      <c r="M902" s="5">
        <v>-1239480</v>
      </c>
      <c r="N902" s="5">
        <v>-1508820</v>
      </c>
    </row>
    <row r="903" spans="1:14" x14ac:dyDescent="0.25">
      <c r="A903" s="3" t="s">
        <v>914</v>
      </c>
      <c r="B903" s="4">
        <v>-10.57</v>
      </c>
      <c r="C903" s="4">
        <v>-0.23</v>
      </c>
      <c r="D903" s="4">
        <v>-0.14000000000000001</v>
      </c>
      <c r="E903" s="4">
        <v>-4.5684913827739333E-3</v>
      </c>
      <c r="F903" s="3">
        <v>901</v>
      </c>
      <c r="G903" s="3">
        <v>1</v>
      </c>
      <c r="H903" s="5">
        <v>1250368.25</v>
      </c>
      <c r="I903" s="5">
        <v>2253268.25</v>
      </c>
      <c r="J903" s="5">
        <v>1165500</v>
      </c>
      <c r="K903" s="5">
        <v>162600</v>
      </c>
      <c r="L903" s="5">
        <v>2404850</v>
      </c>
      <c r="M903" s="5">
        <v>-213270</v>
      </c>
      <c r="N903" s="5">
        <v>-426490</v>
      </c>
    </row>
    <row r="904" spans="1:14" x14ac:dyDescent="0.25">
      <c r="A904" s="3" t="s">
        <v>915</v>
      </c>
      <c r="B904" s="4">
        <v>-8.81</v>
      </c>
      <c r="C904" s="4">
        <v>0.14000000000000001</v>
      </c>
      <c r="D904" s="4">
        <v>-0.05</v>
      </c>
      <c r="E904" s="4">
        <v>-4.5713668867270619E-3</v>
      </c>
      <c r="F904" s="3">
        <v>902</v>
      </c>
      <c r="G904" s="3">
        <v>1</v>
      </c>
      <c r="H904" s="5">
        <v>24660986.640000001</v>
      </c>
      <c r="I904" s="5">
        <v>3534825986.6399999</v>
      </c>
      <c r="J904" s="5">
        <v>3726389000</v>
      </c>
      <c r="K904" s="5">
        <v>216224000</v>
      </c>
      <c r="L904" s="5">
        <v>383956000</v>
      </c>
      <c r="M904" s="5">
        <v>-401403000</v>
      </c>
      <c r="N904" s="5">
        <v>-308243000</v>
      </c>
    </row>
    <row r="905" spans="1:14" x14ac:dyDescent="0.25">
      <c r="A905" s="3" t="s">
        <v>916</v>
      </c>
      <c r="B905" s="4">
        <v>-11.6</v>
      </c>
      <c r="C905" s="4">
        <v>-0.44</v>
      </c>
      <c r="D905" s="4">
        <v>-0.34</v>
      </c>
      <c r="E905" s="4">
        <v>-4.5763494748286906E-3</v>
      </c>
      <c r="F905" s="3">
        <v>903</v>
      </c>
      <c r="G905" s="3">
        <v>1</v>
      </c>
      <c r="H905" s="5">
        <v>1902576356</v>
      </c>
      <c r="I905" s="5">
        <v>1676260356</v>
      </c>
      <c r="J905" s="5">
        <v>0</v>
      </c>
      <c r="K905" s="5">
        <v>226316000</v>
      </c>
      <c r="L905" s="5">
        <v>312974000</v>
      </c>
      <c r="M905" s="5">
        <v>-144469000</v>
      </c>
      <c r="N905" s="5">
        <v>-208726000</v>
      </c>
    </row>
    <row r="906" spans="1:14" x14ac:dyDescent="0.25">
      <c r="A906" s="3" t="s">
        <v>917</v>
      </c>
      <c r="B906" s="4">
        <v>-9.65</v>
      </c>
      <c r="C906" s="4">
        <v>-0.05</v>
      </c>
      <c r="D906" s="4">
        <v>-0.04</v>
      </c>
      <c r="E906" s="4">
        <v>-4.5985231148697563E-3</v>
      </c>
      <c r="F906" s="3">
        <v>904</v>
      </c>
      <c r="G906" s="3">
        <v>1</v>
      </c>
      <c r="H906" s="5">
        <v>4150349.84</v>
      </c>
      <c r="I906" s="5">
        <v>5352189.84</v>
      </c>
      <c r="J906" s="5">
        <v>3348790</v>
      </c>
      <c r="K906" s="5">
        <v>2146950</v>
      </c>
      <c r="L906" s="5">
        <v>37325230</v>
      </c>
      <c r="M906" s="5">
        <v>-554580</v>
      </c>
      <c r="N906" s="5">
        <v>-1857430</v>
      </c>
    </row>
    <row r="907" spans="1:14" x14ac:dyDescent="0.25">
      <c r="A907" s="3" t="s">
        <v>918</v>
      </c>
      <c r="B907" s="4">
        <v>-9.83</v>
      </c>
      <c r="C907" s="4">
        <v>-0.09</v>
      </c>
      <c r="D907" s="4">
        <v>-0.03</v>
      </c>
      <c r="E907" s="4">
        <v>-4.600762813802688E-3</v>
      </c>
      <c r="F907" s="3">
        <v>905</v>
      </c>
      <c r="G907" s="3">
        <v>1</v>
      </c>
      <c r="H907" s="5">
        <v>10227759.84</v>
      </c>
      <c r="I907" s="5">
        <v>9230439.8399999999</v>
      </c>
      <c r="J907" s="5">
        <v>382110</v>
      </c>
      <c r="K907" s="5">
        <v>1379430</v>
      </c>
      <c r="L907" s="5">
        <v>21188610</v>
      </c>
      <c r="M907" s="5">
        <v>-938760</v>
      </c>
      <c r="N907" s="5">
        <v>-812840</v>
      </c>
    </row>
    <row r="908" spans="1:14" x14ac:dyDescent="0.25">
      <c r="A908" s="3" t="s">
        <v>919</v>
      </c>
      <c r="B908" s="4">
        <v>-11.32</v>
      </c>
      <c r="C908" s="4">
        <v>-0.39</v>
      </c>
      <c r="D908" s="4">
        <v>-0.33</v>
      </c>
      <c r="E908" s="4">
        <v>-4.6032501726970612E-3</v>
      </c>
      <c r="F908" s="3">
        <v>906</v>
      </c>
      <c r="G908" s="3">
        <v>1</v>
      </c>
      <c r="H908" s="5">
        <v>1250477078.76</v>
      </c>
      <c r="I908" s="5">
        <v>1122494078.76</v>
      </c>
      <c r="J908" s="5">
        <v>0</v>
      </c>
      <c r="K908" s="5">
        <v>127983000</v>
      </c>
      <c r="L908" s="5">
        <v>36555000</v>
      </c>
      <c r="M908" s="5">
        <v>-99172000</v>
      </c>
      <c r="N908" s="5">
        <v>-88981000</v>
      </c>
    </row>
    <row r="909" spans="1:14" x14ac:dyDescent="0.25">
      <c r="A909" s="3" t="s">
        <v>920</v>
      </c>
      <c r="B909" s="4">
        <v>-4.88</v>
      </c>
      <c r="C909" s="4">
        <v>1.17</v>
      </c>
      <c r="D909" s="4">
        <v>-3.04</v>
      </c>
      <c r="E909" s="4">
        <v>-4.6044621498635826E-3</v>
      </c>
      <c r="F909" s="3">
        <v>907</v>
      </c>
      <c r="G909" s="3">
        <v>1</v>
      </c>
      <c r="H909" s="5">
        <v>16210319.039999999</v>
      </c>
      <c r="I909" s="5">
        <v>18840319.039999999</v>
      </c>
      <c r="J909" s="5">
        <v>2650000</v>
      </c>
      <c r="K909" s="5">
        <v>20000</v>
      </c>
      <c r="L909" s="5">
        <v>11696000</v>
      </c>
      <c r="M909" s="5">
        <v>-3862000</v>
      </c>
      <c r="N909" s="5">
        <v>-5969000</v>
      </c>
    </row>
    <row r="910" spans="1:14" x14ac:dyDescent="0.25">
      <c r="A910" s="3" t="s">
        <v>921</v>
      </c>
      <c r="B910" s="4">
        <v>-12.1</v>
      </c>
      <c r="C910" s="4">
        <v>-0.57999999999999996</v>
      </c>
      <c r="D910" s="4">
        <v>-0.06</v>
      </c>
      <c r="E910" s="4">
        <v>-4.6173869440070646E-3</v>
      </c>
      <c r="F910" s="3">
        <v>908</v>
      </c>
      <c r="G910" s="3">
        <v>1</v>
      </c>
      <c r="H910" s="5">
        <v>9024954.9000000004</v>
      </c>
      <c r="I910" s="5">
        <v>49327954.899999999</v>
      </c>
      <c r="J910" s="5">
        <v>42062000</v>
      </c>
      <c r="K910" s="5">
        <v>1759000</v>
      </c>
      <c r="L910" s="5">
        <v>37773000</v>
      </c>
      <c r="M910" s="5">
        <v>-4076000</v>
      </c>
      <c r="N910" s="5">
        <v>-5743000</v>
      </c>
    </row>
    <row r="911" spans="1:14" x14ac:dyDescent="0.25">
      <c r="A911" s="3" t="s">
        <v>922</v>
      </c>
      <c r="B911" s="4">
        <v>-10.92</v>
      </c>
      <c r="C911" s="4">
        <v>-0.32</v>
      </c>
      <c r="D911" s="4">
        <v>-0.21</v>
      </c>
      <c r="E911" s="4">
        <v>-4.6254148325488836E-3</v>
      </c>
      <c r="F911" s="3">
        <v>909</v>
      </c>
      <c r="G911" s="3">
        <v>1</v>
      </c>
      <c r="H911" s="5">
        <v>1277489782.6800001</v>
      </c>
      <c r="I911" s="5">
        <v>1105811782.6800001</v>
      </c>
      <c r="J911" s="5">
        <v>0</v>
      </c>
      <c r="K911" s="5">
        <v>171678000</v>
      </c>
      <c r="L911" s="5">
        <v>299272000</v>
      </c>
      <c r="M911" s="5">
        <v>-101276000</v>
      </c>
      <c r="N911" s="5">
        <v>-94319000</v>
      </c>
    </row>
    <row r="912" spans="1:14" x14ac:dyDescent="0.25">
      <c r="A912" s="3" t="s">
        <v>923</v>
      </c>
      <c r="B912" s="4">
        <v>-11.59</v>
      </c>
      <c r="C912" s="4">
        <v>-0.47</v>
      </c>
      <c r="D912" s="4">
        <v>-0.14000000000000001</v>
      </c>
      <c r="E912" s="4">
        <v>-4.6306389700190246E-3</v>
      </c>
      <c r="F912" s="3">
        <v>910</v>
      </c>
      <c r="G912" s="3">
        <v>1</v>
      </c>
      <c r="H912" s="5">
        <v>1300110799.4100001</v>
      </c>
      <c r="I912" s="5">
        <v>1803651799.4100001</v>
      </c>
      <c r="J912" s="5">
        <v>655460000</v>
      </c>
      <c r="K912" s="5">
        <v>151919000</v>
      </c>
      <c r="L912" s="5">
        <v>605220000</v>
      </c>
      <c r="M912" s="5">
        <v>-155684000</v>
      </c>
      <c r="N912" s="5">
        <v>-168627000</v>
      </c>
    </row>
    <row r="913" spans="1:14" x14ac:dyDescent="0.25">
      <c r="A913" s="3" t="s">
        <v>924</v>
      </c>
      <c r="B913" s="4">
        <v>-11.6</v>
      </c>
      <c r="C913" s="4">
        <v>-0.47</v>
      </c>
      <c r="D913" s="4">
        <v>-0.28000000000000003</v>
      </c>
      <c r="E913" s="4">
        <v>-4.651456136407028E-3</v>
      </c>
      <c r="F913" s="3">
        <v>911</v>
      </c>
      <c r="G913" s="3">
        <v>1</v>
      </c>
      <c r="H913" s="5">
        <v>1325445891.78</v>
      </c>
      <c r="I913" s="5">
        <v>1329866891.78</v>
      </c>
      <c r="J913" s="5">
        <v>122996000</v>
      </c>
      <c r="K913" s="5">
        <v>118575000</v>
      </c>
      <c r="L913" s="5">
        <v>360528000</v>
      </c>
      <c r="M913" s="5">
        <v>-114596000</v>
      </c>
      <c r="N913" s="5">
        <v>-245198000</v>
      </c>
    </row>
    <row r="914" spans="1:14" x14ac:dyDescent="0.25">
      <c r="A914" s="3" t="s">
        <v>925</v>
      </c>
      <c r="B914" s="4">
        <v>0.3</v>
      </c>
      <c r="C914" s="4">
        <v>2.12</v>
      </c>
      <c r="D914" s="4">
        <v>-0.9</v>
      </c>
      <c r="E914" s="4">
        <v>-4.6527663469899394E-3</v>
      </c>
      <c r="F914" s="3">
        <v>912</v>
      </c>
      <c r="G914" s="3">
        <v>1</v>
      </c>
      <c r="H914" s="5">
        <v>31059.72379</v>
      </c>
      <c r="I914" s="5">
        <v>-1222600.27621</v>
      </c>
      <c r="J914" s="5">
        <v>0</v>
      </c>
      <c r="K914" s="5">
        <v>1253660</v>
      </c>
      <c r="L914" s="5">
        <v>6166320</v>
      </c>
      <c r="M914" s="5">
        <v>-4032710</v>
      </c>
      <c r="N914" s="5">
        <v>-4193200</v>
      </c>
    </row>
    <row r="915" spans="1:14" x14ac:dyDescent="0.25">
      <c r="A915" s="3" t="s">
        <v>926</v>
      </c>
      <c r="B915" s="4">
        <v>-10.42</v>
      </c>
      <c r="C915" s="4">
        <v>-0.23</v>
      </c>
      <c r="D915" s="4">
        <v>-0.17</v>
      </c>
      <c r="E915" s="4">
        <v>-4.6671165479626117E-3</v>
      </c>
      <c r="F915" s="3">
        <v>913</v>
      </c>
      <c r="G915" s="3">
        <v>1</v>
      </c>
      <c r="H915" s="5">
        <v>10729986.75</v>
      </c>
      <c r="I915" s="5">
        <v>14549066.75</v>
      </c>
      <c r="J915" s="5">
        <v>3843600</v>
      </c>
      <c r="K915" s="5">
        <v>24520</v>
      </c>
      <c r="L915" s="5">
        <v>0</v>
      </c>
      <c r="M915" s="5">
        <v>-1395770</v>
      </c>
      <c r="N915" s="5">
        <v>-3546200</v>
      </c>
    </row>
    <row r="916" spans="1:14" x14ac:dyDescent="0.25">
      <c r="A916" s="3" t="s">
        <v>927</v>
      </c>
      <c r="B916" s="4">
        <v>-9.77</v>
      </c>
      <c r="C916" s="4">
        <v>-0.1</v>
      </c>
      <c r="D916" s="4">
        <v>-0.09</v>
      </c>
      <c r="E916" s="4">
        <v>-4.6783658144646453E-3</v>
      </c>
      <c r="F916" s="3">
        <v>914</v>
      </c>
      <c r="G916" s="3">
        <v>1</v>
      </c>
      <c r="H916" s="5">
        <v>341239131.42000002</v>
      </c>
      <c r="I916" s="5">
        <v>324667131.42000002</v>
      </c>
      <c r="J916" s="5">
        <v>134000</v>
      </c>
      <c r="K916" s="5">
        <v>16706000</v>
      </c>
      <c r="L916" s="5">
        <v>139927000</v>
      </c>
      <c r="M916" s="5">
        <v>-33234000</v>
      </c>
      <c r="N916" s="5">
        <v>-27455000</v>
      </c>
    </row>
    <row r="917" spans="1:14" x14ac:dyDescent="0.25">
      <c r="A917" s="3" t="s">
        <v>928</v>
      </c>
      <c r="B917" s="4">
        <v>-4.8</v>
      </c>
      <c r="C917" s="4">
        <v>1.2</v>
      </c>
      <c r="D917" s="4">
        <v>-3.63</v>
      </c>
      <c r="E917" s="4">
        <v>-4.6811075424696771E-3</v>
      </c>
      <c r="F917" s="3">
        <v>915</v>
      </c>
      <c r="G917" s="3">
        <v>1</v>
      </c>
      <c r="H917" s="5">
        <v>201493696</v>
      </c>
      <c r="I917" s="5">
        <v>271020016</v>
      </c>
      <c r="J917" s="5">
        <v>74675180</v>
      </c>
      <c r="K917" s="5">
        <v>5148860</v>
      </c>
      <c r="L917" s="5">
        <v>18659660</v>
      </c>
      <c r="M917" s="5">
        <v>-56434790</v>
      </c>
      <c r="N917" s="5">
        <v>-73880980</v>
      </c>
    </row>
    <row r="918" spans="1:14" x14ac:dyDescent="0.25">
      <c r="A918" s="3" t="s">
        <v>929</v>
      </c>
      <c r="B918" s="4">
        <v>-10.76</v>
      </c>
      <c r="C918" s="4">
        <v>-0.3</v>
      </c>
      <c r="D918" s="4">
        <v>-0.3</v>
      </c>
      <c r="E918" s="4">
        <v>-4.6840161488707621E-3</v>
      </c>
      <c r="F918" s="3">
        <v>916</v>
      </c>
      <c r="G918" s="3">
        <v>1</v>
      </c>
      <c r="H918" s="5">
        <v>1423289.956</v>
      </c>
      <c r="I918" s="5">
        <v>1128199.956</v>
      </c>
      <c r="J918" s="5">
        <v>0</v>
      </c>
      <c r="K918" s="5">
        <v>295090</v>
      </c>
      <c r="L918" s="5">
        <v>0</v>
      </c>
      <c r="M918" s="5">
        <v>-104890</v>
      </c>
      <c r="N918" s="5">
        <v>-88950</v>
      </c>
    </row>
    <row r="919" spans="1:14" x14ac:dyDescent="0.25">
      <c r="A919" s="3" t="s">
        <v>930</v>
      </c>
      <c r="B919" s="4">
        <v>0.25</v>
      </c>
      <c r="C919" s="4">
        <v>2.17</v>
      </c>
      <c r="D919" s="4">
        <v>-1.99</v>
      </c>
      <c r="E919" s="4">
        <v>-4.6876161803804019E-3</v>
      </c>
      <c r="F919" s="3">
        <v>917</v>
      </c>
      <c r="G919" s="3">
        <v>1</v>
      </c>
      <c r="H919" s="5">
        <v>2089404.8</v>
      </c>
      <c r="I919" s="5">
        <v>-14894595.199999999</v>
      </c>
      <c r="J919" s="5">
        <v>925000</v>
      </c>
      <c r="K919" s="5">
        <v>17909000</v>
      </c>
      <c r="L919" s="5">
        <v>19632000</v>
      </c>
      <c r="M919" s="5">
        <v>-58825000</v>
      </c>
      <c r="N919" s="5">
        <v>-60477000</v>
      </c>
    </row>
    <row r="920" spans="1:14" x14ac:dyDescent="0.25">
      <c r="A920" s="3" t="s">
        <v>931</v>
      </c>
      <c r="B920" s="4">
        <v>-7.77</v>
      </c>
      <c r="C920" s="4">
        <v>0.39</v>
      </c>
      <c r="D920" s="4">
        <v>-1.25</v>
      </c>
      <c r="E920" s="4">
        <v>-4.7241872931623741E-3</v>
      </c>
      <c r="F920" s="3">
        <v>918</v>
      </c>
      <c r="G920" s="3">
        <v>1</v>
      </c>
      <c r="H920" s="5">
        <v>3.6260859999999999</v>
      </c>
      <c r="I920" s="5">
        <v>19959053.626086</v>
      </c>
      <c r="J920" s="5">
        <v>20218990</v>
      </c>
      <c r="K920" s="5">
        <v>259940</v>
      </c>
      <c r="L920" s="5">
        <v>39907060</v>
      </c>
      <c r="M920" s="5">
        <v>-2569870</v>
      </c>
      <c r="N920" s="5">
        <v>-7735680</v>
      </c>
    </row>
    <row r="921" spans="1:14" x14ac:dyDescent="0.25">
      <c r="A921" s="3" t="s">
        <v>932</v>
      </c>
      <c r="B921" s="4">
        <v>-0.63</v>
      </c>
      <c r="C921" s="4">
        <v>1.86</v>
      </c>
      <c r="D921" s="4">
        <v>-0.37</v>
      </c>
      <c r="E921" s="4">
        <v>-4.7261655909298338E-3</v>
      </c>
      <c r="F921" s="3">
        <v>919</v>
      </c>
      <c r="G921" s="3">
        <v>1</v>
      </c>
      <c r="H921" s="5">
        <v>1550.0207</v>
      </c>
      <c r="I921" s="5">
        <v>7289550.0207000002</v>
      </c>
      <c r="J921" s="5">
        <v>9116000</v>
      </c>
      <c r="K921" s="5">
        <v>1828000</v>
      </c>
      <c r="L921" s="5">
        <v>79111000</v>
      </c>
      <c r="M921" s="5">
        <v>-11612000</v>
      </c>
      <c r="N921" s="5">
        <v>-11121000</v>
      </c>
    </row>
    <row r="922" spans="1:14" x14ac:dyDescent="0.25">
      <c r="A922" s="3" t="s">
        <v>933</v>
      </c>
      <c r="B922" s="4">
        <v>-8.64</v>
      </c>
      <c r="C922" s="4">
        <v>0.18</v>
      </c>
      <c r="D922" s="4">
        <v>-0.94</v>
      </c>
      <c r="E922" s="4">
        <v>-4.7326923209175696E-3</v>
      </c>
      <c r="F922" s="3">
        <v>920</v>
      </c>
      <c r="G922" s="3">
        <v>1</v>
      </c>
      <c r="H922" s="5">
        <v>1108081.4129000001</v>
      </c>
      <c r="I922" s="5">
        <v>3291081.4128999999</v>
      </c>
      <c r="J922" s="5">
        <v>2185000</v>
      </c>
      <c r="K922" s="5">
        <v>2000</v>
      </c>
      <c r="L922" s="5">
        <v>461000</v>
      </c>
      <c r="M922" s="5">
        <v>-381000</v>
      </c>
      <c r="N922" s="5">
        <v>-594000</v>
      </c>
    </row>
    <row r="923" spans="1:14" x14ac:dyDescent="0.25">
      <c r="A923" s="3" t="s">
        <v>934</v>
      </c>
      <c r="B923" s="4">
        <v>-11.86</v>
      </c>
      <c r="C923" s="4">
        <v>-0.55000000000000004</v>
      </c>
      <c r="D923" s="4">
        <v>-0.38</v>
      </c>
      <c r="E923" s="4">
        <v>-4.7409759101737399E-3</v>
      </c>
      <c r="F923" s="3">
        <v>921</v>
      </c>
      <c r="G923" s="3">
        <v>1</v>
      </c>
      <c r="H923" s="5">
        <v>1363399904.5</v>
      </c>
      <c r="I923" s="5">
        <v>1166902904.5</v>
      </c>
      <c r="J923" s="5">
        <v>41098000</v>
      </c>
      <c r="K923" s="5">
        <v>237595000</v>
      </c>
      <c r="L923" s="5">
        <v>59815000</v>
      </c>
      <c r="M923" s="5">
        <v>-98410000</v>
      </c>
      <c r="N923" s="5">
        <v>-113814000</v>
      </c>
    </row>
    <row r="924" spans="1:14" x14ac:dyDescent="0.25">
      <c r="A924" s="3" t="s">
        <v>935</v>
      </c>
      <c r="B924" s="4">
        <v>-5.44</v>
      </c>
      <c r="C924" s="4">
        <v>0.82</v>
      </c>
      <c r="D924" s="4">
        <v>-0.32</v>
      </c>
      <c r="E924" s="4">
        <v>-4.7444476472516817E-3</v>
      </c>
      <c r="F924" s="3">
        <v>922</v>
      </c>
      <c r="G924" s="3">
        <v>1</v>
      </c>
      <c r="H924" s="5">
        <v>4189702686.0500002</v>
      </c>
      <c r="I924" s="5">
        <v>8046902686.0500002</v>
      </c>
      <c r="J924" s="5">
        <v>4394200000</v>
      </c>
      <c r="K924" s="5">
        <v>537000000</v>
      </c>
      <c r="L924" s="5">
        <v>6316600000</v>
      </c>
      <c r="M924" s="5">
        <v>-1480000000</v>
      </c>
      <c r="N924" s="5">
        <v>-2139800000</v>
      </c>
    </row>
    <row r="925" spans="1:14" x14ac:dyDescent="0.25">
      <c r="A925" s="3" t="s">
        <v>936</v>
      </c>
      <c r="B925" s="4">
        <v>-9.0500000000000007</v>
      </c>
      <c r="C925" s="4">
        <v>-0.05</v>
      </c>
      <c r="D925" s="4">
        <v>1.0900000000000001</v>
      </c>
      <c r="E925" s="4">
        <v>-4.7518954534362372E-3</v>
      </c>
      <c r="F925" s="3">
        <v>923</v>
      </c>
      <c r="G925" s="3">
        <v>1</v>
      </c>
      <c r="H925" s="5">
        <v>1085846.3925999999</v>
      </c>
      <c r="I925" s="5">
        <v>5596806.3925999999</v>
      </c>
      <c r="J925" s="5">
        <v>4519940</v>
      </c>
      <c r="K925" s="5">
        <v>8980</v>
      </c>
      <c r="L925" s="5">
        <v>604950</v>
      </c>
      <c r="M925" s="5">
        <v>-618660</v>
      </c>
      <c r="N925" s="5">
        <v>485720</v>
      </c>
    </row>
    <row r="926" spans="1:14" x14ac:dyDescent="0.25">
      <c r="A926" s="3" t="s">
        <v>937</v>
      </c>
      <c r="B926" s="4">
        <v>-22.14</v>
      </c>
      <c r="C926" s="4">
        <v>-2.74</v>
      </c>
      <c r="D926" s="4">
        <v>-0.81</v>
      </c>
      <c r="E926" s="4">
        <v>-4.7891205325771707E-3</v>
      </c>
      <c r="F926" s="3">
        <v>924</v>
      </c>
      <c r="G926" s="3">
        <v>1</v>
      </c>
      <c r="H926" s="5">
        <v>629895949.38499999</v>
      </c>
      <c r="I926" s="5">
        <v>599994609.38499999</v>
      </c>
      <c r="J926" s="5">
        <v>7242420</v>
      </c>
      <c r="K926" s="5">
        <v>37143760</v>
      </c>
      <c r="L926" s="5">
        <v>41430</v>
      </c>
      <c r="M926" s="5">
        <v>-27096490</v>
      </c>
      <c r="N926" s="5">
        <v>-56695820</v>
      </c>
    </row>
    <row r="927" spans="1:14" x14ac:dyDescent="0.25">
      <c r="A927" s="3" t="s">
        <v>938</v>
      </c>
      <c r="B927" s="4">
        <v>-5.22</v>
      </c>
      <c r="C927" s="4">
        <v>0.86</v>
      </c>
      <c r="D927" s="4">
        <v>-0.56999999999999995</v>
      </c>
      <c r="E927" s="4">
        <v>-4.8132614089672014E-3</v>
      </c>
      <c r="F927" s="3">
        <v>925</v>
      </c>
      <c r="G927" s="3">
        <v>1</v>
      </c>
      <c r="H927" s="5">
        <v>475710223.74000001</v>
      </c>
      <c r="I927" s="5">
        <v>878124223.74000001</v>
      </c>
      <c r="J927" s="5">
        <v>405814000</v>
      </c>
      <c r="K927" s="5">
        <v>3400000</v>
      </c>
      <c r="L927" s="5">
        <v>0</v>
      </c>
      <c r="M927" s="5">
        <v>-168308000</v>
      </c>
      <c r="N927" s="5">
        <v>-156815000</v>
      </c>
    </row>
    <row r="928" spans="1:14" x14ac:dyDescent="0.25">
      <c r="A928" s="3" t="s">
        <v>939</v>
      </c>
      <c r="B928" s="4">
        <v>-8.75</v>
      </c>
      <c r="C928" s="4">
        <v>0.24</v>
      </c>
      <c r="D928" s="4">
        <v>-2.67</v>
      </c>
      <c r="E928" s="4">
        <v>-4.8249710140714878E-3</v>
      </c>
      <c r="F928" s="3">
        <v>926</v>
      </c>
      <c r="G928" s="3">
        <v>1</v>
      </c>
      <c r="H928" s="5">
        <v>50425423.660499997</v>
      </c>
      <c r="I928" s="5">
        <v>66069023.66049999</v>
      </c>
      <c r="J928" s="5">
        <v>18655090</v>
      </c>
      <c r="K928" s="5">
        <v>3011490</v>
      </c>
      <c r="L928" s="5">
        <v>0</v>
      </c>
      <c r="M928" s="5">
        <v>-7553750</v>
      </c>
      <c r="N928" s="5">
        <v>-8927520</v>
      </c>
    </row>
    <row r="929" spans="1:14" x14ac:dyDescent="0.25">
      <c r="A929" s="3" t="s">
        <v>940</v>
      </c>
      <c r="B929" s="4">
        <v>-6.2</v>
      </c>
      <c r="C929" s="4">
        <v>0.8</v>
      </c>
      <c r="D929" s="4">
        <v>-2.89</v>
      </c>
      <c r="E929" s="4">
        <v>-4.8276150587217188E-3</v>
      </c>
      <c r="F929" s="3">
        <v>927</v>
      </c>
      <c r="G929" s="3">
        <v>1</v>
      </c>
      <c r="H929" s="5">
        <v>20217923.219999999</v>
      </c>
      <c r="I929" s="5">
        <v>29561923.219999999</v>
      </c>
      <c r="J929" s="5">
        <v>9533000</v>
      </c>
      <c r="K929" s="5">
        <v>189000</v>
      </c>
      <c r="L929" s="5">
        <v>5549000</v>
      </c>
      <c r="M929" s="5">
        <v>-4765000</v>
      </c>
      <c r="N929" s="5">
        <v>-8874000</v>
      </c>
    </row>
    <row r="930" spans="1:14" x14ac:dyDescent="0.25">
      <c r="A930" s="3" t="s">
        <v>941</v>
      </c>
      <c r="B930" s="4">
        <v>-11.01</v>
      </c>
      <c r="C930" s="4">
        <v>-0.4</v>
      </c>
      <c r="D930" s="4">
        <v>-0.35</v>
      </c>
      <c r="E930" s="4">
        <v>-4.8278672094759336E-3</v>
      </c>
      <c r="F930" s="3">
        <v>928</v>
      </c>
      <c r="G930" s="3">
        <v>1</v>
      </c>
      <c r="H930" s="5">
        <v>8631754615.3999996</v>
      </c>
      <c r="I930" s="5">
        <v>8420754615.3999996</v>
      </c>
      <c r="J930" s="5">
        <v>0</v>
      </c>
      <c r="K930" s="5">
        <v>211000000</v>
      </c>
      <c r="L930" s="5">
        <v>0</v>
      </c>
      <c r="M930" s="5">
        <v>-765000000</v>
      </c>
      <c r="N930" s="5">
        <v>-748000000</v>
      </c>
    </row>
    <row r="931" spans="1:14" x14ac:dyDescent="0.25">
      <c r="A931" s="3" t="s">
        <v>942</v>
      </c>
      <c r="B931" s="4">
        <v>-12.48</v>
      </c>
      <c r="C931" s="4">
        <v>-0.73</v>
      </c>
      <c r="D931" s="4">
        <v>-0.18</v>
      </c>
      <c r="E931" s="4">
        <v>-4.8387495516650624E-3</v>
      </c>
      <c r="F931" s="3">
        <v>929</v>
      </c>
      <c r="G931" s="3">
        <v>1</v>
      </c>
      <c r="H931" s="5">
        <v>179539020.96000001</v>
      </c>
      <c r="I931" s="5">
        <v>184738020.96000001</v>
      </c>
      <c r="J931" s="5">
        <v>25504000</v>
      </c>
      <c r="K931" s="5">
        <v>20305000</v>
      </c>
      <c r="L931" s="5">
        <v>56134000</v>
      </c>
      <c r="M931" s="5">
        <v>-14806000</v>
      </c>
      <c r="N931" s="5">
        <v>-14672000</v>
      </c>
    </row>
    <row r="932" spans="1:14" x14ac:dyDescent="0.25">
      <c r="A932" s="3" t="s">
        <v>943</v>
      </c>
      <c r="B932" s="4">
        <v>-11.77</v>
      </c>
      <c r="C932" s="4">
        <v>-0.56000000000000005</v>
      </c>
      <c r="D932" s="4">
        <v>-0.48</v>
      </c>
      <c r="E932" s="4">
        <v>-4.8448626342369504E-3</v>
      </c>
      <c r="F932" s="3">
        <v>930</v>
      </c>
      <c r="G932" s="3">
        <v>1</v>
      </c>
      <c r="H932" s="5">
        <v>19970879.210000001</v>
      </c>
      <c r="I932" s="5">
        <v>19517139.210000001</v>
      </c>
      <c r="J932" s="5">
        <v>30420</v>
      </c>
      <c r="K932" s="5">
        <v>484160</v>
      </c>
      <c r="L932" s="5">
        <v>17013130</v>
      </c>
      <c r="M932" s="5">
        <v>-1658280</v>
      </c>
      <c r="N932" s="5">
        <v>-2354460</v>
      </c>
    </row>
    <row r="933" spans="1:14" x14ac:dyDescent="0.25">
      <c r="A933" s="3" t="s">
        <v>944</v>
      </c>
      <c r="B933" s="4">
        <v>-10.92</v>
      </c>
      <c r="C933" s="4">
        <v>-0.39</v>
      </c>
      <c r="D933" s="4">
        <v>-0.35</v>
      </c>
      <c r="E933" s="4">
        <v>-4.8546764537351706E-3</v>
      </c>
      <c r="F933" s="3">
        <v>931</v>
      </c>
      <c r="G933" s="3">
        <v>1</v>
      </c>
      <c r="H933" s="5">
        <v>655406942.36000001</v>
      </c>
      <c r="I933" s="5">
        <v>611923942.36000001</v>
      </c>
      <c r="J933" s="5">
        <v>0</v>
      </c>
      <c r="K933" s="5">
        <v>43483000</v>
      </c>
      <c r="L933" s="5">
        <v>850000</v>
      </c>
      <c r="M933" s="5">
        <v>-56025000</v>
      </c>
      <c r="N933" s="5">
        <v>-49375000</v>
      </c>
    </row>
    <row r="934" spans="1:14" x14ac:dyDescent="0.25">
      <c r="A934" s="3" t="s">
        <v>945</v>
      </c>
      <c r="B934" s="4">
        <v>-7.06</v>
      </c>
      <c r="C934" s="4">
        <v>0.44</v>
      </c>
      <c r="D934" s="4">
        <v>-0.51</v>
      </c>
      <c r="E934" s="4">
        <v>-4.876404895847149E-3</v>
      </c>
      <c r="F934" s="3">
        <v>932</v>
      </c>
      <c r="G934" s="3">
        <v>1</v>
      </c>
      <c r="H934" s="5">
        <v>1653392.983</v>
      </c>
      <c r="I934" s="5">
        <v>8569402.9829999991</v>
      </c>
      <c r="J934" s="5">
        <v>7307980</v>
      </c>
      <c r="K934" s="5">
        <v>391970</v>
      </c>
      <c r="L934" s="5">
        <v>4046070</v>
      </c>
      <c r="M934" s="5">
        <v>-1214180</v>
      </c>
      <c r="N934" s="5">
        <v>-2380260</v>
      </c>
    </row>
    <row r="935" spans="1:14" x14ac:dyDescent="0.25">
      <c r="A935" s="3" t="s">
        <v>946</v>
      </c>
      <c r="B935" s="4">
        <v>-11.98</v>
      </c>
      <c r="C935" s="4">
        <v>-0.61</v>
      </c>
      <c r="D935" s="4">
        <v>-0.57999999999999996</v>
      </c>
      <c r="E935" s="4">
        <v>-4.8786476154456726E-3</v>
      </c>
      <c r="F935" s="3">
        <v>933</v>
      </c>
      <c r="G935" s="3">
        <v>1</v>
      </c>
      <c r="H935" s="5">
        <v>59450424.691799998</v>
      </c>
      <c r="I935" s="5">
        <v>51904034.691799998</v>
      </c>
      <c r="J935" s="5">
        <v>0</v>
      </c>
      <c r="K935" s="5">
        <v>7546390</v>
      </c>
      <c r="L935" s="5">
        <v>0</v>
      </c>
      <c r="M935" s="5">
        <v>-4331430</v>
      </c>
      <c r="N935" s="5">
        <v>-4638570</v>
      </c>
    </row>
    <row r="936" spans="1:14" x14ac:dyDescent="0.25">
      <c r="A936" s="3" t="s">
        <v>947</v>
      </c>
      <c r="B936" s="4">
        <v>-9.1300000000000008</v>
      </c>
      <c r="C936" s="4">
        <v>-0.04</v>
      </c>
      <c r="D936" s="4">
        <v>-0.03</v>
      </c>
      <c r="E936" s="4">
        <v>-4.8895391775258187E-3</v>
      </c>
      <c r="F936" s="3">
        <v>934</v>
      </c>
      <c r="G936" s="3">
        <v>1</v>
      </c>
      <c r="H936" s="5">
        <v>42466036.640000001</v>
      </c>
      <c r="I936" s="5">
        <v>15824036.640000001</v>
      </c>
      <c r="J936" s="5">
        <v>0</v>
      </c>
      <c r="K936" s="5">
        <v>26642000</v>
      </c>
      <c r="L936" s="5">
        <v>63459000</v>
      </c>
      <c r="M936" s="5">
        <v>-1734000</v>
      </c>
      <c r="N936" s="5">
        <v>-2137000</v>
      </c>
    </row>
    <row r="937" spans="1:14" x14ac:dyDescent="0.25">
      <c r="A937" s="3" t="s">
        <v>948</v>
      </c>
      <c r="B937" s="4">
        <v>-9.92</v>
      </c>
      <c r="C937" s="4">
        <v>-0.21</v>
      </c>
      <c r="D937" s="4">
        <v>-0.05</v>
      </c>
      <c r="E937" s="4">
        <v>-4.8956412998574957E-3</v>
      </c>
      <c r="F937" s="3">
        <v>935</v>
      </c>
      <c r="G937" s="3">
        <v>1</v>
      </c>
      <c r="H937" s="5">
        <v>437869146</v>
      </c>
      <c r="I937" s="5">
        <v>213228146</v>
      </c>
      <c r="J937" s="5">
        <v>0</v>
      </c>
      <c r="K937" s="5">
        <v>224641000</v>
      </c>
      <c r="L937" s="5">
        <v>769286000</v>
      </c>
      <c r="M937" s="5">
        <v>-21496000</v>
      </c>
      <c r="N937" s="5">
        <v>-29462000</v>
      </c>
    </row>
    <row r="938" spans="1:14" x14ac:dyDescent="0.25">
      <c r="A938" s="3" t="s">
        <v>949</v>
      </c>
      <c r="B938" s="4">
        <v>-10.11</v>
      </c>
      <c r="C938" s="4">
        <v>-0.24</v>
      </c>
      <c r="D938" s="4">
        <v>-0.23</v>
      </c>
      <c r="E938" s="4">
        <v>-4.8994496910515061E-3</v>
      </c>
      <c r="F938" s="3">
        <v>936</v>
      </c>
      <c r="G938" s="3">
        <v>1</v>
      </c>
      <c r="H938" s="5">
        <v>612369401.12</v>
      </c>
      <c r="I938" s="5">
        <v>592211401.12</v>
      </c>
      <c r="J938" s="5">
        <v>0</v>
      </c>
      <c r="K938" s="5">
        <v>20158000</v>
      </c>
      <c r="L938" s="5">
        <v>0</v>
      </c>
      <c r="M938" s="5">
        <v>-58552000</v>
      </c>
      <c r="N938" s="5">
        <v>-49769000</v>
      </c>
    </row>
    <row r="939" spans="1:14" x14ac:dyDescent="0.25">
      <c r="A939" s="3" t="s">
        <v>950</v>
      </c>
      <c r="B939" s="4">
        <v>-11.33</v>
      </c>
      <c r="C939" s="4">
        <v>-0.5</v>
      </c>
      <c r="D939" s="4">
        <v>-0.37</v>
      </c>
      <c r="E939" s="4">
        <v>-4.9226067504690458E-3</v>
      </c>
      <c r="F939" s="3">
        <v>937</v>
      </c>
      <c r="G939" s="3">
        <v>1</v>
      </c>
      <c r="H939" s="5">
        <v>140998106.88</v>
      </c>
      <c r="I939" s="5">
        <v>135239066.88</v>
      </c>
      <c r="J939" s="5">
        <v>1035050</v>
      </c>
      <c r="K939" s="5">
        <v>6794090</v>
      </c>
      <c r="L939" s="5">
        <v>54694360</v>
      </c>
      <c r="M939" s="5">
        <v>-11937770</v>
      </c>
      <c r="N939" s="5">
        <v>-13634330</v>
      </c>
    </row>
    <row r="940" spans="1:14" x14ac:dyDescent="0.25">
      <c r="A940" s="3" t="s">
        <v>951</v>
      </c>
      <c r="B940" s="4">
        <v>-8.2899999999999991</v>
      </c>
      <c r="C940" s="4">
        <v>0.14000000000000001</v>
      </c>
      <c r="D940" s="4">
        <v>-0.3</v>
      </c>
      <c r="E940" s="4">
        <v>-4.9414312474127392E-3</v>
      </c>
      <c r="F940" s="3">
        <v>938</v>
      </c>
      <c r="G940" s="3">
        <v>1</v>
      </c>
      <c r="H940" s="5">
        <v>10073.340899999999</v>
      </c>
      <c r="I940" s="5">
        <v>3196163.3409000002</v>
      </c>
      <c r="J940" s="5">
        <v>3197150</v>
      </c>
      <c r="K940" s="5">
        <v>11060</v>
      </c>
      <c r="L940" s="5">
        <v>0</v>
      </c>
      <c r="M940" s="5">
        <v>-385640</v>
      </c>
      <c r="N940" s="5">
        <v>-667260</v>
      </c>
    </row>
    <row r="941" spans="1:14" x14ac:dyDescent="0.25">
      <c r="A941" s="3" t="s">
        <v>952</v>
      </c>
      <c r="B941" s="4">
        <v>-7.06</v>
      </c>
      <c r="C941" s="4">
        <v>0.39</v>
      </c>
      <c r="D941" s="4">
        <v>-0.22</v>
      </c>
      <c r="E941" s="4">
        <v>-4.9649311601717688E-3</v>
      </c>
      <c r="F941" s="3">
        <v>939</v>
      </c>
      <c r="G941" s="3">
        <v>1</v>
      </c>
      <c r="H941" s="5">
        <v>205060905.72</v>
      </c>
      <c r="I941" s="5">
        <v>290159905.72000003</v>
      </c>
      <c r="J941" s="5">
        <v>94390000</v>
      </c>
      <c r="K941" s="5">
        <v>9291000</v>
      </c>
      <c r="L941" s="5">
        <v>5174000</v>
      </c>
      <c r="M941" s="5">
        <v>-41111000</v>
      </c>
      <c r="N941" s="5">
        <v>-18916000</v>
      </c>
    </row>
    <row r="942" spans="1:14" x14ac:dyDescent="0.25">
      <c r="A942" s="3" t="s">
        <v>953</v>
      </c>
      <c r="B942" s="4">
        <v>-13.11</v>
      </c>
      <c r="C942" s="4">
        <v>-0.9</v>
      </c>
      <c r="D942" s="4">
        <v>-0.42</v>
      </c>
      <c r="E942" s="4">
        <v>-4.9863175498551116E-3</v>
      </c>
      <c r="F942" s="3">
        <v>940</v>
      </c>
      <c r="G942" s="3">
        <v>1</v>
      </c>
      <c r="H942" s="5">
        <v>2225512147.1599998</v>
      </c>
      <c r="I942" s="5">
        <v>2131915147.1600001</v>
      </c>
      <c r="J942" s="5">
        <v>179272000</v>
      </c>
      <c r="K942" s="5">
        <v>272869000</v>
      </c>
      <c r="L942" s="5">
        <v>23074000</v>
      </c>
      <c r="M942" s="5">
        <v>-162679000</v>
      </c>
      <c r="N942" s="5">
        <v>-222241000</v>
      </c>
    </row>
    <row r="943" spans="1:14" x14ac:dyDescent="0.25">
      <c r="A943" s="3" t="s">
        <v>954</v>
      </c>
      <c r="B943" s="4">
        <v>-9.36</v>
      </c>
      <c r="C943" s="4">
        <v>0.41</v>
      </c>
      <c r="D943" s="4">
        <v>-8.02</v>
      </c>
      <c r="E943" s="4">
        <v>-4.9882673662696164E-3</v>
      </c>
      <c r="F943" s="3">
        <v>941</v>
      </c>
      <c r="G943" s="3">
        <v>1</v>
      </c>
      <c r="H943" s="5">
        <v>1480997.4879999999</v>
      </c>
      <c r="I943" s="5">
        <v>1468667.4879999999</v>
      </c>
      <c r="J943" s="5">
        <v>0</v>
      </c>
      <c r="K943" s="5">
        <v>12330</v>
      </c>
      <c r="L943" s="5">
        <v>0</v>
      </c>
      <c r="M943" s="5">
        <v>-156930</v>
      </c>
      <c r="N943" s="5">
        <v>-156930</v>
      </c>
    </row>
    <row r="944" spans="1:14" x14ac:dyDescent="0.25">
      <c r="A944" s="3" t="s">
        <v>955</v>
      </c>
      <c r="B944" s="4">
        <v>-10.28</v>
      </c>
      <c r="C944" s="4">
        <v>-0.31</v>
      </c>
      <c r="D944" s="4">
        <v>-0.28999999999999998</v>
      </c>
      <c r="E944" s="4">
        <v>-5.0080626027674286E-3</v>
      </c>
      <c r="F944" s="3">
        <v>942</v>
      </c>
      <c r="G944" s="3">
        <v>1</v>
      </c>
      <c r="H944" s="5">
        <v>2987451693.3000002</v>
      </c>
      <c r="I944" s="5">
        <v>2844739693.3000002</v>
      </c>
      <c r="J944" s="5">
        <v>0</v>
      </c>
      <c r="K944" s="5">
        <v>142712000</v>
      </c>
      <c r="L944" s="5">
        <v>0</v>
      </c>
      <c r="M944" s="5">
        <v>-276738000</v>
      </c>
      <c r="N944" s="5">
        <v>-234330000</v>
      </c>
    </row>
    <row r="945" spans="1:14" x14ac:dyDescent="0.25">
      <c r="A945" s="3" t="s">
        <v>956</v>
      </c>
      <c r="B945" s="4">
        <v>-2.76</v>
      </c>
      <c r="C945" s="4">
        <v>1.31</v>
      </c>
      <c r="D945" s="4">
        <v>-0.46</v>
      </c>
      <c r="E945" s="4">
        <v>-5.0143744024450793E-3</v>
      </c>
      <c r="F945" s="3">
        <v>943</v>
      </c>
      <c r="G945" s="3">
        <v>1</v>
      </c>
      <c r="H945" s="5">
        <v>13659.154699999999</v>
      </c>
      <c r="I945" s="5">
        <v>4398619.1546999998</v>
      </c>
      <c r="J945" s="5">
        <v>4399730</v>
      </c>
      <c r="K945" s="5">
        <v>14770</v>
      </c>
      <c r="L945" s="5">
        <v>6650</v>
      </c>
      <c r="M945" s="5">
        <v>-1592930</v>
      </c>
      <c r="N945" s="5">
        <v>-2084850</v>
      </c>
    </row>
    <row r="946" spans="1:14" x14ac:dyDescent="0.25">
      <c r="A946" s="3" t="s">
        <v>957</v>
      </c>
      <c r="B946" s="4">
        <v>-8.1999999999999993</v>
      </c>
      <c r="C946" s="4">
        <v>0.16</v>
      </c>
      <c r="D946" s="4">
        <v>-0.75</v>
      </c>
      <c r="E946" s="4">
        <v>-5.0261530806452841E-3</v>
      </c>
      <c r="F946" s="3">
        <v>944</v>
      </c>
      <c r="G946" s="3">
        <v>1</v>
      </c>
      <c r="H946" s="5">
        <v>6901.6468000000004</v>
      </c>
      <c r="I946" s="5">
        <v>9562021.6468000002</v>
      </c>
      <c r="J946" s="5">
        <v>9632640</v>
      </c>
      <c r="K946" s="5">
        <v>77520</v>
      </c>
      <c r="L946" s="5">
        <v>1526430</v>
      </c>
      <c r="M946" s="5">
        <v>-1165440</v>
      </c>
      <c r="N946" s="5">
        <v>-1686640</v>
      </c>
    </row>
    <row r="947" spans="1:14" x14ac:dyDescent="0.25">
      <c r="A947" s="3" t="s">
        <v>958</v>
      </c>
      <c r="B947" s="4">
        <v>-11.64</v>
      </c>
      <c r="C947" s="4">
        <v>-0.61</v>
      </c>
      <c r="D947" s="4">
        <v>-0.42</v>
      </c>
      <c r="E947" s="4">
        <v>-5.0582161839062122E-3</v>
      </c>
      <c r="F947" s="3">
        <v>945</v>
      </c>
      <c r="G947" s="3">
        <v>1</v>
      </c>
      <c r="H947" s="5">
        <v>2279119939.6700001</v>
      </c>
      <c r="I947" s="5">
        <v>1955522939.6700001</v>
      </c>
      <c r="J947" s="5">
        <v>68505000</v>
      </c>
      <c r="K947" s="5">
        <v>392102000</v>
      </c>
      <c r="L947" s="5">
        <v>63723000</v>
      </c>
      <c r="M947" s="5">
        <v>-167995000</v>
      </c>
      <c r="N947" s="5">
        <v>-193506000</v>
      </c>
    </row>
    <row r="948" spans="1:14" x14ac:dyDescent="0.25">
      <c r="A948" s="3" t="s">
        <v>959</v>
      </c>
      <c r="B948" s="4">
        <v>-8.82</v>
      </c>
      <c r="C948" s="4">
        <v>-0.04</v>
      </c>
      <c r="D948" s="4">
        <v>0</v>
      </c>
      <c r="E948" s="4">
        <v>-5.0756174744027004E-3</v>
      </c>
      <c r="F948" s="3">
        <v>946</v>
      </c>
      <c r="G948" s="3">
        <v>1</v>
      </c>
      <c r="H948" s="5">
        <v>1265.434915</v>
      </c>
      <c r="I948" s="5">
        <v>1669395.4349150001</v>
      </c>
      <c r="J948" s="5">
        <v>1672070</v>
      </c>
      <c r="K948" s="5">
        <v>3940</v>
      </c>
      <c r="L948" s="5">
        <v>68160</v>
      </c>
      <c r="M948" s="5">
        <v>-189200</v>
      </c>
      <c r="N948" s="5">
        <v>8220</v>
      </c>
    </row>
    <row r="949" spans="1:14" x14ac:dyDescent="0.25">
      <c r="A949" s="3" t="s">
        <v>960</v>
      </c>
      <c r="B949" s="4">
        <v>-10.95</v>
      </c>
      <c r="C949" s="4">
        <v>-0.48</v>
      </c>
      <c r="D949" s="4">
        <v>-0.34</v>
      </c>
      <c r="E949" s="4">
        <v>-5.0942222731965563E-3</v>
      </c>
      <c r="F949" s="3">
        <v>947</v>
      </c>
      <c r="G949" s="3">
        <v>1</v>
      </c>
      <c r="H949" s="5">
        <v>1881292101</v>
      </c>
      <c r="I949" s="5">
        <v>1907835101</v>
      </c>
      <c r="J949" s="5">
        <v>67514000</v>
      </c>
      <c r="K949" s="5">
        <v>40971000</v>
      </c>
      <c r="L949" s="5">
        <v>2901000</v>
      </c>
      <c r="M949" s="5">
        <v>-174248000</v>
      </c>
      <c r="N949" s="5">
        <v>-128622000</v>
      </c>
    </row>
    <row r="950" spans="1:14" x14ac:dyDescent="0.25">
      <c r="A950" s="3" t="s">
        <v>961</v>
      </c>
      <c r="B950" s="4">
        <v>-10.58</v>
      </c>
      <c r="C950" s="4">
        <v>-0.41</v>
      </c>
      <c r="D950" s="4">
        <v>-0.3</v>
      </c>
      <c r="E950" s="4">
        <v>-5.1132515285771934E-3</v>
      </c>
      <c r="F950" s="3">
        <v>948</v>
      </c>
      <c r="G950" s="3">
        <v>1</v>
      </c>
      <c r="H950" s="5">
        <v>184672180.69999999</v>
      </c>
      <c r="I950" s="5">
        <v>175508180.69999999</v>
      </c>
      <c r="J950" s="5">
        <v>954000</v>
      </c>
      <c r="K950" s="5">
        <v>10118000</v>
      </c>
      <c r="L950" s="5">
        <v>23785000</v>
      </c>
      <c r="M950" s="5">
        <v>-16581000</v>
      </c>
      <c r="N950" s="5">
        <v>-22491000</v>
      </c>
    </row>
    <row r="951" spans="1:14" x14ac:dyDescent="0.25">
      <c r="A951" s="3" t="s">
        <v>962</v>
      </c>
      <c r="B951" s="4">
        <v>0.16</v>
      </c>
      <c r="C951" s="4">
        <v>1.9</v>
      </c>
      <c r="D951" s="4">
        <v>-0.51</v>
      </c>
      <c r="E951" s="4">
        <v>-5.1265447850262014E-3</v>
      </c>
      <c r="F951" s="3">
        <v>949</v>
      </c>
      <c r="G951" s="3">
        <v>1</v>
      </c>
      <c r="H951" s="5">
        <v>2134621.73</v>
      </c>
      <c r="I951" s="5">
        <v>-295028.26999999961</v>
      </c>
      <c r="J951" s="5">
        <v>8452430</v>
      </c>
      <c r="K951" s="5">
        <v>10882080</v>
      </c>
      <c r="L951" s="5">
        <v>21858860</v>
      </c>
      <c r="M951" s="5">
        <v>-1801530</v>
      </c>
      <c r="N951" s="5">
        <v>-8795420</v>
      </c>
    </row>
    <row r="952" spans="1:14" x14ac:dyDescent="0.25">
      <c r="A952" s="3" t="s">
        <v>963</v>
      </c>
      <c r="B952" s="4">
        <v>-8.51</v>
      </c>
      <c r="C952" s="4">
        <v>0</v>
      </c>
      <c r="D952" s="4">
        <v>0</v>
      </c>
      <c r="E952" s="4">
        <v>-5.1519084229542716E-3</v>
      </c>
      <c r="F952" s="3">
        <v>950</v>
      </c>
      <c r="G952" s="3">
        <v>1</v>
      </c>
      <c r="H952" s="5">
        <v>36318873.600000001</v>
      </c>
      <c r="I952" s="5">
        <v>-146888126.40000001</v>
      </c>
      <c r="J952" s="5">
        <v>50000000</v>
      </c>
      <c r="K952" s="5">
        <v>233207000</v>
      </c>
      <c r="L952" s="5">
        <v>1248914000</v>
      </c>
      <c r="M952" s="5">
        <v>17262000</v>
      </c>
      <c r="N952" s="5">
        <v>-649000</v>
      </c>
    </row>
    <row r="953" spans="1:14" x14ac:dyDescent="0.25">
      <c r="A953" s="3" t="s">
        <v>964</v>
      </c>
      <c r="B953" s="4">
        <v>-7.19</v>
      </c>
      <c r="C953" s="4">
        <v>0.98</v>
      </c>
      <c r="D953" s="4">
        <v>-10.47</v>
      </c>
      <c r="E953" s="4">
        <v>-5.1570009142002564E-3</v>
      </c>
      <c r="F953" s="3">
        <v>951</v>
      </c>
      <c r="G953" s="3">
        <v>1</v>
      </c>
      <c r="H953" s="5">
        <v>8770038.9736000001</v>
      </c>
      <c r="I953" s="5">
        <v>12936038.9736</v>
      </c>
      <c r="J953" s="5">
        <v>4245000</v>
      </c>
      <c r="K953" s="5">
        <v>79000</v>
      </c>
      <c r="L953" s="5">
        <v>29000</v>
      </c>
      <c r="M953" s="5">
        <v>-1799990</v>
      </c>
      <c r="N953" s="5">
        <v>-4032000</v>
      </c>
    </row>
    <row r="954" spans="1:14" x14ac:dyDescent="0.25">
      <c r="A954" s="3" t="s">
        <v>965</v>
      </c>
      <c r="B954" s="4">
        <v>11.36</v>
      </c>
      <c r="C954" s="4">
        <v>4.24</v>
      </c>
      <c r="D954" s="4">
        <v>0.12</v>
      </c>
      <c r="E954" s="4">
        <v>-5.1758224499869037E-3</v>
      </c>
      <c r="F954" s="3">
        <v>952</v>
      </c>
      <c r="G954" s="3">
        <v>1</v>
      </c>
      <c r="H954" s="5">
        <v>1561399406.8</v>
      </c>
      <c r="I954" s="5">
        <v>1761299406.8</v>
      </c>
      <c r="J954" s="5">
        <v>294700000</v>
      </c>
      <c r="K954" s="5">
        <v>94800000</v>
      </c>
      <c r="L954" s="5">
        <v>505600000</v>
      </c>
      <c r="M954" s="5">
        <v>155100000</v>
      </c>
      <c r="N954" s="5">
        <v>85000000</v>
      </c>
    </row>
    <row r="955" spans="1:14" x14ac:dyDescent="0.25">
      <c r="A955" s="3" t="s">
        <v>966</v>
      </c>
      <c r="B955" s="4">
        <v>-0.56000000000000005</v>
      </c>
      <c r="C955" s="4">
        <v>1.79</v>
      </c>
      <c r="D955" s="4">
        <v>-1.44</v>
      </c>
      <c r="E955" s="4">
        <v>-5.1781511237037059E-3</v>
      </c>
      <c r="F955" s="3">
        <v>953</v>
      </c>
      <c r="G955" s="3">
        <v>1</v>
      </c>
      <c r="H955" s="5">
        <v>308499.587</v>
      </c>
      <c r="I955" s="5">
        <v>25903499.587000001</v>
      </c>
      <c r="J955" s="5">
        <v>41284000</v>
      </c>
      <c r="K955" s="5">
        <v>15689000</v>
      </c>
      <c r="L955" s="5">
        <v>7193000</v>
      </c>
      <c r="M955" s="5">
        <v>-46253000</v>
      </c>
      <c r="N955" s="5">
        <v>-50077000</v>
      </c>
    </row>
    <row r="956" spans="1:14" x14ac:dyDescent="0.25">
      <c r="A956" s="3" t="s">
        <v>967</v>
      </c>
      <c r="B956" s="4">
        <v>-9.7100000000000009</v>
      </c>
      <c r="C956" s="4">
        <v>-0.26</v>
      </c>
      <c r="D956" s="4">
        <v>-0.12</v>
      </c>
      <c r="E956" s="4">
        <v>-5.1835858406109551E-3</v>
      </c>
      <c r="F956" s="3">
        <v>954</v>
      </c>
      <c r="G956" s="3">
        <v>1</v>
      </c>
      <c r="H956" s="5">
        <v>153397985.47999999</v>
      </c>
      <c r="I956" s="5">
        <v>135168985.47999999</v>
      </c>
      <c r="J956" s="5">
        <v>0</v>
      </c>
      <c r="K956" s="5">
        <v>18229000</v>
      </c>
      <c r="L956" s="5">
        <v>27864000</v>
      </c>
      <c r="M956" s="5">
        <v>-13924000</v>
      </c>
      <c r="N956" s="5">
        <v>-14231000</v>
      </c>
    </row>
    <row r="957" spans="1:14" x14ac:dyDescent="0.25">
      <c r="A957" s="3" t="s">
        <v>968</v>
      </c>
      <c r="B957" s="4">
        <v>-8.0500000000000007</v>
      </c>
      <c r="C957" s="4">
        <v>0.19</v>
      </c>
      <c r="D957" s="4">
        <v>-1.55</v>
      </c>
      <c r="E957" s="4">
        <v>-5.1866324712585392E-3</v>
      </c>
      <c r="F957" s="3">
        <v>955</v>
      </c>
      <c r="G957" s="3">
        <v>1</v>
      </c>
      <c r="H957" s="5">
        <v>11313.2628</v>
      </c>
      <c r="I957" s="5">
        <v>3429093.2628000001</v>
      </c>
      <c r="J957" s="5">
        <v>3471280</v>
      </c>
      <c r="K957" s="5">
        <v>53500</v>
      </c>
      <c r="L957" s="5">
        <v>181480</v>
      </c>
      <c r="M957" s="5">
        <v>-426110</v>
      </c>
      <c r="N957" s="5">
        <v>-828270</v>
      </c>
    </row>
    <row r="958" spans="1:14" x14ac:dyDescent="0.25">
      <c r="A958" s="3" t="s">
        <v>969</v>
      </c>
      <c r="B958" s="4">
        <v>-1.2</v>
      </c>
      <c r="C958" s="4">
        <v>1.6</v>
      </c>
      <c r="D958" s="4">
        <v>-0.72</v>
      </c>
      <c r="E958" s="4">
        <v>-5.19213057878503E-3</v>
      </c>
      <c r="F958" s="3">
        <v>956</v>
      </c>
      <c r="G958" s="3">
        <v>1</v>
      </c>
      <c r="H958" s="5">
        <v>995378.34499999997</v>
      </c>
      <c r="I958" s="5">
        <v>1254888.345</v>
      </c>
      <c r="J958" s="5">
        <v>259510</v>
      </c>
      <c r="K958" s="5">
        <v>0</v>
      </c>
      <c r="L958" s="5">
        <v>0</v>
      </c>
      <c r="M958" s="5">
        <v>-1041610</v>
      </c>
      <c r="N958" s="5">
        <v>-2745560</v>
      </c>
    </row>
    <row r="959" spans="1:14" x14ac:dyDescent="0.25">
      <c r="A959" s="3" t="s">
        <v>970</v>
      </c>
      <c r="B959" s="4">
        <v>-0.15</v>
      </c>
      <c r="C959" s="4">
        <v>1.97</v>
      </c>
      <c r="D959" s="4">
        <v>-2.9</v>
      </c>
      <c r="E959" s="4">
        <v>-5.1934615113394967E-3</v>
      </c>
      <c r="F959" s="3">
        <v>957</v>
      </c>
      <c r="G959" s="3">
        <v>1</v>
      </c>
      <c r="H959" s="5">
        <v>2178566.7400000002</v>
      </c>
      <c r="I959" s="5">
        <v>5437566.7400000002</v>
      </c>
      <c r="J959" s="5">
        <v>8141000</v>
      </c>
      <c r="K959" s="5">
        <v>4882000</v>
      </c>
      <c r="L959" s="5">
        <v>13000</v>
      </c>
      <c r="M959" s="5">
        <v>-35897000</v>
      </c>
      <c r="N959" s="5">
        <v>-48072000</v>
      </c>
    </row>
    <row r="960" spans="1:14" x14ac:dyDescent="0.25">
      <c r="A960" s="3" t="s">
        <v>971</v>
      </c>
      <c r="B960" s="4">
        <v>-9.07</v>
      </c>
      <c r="C960" s="4">
        <v>-0.13</v>
      </c>
      <c r="D960" s="4">
        <v>-0.09</v>
      </c>
      <c r="E960" s="4">
        <v>-5.198291034303441E-3</v>
      </c>
      <c r="F960" s="3">
        <v>958</v>
      </c>
      <c r="G960" s="3">
        <v>1</v>
      </c>
      <c r="H960" s="5">
        <v>1349504000</v>
      </c>
      <c r="I960" s="5">
        <v>623379000</v>
      </c>
      <c r="J960" s="5">
        <v>0</v>
      </c>
      <c r="K960" s="5">
        <v>726125000</v>
      </c>
      <c r="L960" s="5">
        <v>694674000</v>
      </c>
      <c r="M960" s="5">
        <v>-68751000</v>
      </c>
      <c r="N960" s="5">
        <v>-79530000</v>
      </c>
    </row>
    <row r="961" spans="1:14" x14ac:dyDescent="0.25">
      <c r="A961" s="3" t="s">
        <v>972</v>
      </c>
      <c r="B961" s="4">
        <v>4.38</v>
      </c>
      <c r="C961" s="4">
        <v>2.81</v>
      </c>
      <c r="D961" s="4">
        <v>-0.99</v>
      </c>
      <c r="E961" s="4">
        <v>-5.2016646265974908E-3</v>
      </c>
      <c r="F961" s="3">
        <v>959</v>
      </c>
      <c r="G961" s="3">
        <v>1</v>
      </c>
      <c r="H961" s="5">
        <v>58.284948</v>
      </c>
      <c r="I961" s="5">
        <v>20041158.284947999</v>
      </c>
      <c r="J961" s="5">
        <v>25095840</v>
      </c>
      <c r="K961" s="5">
        <v>5054740</v>
      </c>
      <c r="L961" s="5">
        <v>12678520</v>
      </c>
      <c r="M961" s="5">
        <v>4579020</v>
      </c>
      <c r="N961" s="5">
        <v>-34509880</v>
      </c>
    </row>
    <row r="962" spans="1:14" x14ac:dyDescent="0.25">
      <c r="A962" s="3" t="s">
        <v>973</v>
      </c>
      <c r="B962" s="4">
        <v>-0.2</v>
      </c>
      <c r="C962" s="4">
        <v>2.0499999999999998</v>
      </c>
      <c r="D962" s="4">
        <v>-4.3600000000000003</v>
      </c>
      <c r="E962" s="4">
        <v>-5.2130045070543016E-3</v>
      </c>
      <c r="F962" s="3">
        <v>960</v>
      </c>
      <c r="G962" s="3">
        <v>1</v>
      </c>
      <c r="H962" s="5">
        <v>1763.2148999999999</v>
      </c>
      <c r="I962" s="5">
        <v>684833.21490000002</v>
      </c>
      <c r="J962" s="5">
        <v>1000000</v>
      </c>
      <c r="K962" s="5">
        <v>316930</v>
      </c>
      <c r="L962" s="5">
        <v>23300</v>
      </c>
      <c r="M962" s="5">
        <v>-3461270</v>
      </c>
      <c r="N962" s="5">
        <v>-3181020</v>
      </c>
    </row>
    <row r="963" spans="1:14" x14ac:dyDescent="0.25">
      <c r="A963" s="3" t="s">
        <v>974</v>
      </c>
      <c r="B963" s="4">
        <v>-8.84</v>
      </c>
      <c r="C963" s="4">
        <v>-0.09</v>
      </c>
      <c r="D963" s="4">
        <v>-7.0000000000000007E-2</v>
      </c>
      <c r="E963" s="4">
        <v>-5.221210284123378E-3</v>
      </c>
      <c r="F963" s="3">
        <v>961</v>
      </c>
      <c r="G963" s="3">
        <v>1</v>
      </c>
      <c r="H963" s="5">
        <v>735567964.11000001</v>
      </c>
      <c r="I963" s="5">
        <v>364504964.11000001</v>
      </c>
      <c r="J963" s="5">
        <v>0</v>
      </c>
      <c r="K963" s="5">
        <v>371063000</v>
      </c>
      <c r="L963" s="5">
        <v>327516000</v>
      </c>
      <c r="M963" s="5">
        <v>-41249000</v>
      </c>
      <c r="N963" s="5">
        <v>-34922000</v>
      </c>
    </row>
    <row r="964" spans="1:14" x14ac:dyDescent="0.25">
      <c r="A964" s="3" t="s">
        <v>975</v>
      </c>
      <c r="B964" s="4">
        <v>-4.8899999999999997</v>
      </c>
      <c r="C964" s="4">
        <v>0.78</v>
      </c>
      <c r="D964" s="4">
        <v>-0.49</v>
      </c>
      <c r="E964" s="4">
        <v>-5.2332218404663724E-3</v>
      </c>
      <c r="F964" s="3">
        <v>962</v>
      </c>
      <c r="G964" s="3">
        <v>1</v>
      </c>
      <c r="H964" s="5">
        <v>449997580</v>
      </c>
      <c r="I964" s="5">
        <v>632855580</v>
      </c>
      <c r="J964" s="5">
        <v>433725000</v>
      </c>
      <c r="K964" s="5">
        <v>250867000</v>
      </c>
      <c r="L964" s="5">
        <v>70837000</v>
      </c>
      <c r="M964" s="5">
        <v>-129320000</v>
      </c>
      <c r="N964" s="5">
        <v>-157846000</v>
      </c>
    </row>
    <row r="965" spans="1:14" x14ac:dyDescent="0.25">
      <c r="A965" s="3" t="s">
        <v>976</v>
      </c>
      <c r="B965" s="4">
        <v>-11.9</v>
      </c>
      <c r="C965" s="4">
        <v>-0.72</v>
      </c>
      <c r="D965" s="4">
        <v>-0.53</v>
      </c>
      <c r="E965" s="4">
        <v>-5.2363458052938038E-3</v>
      </c>
      <c r="F965" s="3">
        <v>963</v>
      </c>
      <c r="G965" s="3">
        <v>1</v>
      </c>
      <c r="H965" s="5">
        <v>883730983.95000005</v>
      </c>
      <c r="I965" s="5">
        <v>847400983.95000005</v>
      </c>
      <c r="J965" s="5">
        <v>0</v>
      </c>
      <c r="K965" s="5">
        <v>36330000</v>
      </c>
      <c r="L965" s="5">
        <v>6171000</v>
      </c>
      <c r="M965" s="5">
        <v>-71199000</v>
      </c>
      <c r="N965" s="5">
        <v>-69920000</v>
      </c>
    </row>
    <row r="966" spans="1:14" x14ac:dyDescent="0.25">
      <c r="A966" s="3" t="s">
        <v>977</v>
      </c>
      <c r="B966" s="4">
        <v>-10.29</v>
      </c>
      <c r="C966" s="4">
        <v>-0.4</v>
      </c>
      <c r="D966" s="4">
        <v>-0.3</v>
      </c>
      <c r="E966" s="4">
        <v>-5.2638448867779793E-3</v>
      </c>
      <c r="F966" s="3">
        <v>964</v>
      </c>
      <c r="G966" s="3">
        <v>1</v>
      </c>
      <c r="H966" s="5">
        <v>679266294.91999996</v>
      </c>
      <c r="I966" s="5">
        <v>589623294.91999996</v>
      </c>
      <c r="J966" s="5">
        <v>1772000</v>
      </c>
      <c r="K966" s="5">
        <v>91415000</v>
      </c>
      <c r="L966" s="5">
        <v>84614000</v>
      </c>
      <c r="M966" s="5">
        <v>-57326000</v>
      </c>
      <c r="N966" s="5">
        <v>-81284000</v>
      </c>
    </row>
    <row r="967" spans="1:14" x14ac:dyDescent="0.25">
      <c r="A967" s="3" t="s">
        <v>978</v>
      </c>
      <c r="B967" s="4">
        <v>-6.73</v>
      </c>
      <c r="C967" s="4">
        <v>1.93</v>
      </c>
      <c r="D967" s="4">
        <v>-23.95</v>
      </c>
      <c r="E967" s="4">
        <v>-5.2971395363702193E-3</v>
      </c>
      <c r="F967" s="3">
        <v>965</v>
      </c>
      <c r="G967" s="3">
        <v>1</v>
      </c>
      <c r="H967" s="5">
        <v>461970.13500000001</v>
      </c>
      <c r="I967" s="5">
        <v>483690.13500000001</v>
      </c>
      <c r="J967" s="5">
        <v>21720</v>
      </c>
      <c r="K967" s="5">
        <v>0</v>
      </c>
      <c r="L967" s="5">
        <v>0</v>
      </c>
      <c r="M967" s="5">
        <v>-71840</v>
      </c>
      <c r="N967" s="5">
        <v>-71840</v>
      </c>
    </row>
    <row r="968" spans="1:14" x14ac:dyDescent="0.25">
      <c r="A968" s="3" t="s">
        <v>979</v>
      </c>
      <c r="B968" s="4">
        <v>-0.06</v>
      </c>
      <c r="C968" s="4">
        <v>1.91</v>
      </c>
      <c r="D968" s="4">
        <v>-2.34</v>
      </c>
      <c r="E968" s="4">
        <v>-5.3145005163596146E-3</v>
      </c>
      <c r="F968" s="3">
        <v>966</v>
      </c>
      <c r="G968" s="3">
        <v>1</v>
      </c>
      <c r="H968" s="5">
        <v>289334.15000000002</v>
      </c>
      <c r="I968" s="5">
        <v>2558084.15</v>
      </c>
      <c r="J968" s="5">
        <v>5056660</v>
      </c>
      <c r="K968" s="5">
        <v>2787910</v>
      </c>
      <c r="L968" s="5">
        <v>1817380</v>
      </c>
      <c r="M968" s="5">
        <v>-40726460</v>
      </c>
      <c r="N968" s="5">
        <v>-43061760</v>
      </c>
    </row>
    <row r="969" spans="1:14" x14ac:dyDescent="0.25">
      <c r="A969" s="3" t="s">
        <v>980</v>
      </c>
      <c r="B969" s="4">
        <v>-8.24</v>
      </c>
      <c r="C969" s="4">
        <v>0.09</v>
      </c>
      <c r="D969" s="4">
        <v>-1.39</v>
      </c>
      <c r="E969" s="4">
        <v>-5.3271092079185556E-3</v>
      </c>
      <c r="F969" s="3">
        <v>967</v>
      </c>
      <c r="G969" s="3">
        <v>1</v>
      </c>
      <c r="H969" s="5">
        <v>19655.952300000001</v>
      </c>
      <c r="I969" s="5">
        <v>5945345.9523</v>
      </c>
      <c r="J969" s="5">
        <v>5929660</v>
      </c>
      <c r="K969" s="5">
        <v>3970</v>
      </c>
      <c r="L969" s="5">
        <v>0</v>
      </c>
      <c r="M969" s="5">
        <v>-721640</v>
      </c>
      <c r="N969" s="5">
        <v>-1055630</v>
      </c>
    </row>
    <row r="970" spans="1:14" x14ac:dyDescent="0.25">
      <c r="A970" s="3" t="s">
        <v>981</v>
      </c>
      <c r="B970" s="4">
        <v>-12.86</v>
      </c>
      <c r="C970" s="4">
        <v>-0.97</v>
      </c>
      <c r="D970" s="4">
        <v>-0.41</v>
      </c>
      <c r="E970" s="4">
        <v>-5.341373914805745E-3</v>
      </c>
      <c r="F970" s="3">
        <v>968</v>
      </c>
      <c r="G970" s="3">
        <v>1</v>
      </c>
      <c r="H970" s="5">
        <v>232709008.94999999</v>
      </c>
      <c r="I970" s="5">
        <v>230485008.94999999</v>
      </c>
      <c r="J970" s="5">
        <v>6931000</v>
      </c>
      <c r="K970" s="5">
        <v>9155000</v>
      </c>
      <c r="L970" s="5">
        <v>20222000</v>
      </c>
      <c r="M970" s="5">
        <v>-17917000</v>
      </c>
      <c r="N970" s="5">
        <v>-30224000</v>
      </c>
    </row>
    <row r="971" spans="1:14" x14ac:dyDescent="0.25">
      <c r="A971" s="3" t="s">
        <v>982</v>
      </c>
      <c r="B971" s="4">
        <v>-8.69</v>
      </c>
      <c r="C971" s="4">
        <v>-0.1</v>
      </c>
      <c r="D971" s="4">
        <v>-0.09</v>
      </c>
      <c r="E971" s="4">
        <v>-5.3468000297490111E-3</v>
      </c>
      <c r="F971" s="3">
        <v>969</v>
      </c>
      <c r="G971" s="3">
        <v>1</v>
      </c>
      <c r="H971" s="5">
        <v>101746777.94</v>
      </c>
      <c r="I971" s="5">
        <v>97489777.939999998</v>
      </c>
      <c r="J971" s="5">
        <v>15000</v>
      </c>
      <c r="K971" s="5">
        <v>4272000</v>
      </c>
      <c r="L971" s="5">
        <v>0</v>
      </c>
      <c r="M971" s="5">
        <v>-11219000</v>
      </c>
      <c r="N971" s="5">
        <v>-12657000</v>
      </c>
    </row>
    <row r="972" spans="1:14" x14ac:dyDescent="0.25">
      <c r="A972" s="3" t="s">
        <v>983</v>
      </c>
      <c r="B972" s="4">
        <v>-1.9</v>
      </c>
      <c r="C972" s="4">
        <v>1.39</v>
      </c>
      <c r="D972" s="4">
        <v>-0.81</v>
      </c>
      <c r="E972" s="4">
        <v>-5.3830131664907802E-3</v>
      </c>
      <c r="F972" s="3">
        <v>970</v>
      </c>
      <c r="G972" s="3">
        <v>1</v>
      </c>
      <c r="H972" s="5">
        <v>3446949.22</v>
      </c>
      <c r="I972" s="5">
        <v>43532949.219999999</v>
      </c>
      <c r="J972" s="5">
        <v>54140000</v>
      </c>
      <c r="K972" s="5">
        <v>14054000</v>
      </c>
      <c r="L972" s="5">
        <v>142905000</v>
      </c>
      <c r="M972" s="5">
        <v>-22967000</v>
      </c>
      <c r="N972" s="5">
        <v>-44027000</v>
      </c>
    </row>
    <row r="973" spans="1:14" x14ac:dyDescent="0.25">
      <c r="A973" s="3" t="s">
        <v>984</v>
      </c>
      <c r="B973" s="4">
        <v>0.04</v>
      </c>
      <c r="C973" s="4">
        <v>1.84</v>
      </c>
      <c r="D973" s="4">
        <v>-1.33</v>
      </c>
      <c r="E973" s="4">
        <v>-5.3838161381034996E-3</v>
      </c>
      <c r="F973" s="3">
        <v>971</v>
      </c>
      <c r="G973" s="3">
        <v>1</v>
      </c>
      <c r="H973" s="5">
        <v>93.248463000000001</v>
      </c>
      <c r="I973" s="5">
        <v>-53976.751536999996</v>
      </c>
      <c r="J973" s="5">
        <v>37780</v>
      </c>
      <c r="K973" s="5">
        <v>91850</v>
      </c>
      <c r="L973" s="5">
        <v>2308790</v>
      </c>
      <c r="M973" s="5">
        <v>-1300670</v>
      </c>
      <c r="N973" s="5">
        <v>-1310520</v>
      </c>
    </row>
    <row r="974" spans="1:14" x14ac:dyDescent="0.25">
      <c r="A974" s="3" t="s">
        <v>985</v>
      </c>
      <c r="B974" s="4">
        <v>-0.51</v>
      </c>
      <c r="C974" s="4">
        <v>1.76</v>
      </c>
      <c r="D974" s="4">
        <v>-1.94</v>
      </c>
      <c r="E974" s="4">
        <v>-5.3922293021077634E-3</v>
      </c>
      <c r="F974" s="3">
        <v>972</v>
      </c>
      <c r="G974" s="3">
        <v>1</v>
      </c>
      <c r="H974" s="5">
        <v>6910661.0256000003</v>
      </c>
      <c r="I974" s="5">
        <v>6652661.0256000003</v>
      </c>
      <c r="J974" s="5">
        <v>181540</v>
      </c>
      <c r="K974" s="5">
        <v>439540</v>
      </c>
      <c r="L974" s="5">
        <v>0</v>
      </c>
      <c r="M974" s="5">
        <v>-12923470</v>
      </c>
      <c r="N974" s="5">
        <v>-12046860</v>
      </c>
    </row>
    <row r="975" spans="1:14" x14ac:dyDescent="0.25">
      <c r="A975" s="3" t="s">
        <v>986</v>
      </c>
      <c r="B975" s="4">
        <v>-8.01</v>
      </c>
      <c r="C975" s="4">
        <v>0.1</v>
      </c>
      <c r="D975" s="4">
        <v>-1.21</v>
      </c>
      <c r="E975" s="4">
        <v>-5.4058448535417736E-3</v>
      </c>
      <c r="F975" s="3">
        <v>973</v>
      </c>
      <c r="G975" s="3">
        <v>1</v>
      </c>
      <c r="H975" s="5">
        <v>9016000</v>
      </c>
      <c r="I975" s="5">
        <v>8942750</v>
      </c>
      <c r="J975" s="5">
        <v>26480</v>
      </c>
      <c r="K975" s="5">
        <v>99730</v>
      </c>
      <c r="L975" s="5">
        <v>1481070</v>
      </c>
      <c r="M975" s="5">
        <v>-1115830</v>
      </c>
      <c r="N975" s="5">
        <v>-804000</v>
      </c>
    </row>
    <row r="976" spans="1:14" x14ac:dyDescent="0.25">
      <c r="A976" s="3" t="s">
        <v>987</v>
      </c>
      <c r="B976" s="4">
        <v>-9.94</v>
      </c>
      <c r="C976" s="4">
        <v>-0.38</v>
      </c>
      <c r="D976" s="4">
        <v>-0.23</v>
      </c>
      <c r="E976" s="4">
        <v>-5.4091766861042341E-3</v>
      </c>
      <c r="F976" s="3">
        <v>974</v>
      </c>
      <c r="G976" s="3">
        <v>1</v>
      </c>
      <c r="H976" s="5">
        <v>226988166.21000001</v>
      </c>
      <c r="I976" s="5">
        <v>381782166.20999998</v>
      </c>
      <c r="J976" s="5">
        <v>240000000</v>
      </c>
      <c r="K976" s="5">
        <v>85206000</v>
      </c>
      <c r="L976" s="5">
        <v>17622000</v>
      </c>
      <c r="M976" s="5">
        <v>-38405000</v>
      </c>
      <c r="N976" s="5">
        <v>-153536000</v>
      </c>
    </row>
    <row r="977" spans="1:14" x14ac:dyDescent="0.25">
      <c r="A977" s="3" t="s">
        <v>988</v>
      </c>
      <c r="B977" s="4">
        <v>-8.66</v>
      </c>
      <c r="C977" s="4">
        <v>-0.12</v>
      </c>
      <c r="D977" s="4">
        <v>-0.09</v>
      </c>
      <c r="E977" s="4">
        <v>-5.4231548608691584E-3</v>
      </c>
      <c r="F977" s="3">
        <v>975</v>
      </c>
      <c r="G977" s="3">
        <v>1</v>
      </c>
      <c r="H977" s="5">
        <v>38215915.920000002</v>
      </c>
      <c r="I977" s="5">
        <v>21204915.920000002</v>
      </c>
      <c r="J977" s="5">
        <v>0</v>
      </c>
      <c r="K977" s="5">
        <v>17011000</v>
      </c>
      <c r="L977" s="5">
        <v>140056000</v>
      </c>
      <c r="M977" s="5">
        <v>-2448000</v>
      </c>
      <c r="N977" s="5">
        <v>-4770000</v>
      </c>
    </row>
    <row r="978" spans="1:14" x14ac:dyDescent="0.25">
      <c r="A978" s="3" t="s">
        <v>989</v>
      </c>
      <c r="B978" s="4">
        <v>0.14000000000000001</v>
      </c>
      <c r="C978" s="4">
        <v>2.27</v>
      </c>
      <c r="D978" s="4">
        <v>-7.69</v>
      </c>
      <c r="E978" s="4">
        <v>-5.4301439967463141E-3</v>
      </c>
      <c r="F978" s="3">
        <v>976</v>
      </c>
      <c r="G978" s="3">
        <v>1</v>
      </c>
      <c r="H978" s="5">
        <v>1854.706872</v>
      </c>
      <c r="I978" s="5">
        <v>-84345.293128000005</v>
      </c>
      <c r="J978" s="5">
        <v>106360</v>
      </c>
      <c r="K978" s="5">
        <v>192560</v>
      </c>
      <c r="L978" s="5">
        <v>0</v>
      </c>
      <c r="M978" s="5">
        <v>-623170</v>
      </c>
      <c r="N978" s="5">
        <v>-3580590</v>
      </c>
    </row>
    <row r="979" spans="1:14" x14ac:dyDescent="0.25">
      <c r="A979" s="3" t="s">
        <v>990</v>
      </c>
      <c r="B979" s="4">
        <v>-8.6199999999999992</v>
      </c>
      <c r="C979" s="4">
        <v>-0.14000000000000001</v>
      </c>
      <c r="D979" s="4">
        <v>-0.13</v>
      </c>
      <c r="E979" s="4">
        <v>-5.513415003996408E-3</v>
      </c>
      <c r="F979" s="3">
        <v>977</v>
      </c>
      <c r="G979" s="3">
        <v>1</v>
      </c>
      <c r="H979" s="5">
        <v>5234477673.6000004</v>
      </c>
      <c r="I979" s="5">
        <v>4846599673.6000004</v>
      </c>
      <c r="J979" s="5">
        <v>0</v>
      </c>
      <c r="K979" s="5">
        <v>387878000</v>
      </c>
      <c r="L979" s="5">
        <v>0</v>
      </c>
      <c r="M979" s="5">
        <v>-562543000</v>
      </c>
      <c r="N979" s="5">
        <v>-463927000</v>
      </c>
    </row>
    <row r="980" spans="1:14" x14ac:dyDescent="0.25">
      <c r="A980" s="3" t="s">
        <v>991</v>
      </c>
      <c r="B980" s="4">
        <v>-9.11</v>
      </c>
      <c r="C980" s="4">
        <v>-0.24</v>
      </c>
      <c r="D980" s="4">
        <v>-0.23</v>
      </c>
      <c r="E980" s="4">
        <v>-5.5183702607592526E-3</v>
      </c>
      <c r="F980" s="3">
        <v>978</v>
      </c>
      <c r="G980" s="3">
        <v>1</v>
      </c>
      <c r="H980" s="5">
        <v>54986210.887599997</v>
      </c>
      <c r="I980" s="5">
        <v>54905210.887599997</v>
      </c>
      <c r="J980" s="5">
        <v>0</v>
      </c>
      <c r="K980" s="5">
        <v>81000</v>
      </c>
      <c r="L980" s="5">
        <v>0</v>
      </c>
      <c r="M980" s="5">
        <v>-6027000</v>
      </c>
      <c r="N980" s="5">
        <v>-5368000</v>
      </c>
    </row>
    <row r="981" spans="1:14" x14ac:dyDescent="0.25">
      <c r="A981" s="3" t="s">
        <v>992</v>
      </c>
      <c r="B981" s="4">
        <v>16.25</v>
      </c>
      <c r="C981" s="4">
        <v>5.17</v>
      </c>
      <c r="D981" s="4">
        <v>0.05</v>
      </c>
      <c r="E981" s="4">
        <v>-5.5287417695557249E-3</v>
      </c>
      <c r="F981" s="3">
        <v>979</v>
      </c>
      <c r="G981" s="3">
        <v>1</v>
      </c>
      <c r="H981" s="5">
        <v>31299484403.130001</v>
      </c>
      <c r="I981" s="5">
        <v>31642129403.130001</v>
      </c>
      <c r="J981" s="5">
        <v>6438069000</v>
      </c>
      <c r="K981" s="5">
        <v>6095424000</v>
      </c>
      <c r="L981" s="5">
        <v>23155625000</v>
      </c>
      <c r="M981" s="5">
        <v>1946831000</v>
      </c>
      <c r="N981" s="5">
        <v>896287000</v>
      </c>
    </row>
    <row r="982" spans="1:14" x14ac:dyDescent="0.25">
      <c r="A982" s="3" t="s">
        <v>993</v>
      </c>
      <c r="B982" s="4">
        <v>-9.32</v>
      </c>
      <c r="C982" s="4">
        <v>-0.28999999999999998</v>
      </c>
      <c r="D982" s="4">
        <v>-0.27</v>
      </c>
      <c r="E982" s="4">
        <v>-5.5405810825029378E-3</v>
      </c>
      <c r="F982" s="3">
        <v>980</v>
      </c>
      <c r="G982" s="3">
        <v>1</v>
      </c>
      <c r="H982" s="5">
        <v>1095857619.5</v>
      </c>
      <c r="I982" s="5">
        <v>971740619.5</v>
      </c>
      <c r="J982" s="5">
        <v>0</v>
      </c>
      <c r="K982" s="5">
        <v>124117000</v>
      </c>
      <c r="L982" s="5">
        <v>0</v>
      </c>
      <c r="M982" s="5">
        <v>-104237000</v>
      </c>
      <c r="N982" s="5">
        <v>-89024000</v>
      </c>
    </row>
    <row r="983" spans="1:14" x14ac:dyDescent="0.25">
      <c r="A983" s="3" t="s">
        <v>994</v>
      </c>
      <c r="B983" s="4">
        <v>-8.51</v>
      </c>
      <c r="C983" s="4">
        <v>-0.13</v>
      </c>
      <c r="D983" s="4">
        <v>-7.0000000000000007E-2</v>
      </c>
      <c r="E983" s="4">
        <v>-5.5410285001847668E-3</v>
      </c>
      <c r="F983" s="3">
        <v>981</v>
      </c>
      <c r="G983" s="3">
        <v>1</v>
      </c>
      <c r="H983" s="5">
        <v>12102313.41</v>
      </c>
      <c r="I983" s="5">
        <v>42964813.409999996</v>
      </c>
      <c r="J983" s="5">
        <v>31290900</v>
      </c>
      <c r="K983" s="5">
        <v>428400</v>
      </c>
      <c r="L983" s="5">
        <v>34191000</v>
      </c>
      <c r="M983" s="5">
        <v>-5050700</v>
      </c>
      <c r="N983" s="5">
        <v>-5263600</v>
      </c>
    </row>
    <row r="984" spans="1:14" x14ac:dyDescent="0.25">
      <c r="A984" s="3" t="s">
        <v>995</v>
      </c>
      <c r="B984" s="4">
        <v>-8.43</v>
      </c>
      <c r="C984" s="4">
        <v>0.19</v>
      </c>
      <c r="D984" s="4">
        <v>-4.63</v>
      </c>
      <c r="E984" s="4">
        <v>-5.5455828406414057E-3</v>
      </c>
      <c r="F984" s="3">
        <v>982</v>
      </c>
      <c r="G984" s="3">
        <v>1</v>
      </c>
      <c r="H984" s="5">
        <v>795000</v>
      </c>
      <c r="I984" s="5">
        <v>1596420</v>
      </c>
      <c r="J984" s="5">
        <v>802770</v>
      </c>
      <c r="K984" s="5">
        <v>1350</v>
      </c>
      <c r="L984" s="5">
        <v>0</v>
      </c>
      <c r="M984" s="5">
        <v>-189440</v>
      </c>
      <c r="N984" s="5">
        <v>-230410</v>
      </c>
    </row>
    <row r="985" spans="1:14" x14ac:dyDescent="0.25">
      <c r="A985" s="3" t="s">
        <v>996</v>
      </c>
      <c r="B985" s="4">
        <v>-13.64</v>
      </c>
      <c r="C985" s="4">
        <v>-1.18</v>
      </c>
      <c r="D985" s="4">
        <v>-1.02</v>
      </c>
      <c r="E985" s="4">
        <v>-5.5830522389651808E-3</v>
      </c>
      <c r="F985" s="3">
        <v>983</v>
      </c>
      <c r="G985" s="3">
        <v>1</v>
      </c>
      <c r="H985" s="5">
        <v>138816678.24000001</v>
      </c>
      <c r="I985" s="5">
        <v>130156678.23999999</v>
      </c>
      <c r="J985" s="5">
        <v>0</v>
      </c>
      <c r="K985" s="5">
        <v>8660000</v>
      </c>
      <c r="L985" s="5">
        <v>181000</v>
      </c>
      <c r="M985" s="5">
        <v>-9539000</v>
      </c>
      <c r="N985" s="5">
        <v>-9541000</v>
      </c>
    </row>
    <row r="986" spans="1:14" x14ac:dyDescent="0.25">
      <c r="A986" s="3" t="s">
        <v>997</v>
      </c>
      <c r="B986" s="4">
        <v>-6.92</v>
      </c>
      <c r="C986" s="4">
        <v>0.18</v>
      </c>
      <c r="D986" s="4">
        <v>0.11</v>
      </c>
      <c r="E986" s="4">
        <v>-5.5946879101767726E-3</v>
      </c>
      <c r="F986" s="3">
        <v>984</v>
      </c>
      <c r="G986" s="3">
        <v>1</v>
      </c>
      <c r="H986" s="5">
        <v>68126312.321700007</v>
      </c>
      <c r="I986" s="5">
        <v>10985312.32170001</v>
      </c>
      <c r="J986" s="5">
        <v>134976000</v>
      </c>
      <c r="K986" s="5">
        <v>192117000</v>
      </c>
      <c r="L986" s="5">
        <v>1808832000</v>
      </c>
      <c r="M986" s="5">
        <v>-1587000</v>
      </c>
      <c r="N986" s="5">
        <v>454960000</v>
      </c>
    </row>
    <row r="987" spans="1:14" x14ac:dyDescent="0.25">
      <c r="A987" s="3" t="s">
        <v>998</v>
      </c>
      <c r="B987" s="4">
        <v>-3.47</v>
      </c>
      <c r="C987" s="4">
        <v>1.02</v>
      </c>
      <c r="D987" s="4">
        <v>-1.43</v>
      </c>
      <c r="E987" s="4">
        <v>-5.5999709793899304E-3</v>
      </c>
      <c r="F987" s="3">
        <v>985</v>
      </c>
      <c r="G987" s="3">
        <v>1</v>
      </c>
      <c r="H987" s="5">
        <v>84127.988899999997</v>
      </c>
      <c r="I987" s="5">
        <v>8956127.9889000002</v>
      </c>
      <c r="J987" s="5">
        <v>8914000</v>
      </c>
      <c r="K987" s="5">
        <v>42000</v>
      </c>
      <c r="L987" s="5">
        <v>7156000</v>
      </c>
      <c r="M987" s="5">
        <v>-2583000</v>
      </c>
      <c r="N987" s="5">
        <v>-7264000</v>
      </c>
    </row>
    <row r="988" spans="1:14" x14ac:dyDescent="0.25">
      <c r="A988" s="3" t="s">
        <v>999</v>
      </c>
      <c r="B988" s="4">
        <v>-1.59</v>
      </c>
      <c r="C988" s="4">
        <v>1.37</v>
      </c>
      <c r="D988" s="4">
        <v>-0.72</v>
      </c>
      <c r="E988" s="4">
        <v>-5.6153045179315412E-3</v>
      </c>
      <c r="F988" s="3">
        <v>986</v>
      </c>
      <c r="G988" s="3">
        <v>1</v>
      </c>
      <c r="H988" s="5">
        <v>4223705.1780000003</v>
      </c>
      <c r="I988" s="5">
        <v>15334705.177999999</v>
      </c>
      <c r="J988" s="5">
        <v>15773000</v>
      </c>
      <c r="K988" s="5">
        <v>4662000</v>
      </c>
      <c r="L988" s="5">
        <v>2421000</v>
      </c>
      <c r="M988" s="5">
        <v>-9669000</v>
      </c>
      <c r="N988" s="5">
        <v>-17521000</v>
      </c>
    </row>
    <row r="989" spans="1:14" x14ac:dyDescent="0.25">
      <c r="A989" s="3" t="s">
        <v>1000</v>
      </c>
      <c r="B989" s="4">
        <v>-3.37</v>
      </c>
      <c r="C989" s="4">
        <v>0.97</v>
      </c>
      <c r="D989" s="4">
        <v>-0.45</v>
      </c>
      <c r="E989" s="4">
        <v>-5.6172864668374194E-3</v>
      </c>
      <c r="F989" s="3">
        <v>987</v>
      </c>
      <c r="G989" s="3">
        <v>1</v>
      </c>
      <c r="H989" s="5">
        <v>1105759.3548000001</v>
      </c>
      <c r="I989" s="5">
        <v>12909499.354800001</v>
      </c>
      <c r="J989" s="5">
        <v>11904660</v>
      </c>
      <c r="K989" s="5">
        <v>100920</v>
      </c>
      <c r="L989" s="5">
        <v>2384960</v>
      </c>
      <c r="M989" s="5">
        <v>-3833180</v>
      </c>
      <c r="N989" s="5">
        <v>-8015300</v>
      </c>
    </row>
    <row r="990" spans="1:14" x14ac:dyDescent="0.25">
      <c r="A990" s="3" t="s">
        <v>1001</v>
      </c>
      <c r="B990" s="4">
        <v>-5.0199999999999996</v>
      </c>
      <c r="C990" s="4">
        <v>0.62</v>
      </c>
      <c r="D990" s="4">
        <v>-0.51</v>
      </c>
      <c r="E990" s="4">
        <v>-5.6189179317907047E-3</v>
      </c>
      <c r="F990" s="3">
        <v>988</v>
      </c>
      <c r="G990" s="3">
        <v>1</v>
      </c>
      <c r="H990" s="5">
        <v>1864513453.6461999</v>
      </c>
      <c r="I990" s="5">
        <v>5210431453.6462002</v>
      </c>
      <c r="J990" s="5">
        <v>4085155000</v>
      </c>
      <c r="K990" s="5">
        <v>739237000</v>
      </c>
      <c r="L990" s="5">
        <v>2034261000</v>
      </c>
      <c r="M990" s="5">
        <v>-1037361000</v>
      </c>
      <c r="N990" s="5">
        <v>-2049897000</v>
      </c>
    </row>
    <row r="991" spans="1:14" x14ac:dyDescent="0.25">
      <c r="A991" s="3" t="s">
        <v>1002</v>
      </c>
      <c r="B991" s="4">
        <v>-8.26</v>
      </c>
      <c r="C991" s="4">
        <v>-0.11</v>
      </c>
      <c r="D991" s="4">
        <v>-0.1</v>
      </c>
      <c r="E991" s="4">
        <v>-5.6437585083153018E-3</v>
      </c>
      <c r="F991" s="3">
        <v>989</v>
      </c>
      <c r="G991" s="3">
        <v>1</v>
      </c>
      <c r="H991" s="5">
        <v>491033385.77999997</v>
      </c>
      <c r="I991" s="5">
        <v>422770385.77999997</v>
      </c>
      <c r="J991" s="5">
        <v>0</v>
      </c>
      <c r="K991" s="5">
        <v>68263000</v>
      </c>
      <c r="L991" s="5">
        <v>0</v>
      </c>
      <c r="M991" s="5">
        <v>-51165000</v>
      </c>
      <c r="N991" s="5">
        <v>-22230000</v>
      </c>
    </row>
    <row r="992" spans="1:14" x14ac:dyDescent="0.25">
      <c r="A992" s="3" t="s">
        <v>1003</v>
      </c>
      <c r="B992" s="4">
        <v>-8.92</v>
      </c>
      <c r="C992" s="4">
        <v>-0.25</v>
      </c>
      <c r="D992" s="4">
        <v>-0.15</v>
      </c>
      <c r="E992" s="4">
        <v>-5.6494265633981328E-3</v>
      </c>
      <c r="F992" s="3">
        <v>990</v>
      </c>
      <c r="G992" s="3">
        <v>1</v>
      </c>
      <c r="H992" s="5">
        <v>75578461.159999996</v>
      </c>
      <c r="I992" s="5">
        <v>75044591.159999996</v>
      </c>
      <c r="J992" s="5">
        <v>0</v>
      </c>
      <c r="K992" s="5">
        <v>533870</v>
      </c>
      <c r="L992" s="5">
        <v>3415200</v>
      </c>
      <c r="M992" s="5">
        <v>-8416530</v>
      </c>
      <c r="N992" s="5">
        <v>-2518830</v>
      </c>
    </row>
    <row r="993" spans="1:14" x14ac:dyDescent="0.25">
      <c r="A993" s="3" t="s">
        <v>1004</v>
      </c>
      <c r="B993" s="4">
        <v>-7.84</v>
      </c>
      <c r="C993" s="4">
        <v>-0.03</v>
      </c>
      <c r="D993" s="4">
        <v>-0.02</v>
      </c>
      <c r="E993" s="4">
        <v>-5.6571240788568476E-3</v>
      </c>
      <c r="F993" s="3">
        <v>991</v>
      </c>
      <c r="G993" s="3">
        <v>1</v>
      </c>
      <c r="H993" s="5">
        <v>311793478.39999998</v>
      </c>
      <c r="I993" s="5">
        <v>231229478.40000001</v>
      </c>
      <c r="J993" s="5">
        <v>50000000</v>
      </c>
      <c r="K993" s="5">
        <v>130564000</v>
      </c>
      <c r="L993" s="5">
        <v>493688000</v>
      </c>
      <c r="M993" s="5">
        <v>-29502000</v>
      </c>
      <c r="N993" s="5">
        <v>-14008000</v>
      </c>
    </row>
    <row r="994" spans="1:14" x14ac:dyDescent="0.25">
      <c r="A994" s="3" t="s">
        <v>1005</v>
      </c>
      <c r="B994" s="4">
        <v>-8.9600000000000009</v>
      </c>
      <c r="C994" s="4">
        <v>-0.26</v>
      </c>
      <c r="D994" s="4">
        <v>-0.23</v>
      </c>
      <c r="E994" s="4">
        <v>-5.6689955602443262E-3</v>
      </c>
      <c r="F994" s="3">
        <v>992</v>
      </c>
      <c r="G994" s="3">
        <v>1</v>
      </c>
      <c r="H994" s="5">
        <v>1538150326.5</v>
      </c>
      <c r="I994" s="5">
        <v>1496191326.5</v>
      </c>
      <c r="J994" s="5">
        <v>50687000</v>
      </c>
      <c r="K994" s="5">
        <v>92646000</v>
      </c>
      <c r="L994" s="5">
        <v>0</v>
      </c>
      <c r="M994" s="5">
        <v>-167065000</v>
      </c>
      <c r="N994" s="5">
        <v>-152148000</v>
      </c>
    </row>
    <row r="995" spans="1:14" x14ac:dyDescent="0.25">
      <c r="A995" s="3" t="s">
        <v>1006</v>
      </c>
      <c r="B995" s="4">
        <v>-7.96</v>
      </c>
      <c r="C995" s="4">
        <v>-7.0000000000000007E-2</v>
      </c>
      <c r="D995" s="4">
        <v>-0.01</v>
      </c>
      <c r="E995" s="4">
        <v>-5.6964990119722416E-3</v>
      </c>
      <c r="F995" s="3">
        <v>993</v>
      </c>
      <c r="G995" s="3">
        <v>1</v>
      </c>
      <c r="H995" s="5">
        <v>78608106.239999995</v>
      </c>
      <c r="I995" s="5">
        <v>182651106.24000001</v>
      </c>
      <c r="J995" s="5">
        <v>108486000</v>
      </c>
      <c r="K995" s="5">
        <v>4443000</v>
      </c>
      <c r="L995" s="5">
        <v>95571000</v>
      </c>
      <c r="M995" s="5">
        <v>-22938000</v>
      </c>
      <c r="N995" s="5">
        <v>-4075000</v>
      </c>
    </row>
    <row r="996" spans="1:14" x14ac:dyDescent="0.25">
      <c r="A996" s="3" t="s">
        <v>1007</v>
      </c>
      <c r="B996" s="4">
        <v>-5.44</v>
      </c>
      <c r="C996" s="4">
        <v>0.44</v>
      </c>
      <c r="D996" s="4">
        <v>0.41</v>
      </c>
      <c r="E996" s="4">
        <v>-5.7015857736431551E-3</v>
      </c>
      <c r="F996" s="3">
        <v>994</v>
      </c>
      <c r="G996" s="3">
        <v>1</v>
      </c>
      <c r="H996" s="5">
        <v>2362292524.1199999</v>
      </c>
      <c r="I996" s="5">
        <v>2286045524.1199999</v>
      </c>
      <c r="J996" s="5">
        <v>0</v>
      </c>
      <c r="K996" s="5">
        <v>76247000</v>
      </c>
      <c r="L996" s="5">
        <v>36498000</v>
      </c>
      <c r="M996" s="5">
        <v>-420037000</v>
      </c>
      <c r="N996" s="5">
        <v>673725000</v>
      </c>
    </row>
    <row r="997" spans="1:14" x14ac:dyDescent="0.25">
      <c r="A997" s="3" t="s">
        <v>1008</v>
      </c>
      <c r="B997" s="4">
        <v>-9.14</v>
      </c>
      <c r="C997" s="4">
        <v>-0.32</v>
      </c>
      <c r="D997" s="4">
        <v>-0.14000000000000001</v>
      </c>
      <c r="E997" s="4">
        <v>-5.7135902605861301E-3</v>
      </c>
      <c r="F997" s="3">
        <v>995</v>
      </c>
      <c r="G997" s="3">
        <v>1</v>
      </c>
      <c r="H997" s="5">
        <v>1037631912</v>
      </c>
      <c r="I997" s="5">
        <v>1144700912</v>
      </c>
      <c r="J997" s="5">
        <v>381317000</v>
      </c>
      <c r="K997" s="5">
        <v>274248000</v>
      </c>
      <c r="L997" s="5">
        <v>216682000</v>
      </c>
      <c r="M997" s="5">
        <v>-125235000</v>
      </c>
      <c r="N997" s="5">
        <v>-132603000</v>
      </c>
    </row>
    <row r="998" spans="1:14" x14ac:dyDescent="0.25">
      <c r="A998" s="3" t="s">
        <v>1009</v>
      </c>
      <c r="B998" s="4">
        <v>-9.3699999999999992</v>
      </c>
      <c r="C998" s="4">
        <v>-0.36</v>
      </c>
      <c r="D998" s="4">
        <v>-0.32</v>
      </c>
      <c r="E998" s="4">
        <v>-5.7215354360062856E-3</v>
      </c>
      <c r="F998" s="3">
        <v>996</v>
      </c>
      <c r="G998" s="3">
        <v>1</v>
      </c>
      <c r="H998" s="5">
        <v>627883926.53999996</v>
      </c>
      <c r="I998" s="5">
        <v>495696926.54000002</v>
      </c>
      <c r="J998" s="5">
        <v>0</v>
      </c>
      <c r="K998" s="5">
        <v>132187000</v>
      </c>
      <c r="L998" s="5">
        <v>0</v>
      </c>
      <c r="M998" s="5">
        <v>-52877000</v>
      </c>
      <c r="N998" s="5">
        <v>-43002000</v>
      </c>
    </row>
    <row r="999" spans="1:14" x14ac:dyDescent="0.25">
      <c r="A999" s="3" t="s">
        <v>1010</v>
      </c>
      <c r="B999" s="4">
        <v>-7.42</v>
      </c>
      <c r="C999" s="4">
        <v>0.03</v>
      </c>
      <c r="D999" s="4">
        <v>0.02</v>
      </c>
      <c r="E999" s="4">
        <v>-5.7359929697373274E-3</v>
      </c>
      <c r="F999" s="3">
        <v>997</v>
      </c>
      <c r="G999" s="3">
        <v>1</v>
      </c>
      <c r="H999" s="5">
        <v>248244839.19999999</v>
      </c>
      <c r="I999" s="5">
        <v>337211839.19999999</v>
      </c>
      <c r="J999" s="5">
        <v>92117000</v>
      </c>
      <c r="K999" s="5">
        <v>3150000</v>
      </c>
      <c r="L999" s="5">
        <v>46643000</v>
      </c>
      <c r="M999" s="5">
        <v>-45454000</v>
      </c>
      <c r="N999" s="5">
        <v>6973000</v>
      </c>
    </row>
    <row r="1000" spans="1:14" x14ac:dyDescent="0.25">
      <c r="A1000" s="3" t="s">
        <v>1011</v>
      </c>
      <c r="B1000" s="4">
        <v>-8.19</v>
      </c>
      <c r="C1000" s="4">
        <v>-0.13</v>
      </c>
      <c r="D1000" s="4">
        <v>-0.06</v>
      </c>
      <c r="E1000" s="4">
        <v>-5.7371540559137376E-3</v>
      </c>
      <c r="F1000" s="3">
        <v>998</v>
      </c>
      <c r="G1000" s="3">
        <v>1</v>
      </c>
      <c r="H1000" s="5">
        <v>25876803.239999998</v>
      </c>
      <c r="I1000" s="5">
        <v>27920973.239999991</v>
      </c>
      <c r="J1000" s="5">
        <v>30217330</v>
      </c>
      <c r="K1000" s="5">
        <v>28173160</v>
      </c>
      <c r="L1000" s="5">
        <v>164481410</v>
      </c>
      <c r="M1000" s="5">
        <v>-3408570</v>
      </c>
      <c r="N1000" s="5">
        <v>-7049730</v>
      </c>
    </row>
    <row r="1001" spans="1:14" x14ac:dyDescent="0.25">
      <c r="A1001" s="3" t="s">
        <v>1012</v>
      </c>
      <c r="B1001" s="4">
        <v>-0.14000000000000001</v>
      </c>
      <c r="C1001" s="4">
        <v>1.93</v>
      </c>
      <c r="D1001" s="4">
        <v>-5.12</v>
      </c>
      <c r="E1001" s="4">
        <v>-5.7434690453007087E-3</v>
      </c>
      <c r="F1001" s="3">
        <v>999</v>
      </c>
      <c r="G1001" s="3">
        <v>1</v>
      </c>
      <c r="H1001" s="5">
        <v>2241602.7540000002</v>
      </c>
      <c r="I1001" s="5">
        <v>2419602.7540000002</v>
      </c>
      <c r="J1001" s="5">
        <v>559000</v>
      </c>
      <c r="K1001" s="5">
        <v>381000</v>
      </c>
      <c r="L1001" s="5">
        <v>3276000</v>
      </c>
      <c r="M1001" s="5">
        <v>-16740000</v>
      </c>
      <c r="N1001" s="5">
        <v>-40994000</v>
      </c>
    </row>
    <row r="1002" spans="1:14" x14ac:dyDescent="0.25">
      <c r="A1002" s="3" t="s">
        <v>1013</v>
      </c>
      <c r="B1002" s="4">
        <v>-7.9</v>
      </c>
      <c r="C1002" s="4">
        <v>-0.08</v>
      </c>
      <c r="D1002" s="4">
        <v>-7.0000000000000007E-2</v>
      </c>
      <c r="E1002" s="4">
        <v>-5.7741020126342007E-3</v>
      </c>
      <c r="F1002" s="3">
        <v>1000</v>
      </c>
      <c r="G1002" s="3">
        <v>1</v>
      </c>
      <c r="H1002" s="5">
        <v>5534137.5</v>
      </c>
      <c r="I1002" s="5">
        <v>6028487.5</v>
      </c>
      <c r="J1002" s="5">
        <v>675870</v>
      </c>
      <c r="K1002" s="5">
        <v>181520</v>
      </c>
      <c r="L1002" s="5">
        <v>77340</v>
      </c>
      <c r="M1002" s="5">
        <v>-762980</v>
      </c>
      <c r="N1002" s="5">
        <v>-1081050</v>
      </c>
    </row>
    <row r="1003" spans="1:14" x14ac:dyDescent="0.25">
      <c r="A1003" s="3" t="s">
        <v>1014</v>
      </c>
      <c r="B1003" s="4">
        <v>-3.1</v>
      </c>
      <c r="C1003" s="4">
        <v>-1.28</v>
      </c>
      <c r="D1003" s="4">
        <v>33.22</v>
      </c>
      <c r="E1003" s="4">
        <v>-5.7904241124493022E-3</v>
      </c>
      <c r="F1003" s="3">
        <v>1001</v>
      </c>
      <c r="G1003" s="3">
        <v>1</v>
      </c>
      <c r="H1003" s="5">
        <v>10.952214</v>
      </c>
      <c r="I1003" s="5">
        <v>16243670.952214001</v>
      </c>
      <c r="J1003" s="5">
        <v>16574960</v>
      </c>
      <c r="K1003" s="5">
        <v>331300</v>
      </c>
      <c r="L1003" s="5">
        <v>1980930</v>
      </c>
      <c r="M1003" s="5">
        <v>-5243750</v>
      </c>
      <c r="N1003" s="5">
        <v>23786350</v>
      </c>
    </row>
    <row r="1004" spans="1:14" x14ac:dyDescent="0.25">
      <c r="A1004" s="3" t="s">
        <v>1015</v>
      </c>
      <c r="B1004" s="4">
        <v>-5.37</v>
      </c>
      <c r="C1004" s="4">
        <v>0.55000000000000004</v>
      </c>
      <c r="D1004" s="4">
        <v>-1.89</v>
      </c>
      <c r="E1004" s="4">
        <v>-5.8707566491900069E-3</v>
      </c>
      <c r="F1004" s="3">
        <v>1002</v>
      </c>
      <c r="G1004" s="3">
        <v>1</v>
      </c>
      <c r="H1004" s="5">
        <v>59114655.890000001</v>
      </c>
      <c r="I1004" s="5">
        <v>59462225.890000001</v>
      </c>
      <c r="J1004" s="5">
        <v>4924610</v>
      </c>
      <c r="K1004" s="5">
        <v>4577040</v>
      </c>
      <c r="L1004" s="5">
        <v>0</v>
      </c>
      <c r="M1004" s="5">
        <v>-11072850</v>
      </c>
      <c r="N1004" s="5">
        <v>-10784800</v>
      </c>
    </row>
    <row r="1005" spans="1:14" x14ac:dyDescent="0.25">
      <c r="A1005" s="3" t="s">
        <v>1016</v>
      </c>
      <c r="B1005" s="4">
        <v>-10.82</v>
      </c>
      <c r="C1005" s="4">
        <v>-0.71</v>
      </c>
      <c r="D1005" s="4">
        <v>-0.54</v>
      </c>
      <c r="E1005" s="4">
        <v>-5.8778154401412106E-3</v>
      </c>
      <c r="F1005" s="3">
        <v>1003</v>
      </c>
      <c r="G1005" s="3">
        <v>1</v>
      </c>
      <c r="H1005" s="5">
        <v>6172901604.8699999</v>
      </c>
      <c r="I1005" s="5">
        <v>5402401604.8699999</v>
      </c>
      <c r="J1005" s="5">
        <v>64000000</v>
      </c>
      <c r="K1005" s="5">
        <v>834500000</v>
      </c>
      <c r="L1005" s="5">
        <v>0</v>
      </c>
      <c r="M1005" s="5">
        <v>-499400000</v>
      </c>
      <c r="N1005" s="5">
        <v>-536800000</v>
      </c>
    </row>
    <row r="1006" spans="1:14" x14ac:dyDescent="0.25">
      <c r="A1006" s="3" t="s">
        <v>1017</v>
      </c>
      <c r="B1006" s="4">
        <v>-7.36</v>
      </c>
      <c r="C1006" s="4">
        <v>-0.01</v>
      </c>
      <c r="D1006" s="4">
        <v>-0.01</v>
      </c>
      <c r="E1006" s="4">
        <v>-5.8944897117101398E-3</v>
      </c>
      <c r="F1006" s="3">
        <v>1004</v>
      </c>
      <c r="G1006" s="3">
        <v>1</v>
      </c>
      <c r="H1006" s="5">
        <v>3362395.3</v>
      </c>
      <c r="I1006" s="5">
        <v>8042755.2999999998</v>
      </c>
      <c r="J1006" s="5">
        <v>4705700</v>
      </c>
      <c r="K1006" s="5">
        <v>25340</v>
      </c>
      <c r="L1006" s="5">
        <v>0</v>
      </c>
      <c r="M1006" s="5">
        <v>-1093350</v>
      </c>
      <c r="N1006" s="5">
        <v>-1559010</v>
      </c>
    </row>
    <row r="1007" spans="1:14" x14ac:dyDescent="0.25">
      <c r="A1007" s="3" t="s">
        <v>1018</v>
      </c>
      <c r="B1007" s="4">
        <v>-8.58</v>
      </c>
      <c r="C1007" s="4">
        <v>-0.26</v>
      </c>
      <c r="D1007" s="4">
        <v>-0.2</v>
      </c>
      <c r="E1007" s="4">
        <v>-5.8983982970007556E-3</v>
      </c>
      <c r="F1007" s="3">
        <v>1005</v>
      </c>
      <c r="G1007" s="3">
        <v>1</v>
      </c>
      <c r="H1007" s="5">
        <v>1679374686.5999999</v>
      </c>
      <c r="I1007" s="5">
        <v>1335307686.5999999</v>
      </c>
      <c r="J1007" s="5">
        <v>0</v>
      </c>
      <c r="K1007" s="5">
        <v>344067000</v>
      </c>
      <c r="L1007" s="5">
        <v>610785000</v>
      </c>
      <c r="M1007" s="5">
        <v>-155580000</v>
      </c>
      <c r="N1007" s="5">
        <v>-182627000</v>
      </c>
    </row>
    <row r="1008" spans="1:14" x14ac:dyDescent="0.25">
      <c r="A1008" s="3" t="s">
        <v>1019</v>
      </c>
      <c r="B1008" s="4">
        <v>9.48</v>
      </c>
      <c r="C1008" s="4">
        <v>3.59</v>
      </c>
      <c r="D1008" s="4">
        <v>0.04</v>
      </c>
      <c r="E1008" s="4">
        <v>-5.9057684474961639E-3</v>
      </c>
      <c r="F1008" s="3">
        <v>1006</v>
      </c>
      <c r="G1008" s="3">
        <v>1</v>
      </c>
      <c r="H1008" s="5">
        <v>2875711717.6799998</v>
      </c>
      <c r="I1008" s="5">
        <v>5379755717.6800003</v>
      </c>
      <c r="J1008" s="5">
        <v>2504058000</v>
      </c>
      <c r="K1008" s="5">
        <v>14000</v>
      </c>
      <c r="L1008" s="5">
        <v>950449000</v>
      </c>
      <c r="M1008" s="5">
        <v>567641000</v>
      </c>
      <c r="N1008" s="5">
        <v>99575000</v>
      </c>
    </row>
    <row r="1009" spans="1:14" x14ac:dyDescent="0.25">
      <c r="A1009" s="3" t="s">
        <v>1020</v>
      </c>
      <c r="B1009" s="4">
        <v>-6.32</v>
      </c>
      <c r="C1009" s="4">
        <v>0.3</v>
      </c>
      <c r="D1009" s="4">
        <v>-1.39</v>
      </c>
      <c r="E1009" s="4">
        <v>-5.9086709544538072E-3</v>
      </c>
      <c r="F1009" s="3">
        <v>1007</v>
      </c>
      <c r="G1009" s="3">
        <v>1</v>
      </c>
      <c r="H1009" s="5">
        <v>429.88397099999997</v>
      </c>
      <c r="I1009" s="5">
        <v>15726769.883971</v>
      </c>
      <c r="J1009" s="5">
        <v>15758800</v>
      </c>
      <c r="K1009" s="5">
        <v>32460</v>
      </c>
      <c r="L1009" s="5">
        <v>317320</v>
      </c>
      <c r="M1009" s="5">
        <v>-2488430</v>
      </c>
      <c r="N1009" s="5">
        <v>-4154230</v>
      </c>
    </row>
    <row r="1010" spans="1:14" x14ac:dyDescent="0.25">
      <c r="A1010" s="3" t="s">
        <v>1021</v>
      </c>
      <c r="B1010" s="4">
        <v>-6.7</v>
      </c>
      <c r="C1010" s="4">
        <v>0.13</v>
      </c>
      <c r="D1010" s="4">
        <v>-0.37</v>
      </c>
      <c r="E1010" s="4">
        <v>-5.9679117463050501E-3</v>
      </c>
      <c r="F1010" s="3">
        <v>1008</v>
      </c>
      <c r="G1010" s="3">
        <v>1</v>
      </c>
      <c r="H1010" s="5">
        <v>1203516.2875000001</v>
      </c>
      <c r="I1010" s="5">
        <v>47081516.287500001</v>
      </c>
      <c r="J1010" s="5">
        <v>45878000</v>
      </c>
      <c r="K1010" s="5">
        <v>0</v>
      </c>
      <c r="L1010" s="5">
        <v>19363000</v>
      </c>
      <c r="M1010" s="5">
        <v>-7027000</v>
      </c>
      <c r="N1010" s="5">
        <v>-8860000</v>
      </c>
    </row>
    <row r="1011" spans="1:14" x14ac:dyDescent="0.25">
      <c r="A1011" s="3" t="s">
        <v>1022</v>
      </c>
      <c r="B1011" s="4">
        <v>-9.4600000000000009</v>
      </c>
      <c r="C1011" s="4">
        <v>-0.46</v>
      </c>
      <c r="D1011" s="4">
        <v>-0.42</v>
      </c>
      <c r="E1011" s="4">
        <v>-5.9740589206522272E-3</v>
      </c>
      <c r="F1011" s="3">
        <v>1009</v>
      </c>
      <c r="G1011" s="3">
        <v>1</v>
      </c>
      <c r="H1011" s="5">
        <v>849242286.20000005</v>
      </c>
      <c r="I1011" s="5">
        <v>755135286.20000005</v>
      </c>
      <c r="J1011" s="5">
        <v>0</v>
      </c>
      <c r="K1011" s="5">
        <v>94107000</v>
      </c>
      <c r="L1011" s="5">
        <v>0</v>
      </c>
      <c r="M1011" s="5">
        <v>-79863000</v>
      </c>
      <c r="N1011" s="5">
        <v>-74412000</v>
      </c>
    </row>
    <row r="1012" spans="1:14" x14ac:dyDescent="0.25">
      <c r="A1012" s="3" t="s">
        <v>1023</v>
      </c>
      <c r="B1012" s="4">
        <v>-7.72</v>
      </c>
      <c r="C1012" s="4">
        <v>-0.11</v>
      </c>
      <c r="D1012" s="4">
        <v>-0.09</v>
      </c>
      <c r="E1012" s="4">
        <v>-5.9760465893799811E-3</v>
      </c>
      <c r="F1012" s="3">
        <v>1010</v>
      </c>
      <c r="G1012" s="3">
        <v>1</v>
      </c>
      <c r="H1012" s="5">
        <v>89026581.930000007</v>
      </c>
      <c r="I1012" s="5">
        <v>85470581.930000007</v>
      </c>
      <c r="J1012" s="5">
        <v>0</v>
      </c>
      <c r="K1012" s="5">
        <v>3556000</v>
      </c>
      <c r="L1012" s="5">
        <v>58114000</v>
      </c>
      <c r="M1012" s="5">
        <v>-11069000</v>
      </c>
      <c r="N1012" s="5">
        <v>-13708000</v>
      </c>
    </row>
    <row r="1013" spans="1:14" x14ac:dyDescent="0.25">
      <c r="A1013" s="3" t="s">
        <v>1024</v>
      </c>
      <c r="B1013" s="4">
        <v>-1.94</v>
      </c>
      <c r="C1013" s="4">
        <v>1.21</v>
      </c>
      <c r="D1013" s="4">
        <v>-1.4</v>
      </c>
      <c r="E1013" s="4">
        <v>-5.9921538380355594E-3</v>
      </c>
      <c r="F1013" s="3">
        <v>1011</v>
      </c>
      <c r="G1013" s="3">
        <v>1</v>
      </c>
      <c r="H1013" s="5">
        <v>8963891.1762000006</v>
      </c>
      <c r="I1013" s="5">
        <v>952470891.17619991</v>
      </c>
      <c r="J1013" s="5">
        <v>1070121000</v>
      </c>
      <c r="K1013" s="5">
        <v>126614000</v>
      </c>
      <c r="L1013" s="5">
        <v>200976000</v>
      </c>
      <c r="M1013" s="5">
        <v>-490242000</v>
      </c>
      <c r="N1013" s="5">
        <v>-913484000</v>
      </c>
    </row>
    <row r="1014" spans="1:14" x14ac:dyDescent="0.25">
      <c r="A1014" s="3" t="s">
        <v>1025</v>
      </c>
      <c r="B1014" s="4">
        <v>-12.45</v>
      </c>
      <c r="C1014" s="4">
        <v>-1.1200000000000001</v>
      </c>
      <c r="D1014" s="4">
        <v>-0.28999999999999998</v>
      </c>
      <c r="E1014" s="4">
        <v>-6.0053871346727183E-3</v>
      </c>
      <c r="F1014" s="3">
        <v>1012</v>
      </c>
      <c r="G1014" s="3">
        <v>1</v>
      </c>
      <c r="H1014" s="5">
        <v>3106647063.75</v>
      </c>
      <c r="I1014" s="5">
        <v>2961210063.75</v>
      </c>
      <c r="J1014" s="5">
        <v>39291000</v>
      </c>
      <c r="K1014" s="5">
        <v>184728000</v>
      </c>
      <c r="L1014" s="5">
        <v>723876000</v>
      </c>
      <c r="M1014" s="5">
        <v>-237933000</v>
      </c>
      <c r="N1014" s="5">
        <v>-255536000</v>
      </c>
    </row>
    <row r="1015" spans="1:14" x14ac:dyDescent="0.25">
      <c r="A1015" s="3" t="s">
        <v>1026</v>
      </c>
      <c r="B1015" s="4">
        <v>-8.09</v>
      </c>
      <c r="C1015" s="4">
        <v>-0.21</v>
      </c>
      <c r="D1015" s="4">
        <v>-0.13</v>
      </c>
      <c r="E1015" s="4">
        <v>-6.0436981550427184E-3</v>
      </c>
      <c r="F1015" s="3">
        <v>1013</v>
      </c>
      <c r="G1015" s="3">
        <v>1</v>
      </c>
      <c r="H1015" s="5">
        <v>11815676.199999999</v>
      </c>
      <c r="I1015" s="5">
        <v>10127896.199999999</v>
      </c>
      <c r="J1015" s="5">
        <v>606900</v>
      </c>
      <c r="K1015" s="5">
        <v>2294680</v>
      </c>
      <c r="L1015" s="5">
        <v>6078950</v>
      </c>
      <c r="M1015" s="5">
        <v>-1251540</v>
      </c>
      <c r="N1015" s="5">
        <v>-1233890</v>
      </c>
    </row>
    <row r="1016" spans="1:14" x14ac:dyDescent="0.25">
      <c r="A1016" s="3" t="s">
        <v>1027</v>
      </c>
      <c r="B1016" s="4">
        <v>-0.96</v>
      </c>
      <c r="C1016" s="4">
        <v>1.41</v>
      </c>
      <c r="D1016" s="4">
        <v>-1.58</v>
      </c>
      <c r="E1016" s="4">
        <v>-6.0555463344550958E-3</v>
      </c>
      <c r="F1016" s="3">
        <v>1014</v>
      </c>
      <c r="G1016" s="3">
        <v>1</v>
      </c>
      <c r="H1016" s="5">
        <v>1213.9359999999999</v>
      </c>
      <c r="I1016" s="5">
        <v>10315213.936000001</v>
      </c>
      <c r="J1016" s="5">
        <v>11154000</v>
      </c>
      <c r="K1016" s="5">
        <v>840000</v>
      </c>
      <c r="L1016" s="5">
        <v>22109000</v>
      </c>
      <c r="M1016" s="5">
        <v>-10800000</v>
      </c>
      <c r="N1016" s="5">
        <v>-19348000</v>
      </c>
    </row>
    <row r="1017" spans="1:14" x14ac:dyDescent="0.25">
      <c r="A1017" s="3" t="s">
        <v>1028</v>
      </c>
      <c r="B1017" s="4">
        <v>-8.06</v>
      </c>
      <c r="C1017" s="4">
        <v>-0.21</v>
      </c>
      <c r="D1017" s="4">
        <v>-0.2</v>
      </c>
      <c r="E1017" s="4">
        <v>-6.0757689581764918E-3</v>
      </c>
      <c r="F1017" s="3">
        <v>1015</v>
      </c>
      <c r="G1017" s="3">
        <v>1</v>
      </c>
      <c r="H1017" s="5">
        <v>1575827289.1199999</v>
      </c>
      <c r="I1017" s="5">
        <v>1547471289.1199999</v>
      </c>
      <c r="J1017" s="5">
        <v>0</v>
      </c>
      <c r="K1017" s="5">
        <v>28356000</v>
      </c>
      <c r="L1017" s="5">
        <v>7020000</v>
      </c>
      <c r="M1017" s="5">
        <v>-191901000</v>
      </c>
      <c r="N1017" s="5">
        <v>-157863000</v>
      </c>
    </row>
    <row r="1018" spans="1:14" x14ac:dyDescent="0.25">
      <c r="A1018" s="3" t="s">
        <v>1029</v>
      </c>
      <c r="B1018" s="4">
        <v>-9.3699999999999992</v>
      </c>
      <c r="C1018" s="4">
        <v>-0.49</v>
      </c>
      <c r="D1018" s="4">
        <v>-0.26</v>
      </c>
      <c r="E1018" s="4">
        <v>-6.085578167729205E-3</v>
      </c>
      <c r="F1018" s="3">
        <v>1016</v>
      </c>
      <c r="G1018" s="3">
        <v>1</v>
      </c>
      <c r="H1018" s="5">
        <v>394832037.5</v>
      </c>
      <c r="I1018" s="5">
        <v>442143037.5</v>
      </c>
      <c r="J1018" s="5">
        <v>53306000</v>
      </c>
      <c r="K1018" s="5">
        <v>5995000</v>
      </c>
      <c r="L1018" s="5">
        <v>209357000</v>
      </c>
      <c r="M1018" s="5">
        <v>-47188000</v>
      </c>
      <c r="N1018" s="5">
        <v>-55743000</v>
      </c>
    </row>
    <row r="1019" spans="1:14" x14ac:dyDescent="0.25">
      <c r="A1019" s="3" t="s">
        <v>1030</v>
      </c>
      <c r="B1019" s="4">
        <v>-9.18</v>
      </c>
      <c r="C1019" s="4">
        <v>-0.45</v>
      </c>
      <c r="D1019" s="4">
        <v>-0.28000000000000003</v>
      </c>
      <c r="E1019" s="4">
        <v>-6.0914567010708527E-3</v>
      </c>
      <c r="F1019" s="3">
        <v>1017</v>
      </c>
      <c r="G1019" s="3">
        <v>1</v>
      </c>
      <c r="H1019" s="5">
        <v>1280185570.4400001</v>
      </c>
      <c r="I1019" s="5">
        <v>978107570.44000006</v>
      </c>
      <c r="J1019" s="5">
        <v>0</v>
      </c>
      <c r="K1019" s="5">
        <v>302078000</v>
      </c>
      <c r="L1019" s="5">
        <v>108302000</v>
      </c>
      <c r="M1019" s="5">
        <v>-106503000</v>
      </c>
      <c r="N1019" s="5">
        <v>-97008000</v>
      </c>
    </row>
    <row r="1020" spans="1:14" x14ac:dyDescent="0.25">
      <c r="A1020" s="3" t="s">
        <v>1031</v>
      </c>
      <c r="B1020" s="4">
        <v>-10.25</v>
      </c>
      <c r="C1020" s="4">
        <v>-0.67</v>
      </c>
      <c r="D1020" s="4">
        <v>-0.52</v>
      </c>
      <c r="E1020" s="4">
        <v>-6.1111676836617859E-3</v>
      </c>
      <c r="F1020" s="3">
        <v>1018</v>
      </c>
      <c r="G1020" s="3">
        <v>1</v>
      </c>
      <c r="H1020" s="5">
        <v>2690602147.3499999</v>
      </c>
      <c r="I1020" s="5">
        <v>2562870147.3499999</v>
      </c>
      <c r="J1020" s="5">
        <v>50146000</v>
      </c>
      <c r="K1020" s="5">
        <v>177878000</v>
      </c>
      <c r="L1020" s="5">
        <v>0</v>
      </c>
      <c r="M1020" s="5">
        <v>-250117000</v>
      </c>
      <c r="N1020" s="5">
        <v>-246294000</v>
      </c>
    </row>
    <row r="1021" spans="1:14" x14ac:dyDescent="0.25">
      <c r="A1021" s="3" t="s">
        <v>1032</v>
      </c>
      <c r="B1021" s="4">
        <v>-0.53</v>
      </c>
      <c r="C1021" s="4">
        <v>1.42</v>
      </c>
      <c r="D1021" s="4">
        <v>-0.64</v>
      </c>
      <c r="E1021" s="4">
        <v>-6.111460074129417E-3</v>
      </c>
      <c r="F1021" s="3">
        <v>1019</v>
      </c>
      <c r="G1021" s="3">
        <v>1</v>
      </c>
      <c r="H1021" s="5">
        <v>1695717.36</v>
      </c>
      <c r="I1021" s="5">
        <v>1401837.36</v>
      </c>
      <c r="J1021" s="5">
        <v>539700</v>
      </c>
      <c r="K1021" s="5">
        <v>833580</v>
      </c>
      <c r="L1021" s="5">
        <v>3389070</v>
      </c>
      <c r="M1021" s="5">
        <v>-2641990</v>
      </c>
      <c r="N1021" s="5">
        <v>-3725310</v>
      </c>
    </row>
    <row r="1022" spans="1:14" x14ac:dyDescent="0.25">
      <c r="A1022" s="3" t="s">
        <v>1033</v>
      </c>
      <c r="B1022" s="4">
        <v>-4.37</v>
      </c>
      <c r="C1022" s="4">
        <v>0.57999999999999996</v>
      </c>
      <c r="D1022" s="4">
        <v>-0.39</v>
      </c>
      <c r="E1022" s="4">
        <v>-6.1136424112284982E-3</v>
      </c>
      <c r="F1022" s="3">
        <v>1020</v>
      </c>
      <c r="G1022" s="3">
        <v>1</v>
      </c>
      <c r="H1022" s="5">
        <v>149544732.66</v>
      </c>
      <c r="I1022" s="5">
        <v>287397732.66000003</v>
      </c>
      <c r="J1022" s="5">
        <v>151231000</v>
      </c>
      <c r="K1022" s="5">
        <v>13378000</v>
      </c>
      <c r="L1022" s="5">
        <v>108742000</v>
      </c>
      <c r="M1022" s="5">
        <v>-65809000</v>
      </c>
      <c r="N1022" s="5">
        <v>-56451000</v>
      </c>
    </row>
    <row r="1023" spans="1:14" x14ac:dyDescent="0.25">
      <c r="A1023" s="3" t="s">
        <v>1034</v>
      </c>
      <c r="B1023" s="4">
        <v>-1.4</v>
      </c>
      <c r="C1023" s="4">
        <v>1.24</v>
      </c>
      <c r="D1023" s="4">
        <v>-0.75</v>
      </c>
      <c r="E1023" s="4">
        <v>-6.1143033970964891E-3</v>
      </c>
      <c r="F1023" s="3">
        <v>1021</v>
      </c>
      <c r="G1023" s="3">
        <v>1</v>
      </c>
      <c r="H1023" s="5">
        <v>85267927.920000002</v>
      </c>
      <c r="I1023" s="5">
        <v>551768927.91999996</v>
      </c>
      <c r="J1023" s="5">
        <v>500516000</v>
      </c>
      <c r="K1023" s="5">
        <v>34015000</v>
      </c>
      <c r="L1023" s="5">
        <v>75395000</v>
      </c>
      <c r="M1023" s="5">
        <v>-393318000</v>
      </c>
      <c r="N1023" s="5">
        <v>-273140000</v>
      </c>
    </row>
    <row r="1024" spans="1:14" x14ac:dyDescent="0.25">
      <c r="A1024" s="3" t="s">
        <v>1035</v>
      </c>
      <c r="B1024" s="4">
        <v>-8</v>
      </c>
      <c r="C1024" s="4">
        <v>-0.22</v>
      </c>
      <c r="D1024" s="4">
        <v>-0.09</v>
      </c>
      <c r="E1024" s="4">
        <v>-6.120578507020847E-3</v>
      </c>
      <c r="F1024" s="3">
        <v>1022</v>
      </c>
      <c r="G1024" s="3">
        <v>1</v>
      </c>
      <c r="H1024" s="5">
        <v>256</v>
      </c>
      <c r="I1024" s="5">
        <v>2197186</v>
      </c>
      <c r="J1024" s="5">
        <v>2217590</v>
      </c>
      <c r="K1024" s="5">
        <v>20660</v>
      </c>
      <c r="L1024" s="5">
        <v>202530</v>
      </c>
      <c r="M1024" s="5">
        <v>-274810</v>
      </c>
      <c r="N1024" s="5">
        <v>-386710</v>
      </c>
    </row>
    <row r="1025" spans="1:14" x14ac:dyDescent="0.25">
      <c r="A1025" s="3" t="s">
        <v>1036</v>
      </c>
      <c r="B1025" s="4">
        <v>0</v>
      </c>
      <c r="C1025" s="4">
        <v>1.74</v>
      </c>
      <c r="D1025" s="4">
        <v>-3.81</v>
      </c>
      <c r="E1025" s="4">
        <v>-6.1263939766812254E-3</v>
      </c>
      <c r="F1025" s="3">
        <v>1023</v>
      </c>
      <c r="G1025" s="3">
        <v>1</v>
      </c>
      <c r="H1025" s="5">
        <v>5423442.2999999998</v>
      </c>
      <c r="I1025" s="5">
        <v>14442.29999999981</v>
      </c>
      <c r="J1025" s="5">
        <v>208000</v>
      </c>
      <c r="K1025" s="5">
        <v>5617000</v>
      </c>
      <c r="L1025" s="5">
        <v>0</v>
      </c>
      <c r="M1025" s="5">
        <v>-14511000</v>
      </c>
      <c r="N1025" s="5">
        <v>-22597000</v>
      </c>
    </row>
    <row r="1026" spans="1:14" x14ac:dyDescent="0.25">
      <c r="A1026" s="3" t="s">
        <v>1037</v>
      </c>
      <c r="B1026" s="4">
        <v>-6.37</v>
      </c>
      <c r="C1026" s="4">
        <v>0.31</v>
      </c>
      <c r="D1026" s="4">
        <v>-2.87</v>
      </c>
      <c r="E1026" s="4">
        <v>-6.1343272524248286E-3</v>
      </c>
      <c r="F1026" s="3">
        <v>1024</v>
      </c>
      <c r="G1026" s="3">
        <v>1</v>
      </c>
      <c r="H1026" s="5">
        <v>16372.179486000001</v>
      </c>
      <c r="I1026" s="5">
        <v>4053942.179486</v>
      </c>
      <c r="J1026" s="5">
        <v>4162780</v>
      </c>
      <c r="K1026" s="5">
        <v>125210</v>
      </c>
      <c r="L1026" s="5">
        <v>1495150</v>
      </c>
      <c r="M1026" s="5">
        <v>-635950</v>
      </c>
      <c r="N1026" s="5">
        <v>-2299650</v>
      </c>
    </row>
    <row r="1027" spans="1:14" x14ac:dyDescent="0.25">
      <c r="A1027" s="3" t="s">
        <v>1038</v>
      </c>
      <c r="B1027" s="4">
        <v>-9.4</v>
      </c>
      <c r="C1027" s="4">
        <v>-0.51</v>
      </c>
      <c r="D1027" s="4">
        <v>-0.37</v>
      </c>
      <c r="E1027" s="4">
        <v>-6.1460170570194544E-3</v>
      </c>
      <c r="F1027" s="3">
        <v>1025</v>
      </c>
      <c r="G1027" s="3">
        <v>1</v>
      </c>
      <c r="H1027" s="5">
        <v>336771068.04000002</v>
      </c>
      <c r="I1027" s="5">
        <v>328608068.04000002</v>
      </c>
      <c r="J1027" s="5">
        <v>5561000</v>
      </c>
      <c r="K1027" s="5">
        <v>13724000</v>
      </c>
      <c r="L1027" s="5">
        <v>0</v>
      </c>
      <c r="M1027" s="5">
        <v>-34940000</v>
      </c>
      <c r="N1027" s="5">
        <v>-31750000</v>
      </c>
    </row>
    <row r="1028" spans="1:14" x14ac:dyDescent="0.25">
      <c r="A1028" s="3" t="s">
        <v>1039</v>
      </c>
      <c r="B1028" s="4">
        <v>-7.74</v>
      </c>
      <c r="C1028" s="4">
        <v>-0.17</v>
      </c>
      <c r="D1028" s="4">
        <v>-0.16</v>
      </c>
      <c r="E1028" s="4">
        <v>-6.1505330061151116E-3</v>
      </c>
      <c r="F1028" s="3">
        <v>1026</v>
      </c>
      <c r="G1028" s="3">
        <v>1</v>
      </c>
      <c r="H1028" s="5">
        <v>852913632.54999995</v>
      </c>
      <c r="I1028" s="5">
        <v>614717632.54999995</v>
      </c>
      <c r="J1028" s="5">
        <v>0</v>
      </c>
      <c r="K1028" s="5">
        <v>238196000</v>
      </c>
      <c r="L1028" s="5">
        <v>1075000</v>
      </c>
      <c r="M1028" s="5">
        <v>-79422000</v>
      </c>
      <c r="N1028" s="5">
        <v>-71798000</v>
      </c>
    </row>
    <row r="1029" spans="1:14" x14ac:dyDescent="0.25">
      <c r="A1029" s="3" t="s">
        <v>1040</v>
      </c>
      <c r="B1029" s="4">
        <v>-9.5299999999999994</v>
      </c>
      <c r="C1029" s="4">
        <v>0.15</v>
      </c>
      <c r="D1029" s="4">
        <v>-10.71</v>
      </c>
      <c r="E1029" s="4">
        <v>-6.1531928011442846E-3</v>
      </c>
      <c r="F1029" s="3">
        <v>1027</v>
      </c>
      <c r="G1029" s="3">
        <v>1</v>
      </c>
      <c r="H1029" s="5">
        <v>33138443.586599998</v>
      </c>
      <c r="I1029" s="5">
        <v>84657313.586600006</v>
      </c>
      <c r="J1029" s="5">
        <v>51541190</v>
      </c>
      <c r="K1029" s="5">
        <v>22320</v>
      </c>
      <c r="L1029" s="5">
        <v>542170</v>
      </c>
      <c r="M1029" s="5">
        <v>-8885170</v>
      </c>
      <c r="N1029" s="5">
        <v>-23065800</v>
      </c>
    </row>
    <row r="1030" spans="1:14" x14ac:dyDescent="0.25">
      <c r="A1030" s="3" t="s">
        <v>1041</v>
      </c>
      <c r="B1030" s="4">
        <v>-6.88</v>
      </c>
      <c r="C1030" s="4">
        <v>0</v>
      </c>
      <c r="D1030" s="4">
        <v>0</v>
      </c>
      <c r="E1030" s="4">
        <v>-6.1607489515778952E-3</v>
      </c>
      <c r="F1030" s="3">
        <v>1028</v>
      </c>
      <c r="G1030" s="3">
        <v>1</v>
      </c>
      <c r="H1030" s="5">
        <v>13872760.32</v>
      </c>
      <c r="I1030" s="5">
        <v>7666830.3200000003</v>
      </c>
      <c r="J1030" s="5">
        <v>0</v>
      </c>
      <c r="K1030" s="5">
        <v>6205930</v>
      </c>
      <c r="L1030" s="5">
        <v>11198140</v>
      </c>
      <c r="M1030" s="5">
        <v>-1113930</v>
      </c>
      <c r="N1030" s="5">
        <v>8350</v>
      </c>
    </row>
    <row r="1031" spans="1:14" x14ac:dyDescent="0.25">
      <c r="A1031" s="3" t="s">
        <v>1042</v>
      </c>
      <c r="B1031" s="4">
        <v>-4.3099999999999996</v>
      </c>
      <c r="C1031" s="4">
        <v>0.74</v>
      </c>
      <c r="D1031" s="4">
        <v>-2.89</v>
      </c>
      <c r="E1031" s="4">
        <v>-6.170736577556105E-3</v>
      </c>
      <c r="F1031" s="3">
        <v>1029</v>
      </c>
      <c r="G1031" s="3">
        <v>1</v>
      </c>
      <c r="H1031" s="5">
        <v>86241938.25</v>
      </c>
      <c r="I1031" s="5">
        <v>158616538.25</v>
      </c>
      <c r="J1031" s="5">
        <v>73175340</v>
      </c>
      <c r="K1031" s="5">
        <v>800740</v>
      </c>
      <c r="L1031" s="5">
        <v>46499290</v>
      </c>
      <c r="M1031" s="5">
        <v>-36766990</v>
      </c>
      <c r="N1031" s="5">
        <v>-50715700</v>
      </c>
    </row>
    <row r="1032" spans="1:14" x14ac:dyDescent="0.25">
      <c r="A1032" s="3" t="s">
        <v>1043</v>
      </c>
      <c r="B1032" s="4">
        <v>-5.91</v>
      </c>
      <c r="C1032" s="4">
        <v>0.21</v>
      </c>
      <c r="D1032" s="4">
        <v>-0.26</v>
      </c>
      <c r="E1032" s="4">
        <v>-6.2044908479059416E-3</v>
      </c>
      <c r="F1032" s="3">
        <v>1030</v>
      </c>
      <c r="G1032" s="3">
        <v>1</v>
      </c>
      <c r="H1032" s="5">
        <v>38337.923499999997</v>
      </c>
      <c r="I1032" s="5">
        <v>149767337.9235</v>
      </c>
      <c r="J1032" s="5">
        <v>168424000</v>
      </c>
      <c r="K1032" s="5">
        <v>18695000</v>
      </c>
      <c r="L1032" s="5">
        <v>697582000</v>
      </c>
      <c r="M1032" s="5">
        <v>-25331000</v>
      </c>
      <c r="N1032" s="5">
        <v>-56944000</v>
      </c>
    </row>
    <row r="1033" spans="1:14" x14ac:dyDescent="0.25">
      <c r="A1033" s="3" t="s">
        <v>1044</v>
      </c>
      <c r="B1033" s="4">
        <v>-5.98</v>
      </c>
      <c r="C1033" s="4">
        <v>0.38</v>
      </c>
      <c r="D1033" s="4">
        <v>-3.04</v>
      </c>
      <c r="E1033" s="4">
        <v>-6.2062444773272451E-3</v>
      </c>
      <c r="F1033" s="3">
        <v>1031</v>
      </c>
      <c r="G1033" s="3">
        <v>1</v>
      </c>
      <c r="H1033" s="5">
        <v>630.60741099999996</v>
      </c>
      <c r="I1033" s="5">
        <v>18180180.607411001</v>
      </c>
      <c r="J1033" s="5">
        <v>18180380</v>
      </c>
      <c r="K1033" s="5">
        <v>830</v>
      </c>
      <c r="L1033" s="5">
        <v>0</v>
      </c>
      <c r="M1033" s="5">
        <v>-3039930</v>
      </c>
      <c r="N1033" s="5">
        <v>-10584060</v>
      </c>
    </row>
    <row r="1034" spans="1:14" x14ac:dyDescent="0.25">
      <c r="A1034" s="3" t="s">
        <v>1045</v>
      </c>
      <c r="B1034" s="4">
        <v>-4.3</v>
      </c>
      <c r="C1034" s="4">
        <v>0.56999999999999995</v>
      </c>
      <c r="D1034" s="4">
        <v>-0.59</v>
      </c>
      <c r="E1034" s="4">
        <v>-6.2244409896726176E-3</v>
      </c>
      <c r="F1034" s="3">
        <v>1032</v>
      </c>
      <c r="G1034" s="3">
        <v>1</v>
      </c>
      <c r="H1034" s="5">
        <v>2142053.1</v>
      </c>
      <c r="I1034" s="5">
        <v>15963133.1</v>
      </c>
      <c r="J1034" s="5">
        <v>15297930</v>
      </c>
      <c r="K1034" s="5">
        <v>1476850</v>
      </c>
      <c r="L1034" s="5">
        <v>25165730</v>
      </c>
      <c r="M1034" s="5">
        <v>-3712190</v>
      </c>
      <c r="N1034" s="5">
        <v>-10771450</v>
      </c>
    </row>
    <row r="1035" spans="1:14" x14ac:dyDescent="0.25">
      <c r="A1035" s="3" t="s">
        <v>1046</v>
      </c>
      <c r="B1035" s="4">
        <v>-7.18</v>
      </c>
      <c r="C1035" s="4">
        <v>0.09</v>
      </c>
      <c r="D1035" s="4">
        <v>-2.68</v>
      </c>
      <c r="E1035" s="4">
        <v>-6.2320094403070236E-3</v>
      </c>
      <c r="F1035" s="3">
        <v>1033</v>
      </c>
      <c r="G1035" s="3">
        <v>1</v>
      </c>
      <c r="H1035" s="5">
        <v>170170.00659999999</v>
      </c>
      <c r="I1035" s="5">
        <v>530790.00659999996</v>
      </c>
      <c r="J1035" s="5">
        <v>376250</v>
      </c>
      <c r="K1035" s="5">
        <v>15630</v>
      </c>
      <c r="L1035" s="5">
        <v>0</v>
      </c>
      <c r="M1035" s="5">
        <v>-73890</v>
      </c>
      <c r="N1035" s="5">
        <v>-41840</v>
      </c>
    </row>
    <row r="1036" spans="1:14" x14ac:dyDescent="0.25">
      <c r="A1036" s="3" t="s">
        <v>1047</v>
      </c>
      <c r="B1036" s="4">
        <v>-2.7</v>
      </c>
      <c r="C1036" s="4">
        <v>0.97</v>
      </c>
      <c r="D1036" s="4">
        <v>-1.68</v>
      </c>
      <c r="E1036" s="4">
        <v>-6.2692335175748293E-3</v>
      </c>
      <c r="F1036" s="3">
        <v>1034</v>
      </c>
      <c r="G1036" s="3">
        <v>1</v>
      </c>
      <c r="H1036" s="5">
        <v>942.08327299999996</v>
      </c>
      <c r="I1036" s="5">
        <v>8918892.0832729992</v>
      </c>
      <c r="J1036" s="5">
        <v>9078990</v>
      </c>
      <c r="K1036" s="5">
        <v>161040</v>
      </c>
      <c r="L1036" s="5">
        <v>3859140</v>
      </c>
      <c r="M1036" s="5">
        <v>-3299790</v>
      </c>
      <c r="N1036" s="5">
        <v>-6247340</v>
      </c>
    </row>
    <row r="1037" spans="1:14" x14ac:dyDescent="0.25">
      <c r="A1037" s="3" t="s">
        <v>1048</v>
      </c>
      <c r="B1037" s="4">
        <v>-11.1</v>
      </c>
      <c r="C1037" s="4">
        <v>-0.93</v>
      </c>
      <c r="D1037" s="4">
        <v>-0.18</v>
      </c>
      <c r="E1037" s="4">
        <v>-6.2707320781509087E-3</v>
      </c>
      <c r="F1037" s="3">
        <v>1035</v>
      </c>
      <c r="G1037" s="3">
        <v>1</v>
      </c>
      <c r="H1037" s="5">
        <v>24420536.91</v>
      </c>
      <c r="I1037" s="5">
        <v>26473536.91</v>
      </c>
      <c r="J1037" s="5">
        <v>3724000</v>
      </c>
      <c r="K1037" s="5">
        <v>1671000</v>
      </c>
      <c r="L1037" s="5">
        <v>5183000</v>
      </c>
      <c r="M1037" s="5">
        <v>-2386000</v>
      </c>
      <c r="N1037" s="5">
        <v>-2036000</v>
      </c>
    </row>
    <row r="1038" spans="1:14" x14ac:dyDescent="0.25">
      <c r="A1038" s="3" t="s">
        <v>1049</v>
      </c>
      <c r="B1038" s="4">
        <v>-0.18</v>
      </c>
      <c r="C1038" s="4">
        <v>1.52</v>
      </c>
      <c r="D1038" s="4">
        <v>-2.09</v>
      </c>
      <c r="E1038" s="4">
        <v>-6.3188550571208974E-3</v>
      </c>
      <c r="F1038" s="3">
        <v>1036</v>
      </c>
      <c r="G1038" s="3">
        <v>1</v>
      </c>
      <c r="H1038" s="5">
        <v>13739.266089999999</v>
      </c>
      <c r="I1038" s="5">
        <v>812279.26609000005</v>
      </c>
      <c r="J1038" s="5">
        <v>1029560</v>
      </c>
      <c r="K1038" s="5">
        <v>231020</v>
      </c>
      <c r="L1038" s="5">
        <v>11198610</v>
      </c>
      <c r="M1038" s="5">
        <v>-4529390</v>
      </c>
      <c r="N1038" s="5">
        <v>-5201920</v>
      </c>
    </row>
    <row r="1039" spans="1:14" x14ac:dyDescent="0.25">
      <c r="A1039" s="3" t="s">
        <v>1050</v>
      </c>
      <c r="B1039" s="4">
        <v>-6.08</v>
      </c>
      <c r="C1039" s="4">
        <v>0.13</v>
      </c>
      <c r="D1039" s="4">
        <v>-0.33</v>
      </c>
      <c r="E1039" s="4">
        <v>-6.3439263932138293E-3</v>
      </c>
      <c r="F1039" s="3">
        <v>1037</v>
      </c>
      <c r="G1039" s="3">
        <v>1</v>
      </c>
      <c r="H1039" s="5">
        <v>530.70475299999998</v>
      </c>
      <c r="I1039" s="5">
        <v>4889800.7047530003</v>
      </c>
      <c r="J1039" s="5">
        <v>4955730</v>
      </c>
      <c r="K1039" s="5">
        <v>66460</v>
      </c>
      <c r="L1039" s="5">
        <v>0</v>
      </c>
      <c r="M1039" s="5">
        <v>-804440</v>
      </c>
      <c r="N1039" s="5">
        <v>-538700</v>
      </c>
    </row>
    <row r="1040" spans="1:14" x14ac:dyDescent="0.25">
      <c r="A1040" s="3" t="s">
        <v>1051</v>
      </c>
      <c r="B1040" s="4">
        <v>-7.16</v>
      </c>
      <c r="C1040" s="4">
        <v>-0.12</v>
      </c>
      <c r="D1040" s="4">
        <v>-0.08</v>
      </c>
      <c r="E1040" s="4">
        <v>-6.3496066888532694E-3</v>
      </c>
      <c r="F1040" s="3">
        <v>1038</v>
      </c>
      <c r="G1040" s="3">
        <v>1</v>
      </c>
      <c r="H1040" s="5">
        <v>8359535.0999999996</v>
      </c>
      <c r="I1040" s="5">
        <v>9835995.0999999996</v>
      </c>
      <c r="J1040" s="5">
        <v>3968420</v>
      </c>
      <c r="K1040" s="5">
        <v>2491960</v>
      </c>
      <c r="L1040" s="5">
        <v>18762520</v>
      </c>
      <c r="M1040" s="5">
        <v>-1373770</v>
      </c>
      <c r="N1040" s="5">
        <v>-2242350</v>
      </c>
    </row>
    <row r="1041" spans="1:14" x14ac:dyDescent="0.25">
      <c r="A1041" s="3" t="s">
        <v>1052</v>
      </c>
      <c r="B1041" s="4">
        <v>-12.57</v>
      </c>
      <c r="C1041" s="4">
        <v>-1.28</v>
      </c>
      <c r="D1041" s="4">
        <v>-0.17</v>
      </c>
      <c r="E1041" s="4">
        <v>-6.370266059609048E-3</v>
      </c>
      <c r="F1041" s="3">
        <v>1039</v>
      </c>
      <c r="G1041" s="3">
        <v>1</v>
      </c>
      <c r="H1041" s="5">
        <v>239461817.25</v>
      </c>
      <c r="I1041" s="5">
        <v>238665817.25</v>
      </c>
      <c r="J1041" s="5">
        <v>32263000</v>
      </c>
      <c r="K1041" s="5">
        <v>33059000</v>
      </c>
      <c r="L1041" s="5">
        <v>178717000</v>
      </c>
      <c r="M1041" s="5">
        <v>-18991000</v>
      </c>
      <c r="N1041" s="5">
        <v>-31315000</v>
      </c>
    </row>
    <row r="1042" spans="1:14" x14ac:dyDescent="0.25">
      <c r="A1042" s="3" t="s">
        <v>1053</v>
      </c>
      <c r="B1042" s="4">
        <v>-5.17</v>
      </c>
      <c r="C1042" s="4">
        <v>0.3</v>
      </c>
      <c r="D1042" s="4">
        <v>-0.12</v>
      </c>
      <c r="E1042" s="4">
        <v>-6.3754432342744676E-3</v>
      </c>
      <c r="F1042" s="3">
        <v>1040</v>
      </c>
      <c r="G1042" s="3">
        <v>1</v>
      </c>
      <c r="H1042" s="5">
        <v>1249022450.05</v>
      </c>
      <c r="I1042" s="5">
        <v>949211450.04999995</v>
      </c>
      <c r="J1042" s="5">
        <v>230419000</v>
      </c>
      <c r="K1042" s="5">
        <v>530230000</v>
      </c>
      <c r="L1042" s="5">
        <v>682162000</v>
      </c>
      <c r="M1042" s="5">
        <v>-183435000</v>
      </c>
      <c r="N1042" s="5">
        <v>-187499000</v>
      </c>
    </row>
    <row r="1043" spans="1:14" x14ac:dyDescent="0.25">
      <c r="A1043" s="3" t="s">
        <v>1054</v>
      </c>
      <c r="B1043" s="4">
        <v>-7.75</v>
      </c>
      <c r="C1043" s="4">
        <v>-0.26</v>
      </c>
      <c r="D1043" s="4">
        <v>-0.19</v>
      </c>
      <c r="E1043" s="4">
        <v>-6.4101733432806746E-3</v>
      </c>
      <c r="F1043" s="3">
        <v>1041</v>
      </c>
      <c r="G1043" s="3">
        <v>1</v>
      </c>
      <c r="H1043" s="5">
        <v>195467511.80000001</v>
      </c>
      <c r="I1043" s="5">
        <v>83632511.800000012</v>
      </c>
      <c r="J1043" s="5">
        <v>0</v>
      </c>
      <c r="K1043" s="5">
        <v>111835000</v>
      </c>
      <c r="L1043" s="5">
        <v>175598000</v>
      </c>
      <c r="M1043" s="5">
        <v>-10791000</v>
      </c>
      <c r="N1043" s="5">
        <v>-31048000</v>
      </c>
    </row>
    <row r="1044" spans="1:14" x14ac:dyDescent="0.25">
      <c r="A1044" s="3" t="s">
        <v>1055</v>
      </c>
      <c r="B1044" s="4">
        <v>-9.59</v>
      </c>
      <c r="C1044" s="4">
        <v>-0.63</v>
      </c>
      <c r="D1044" s="4">
        <v>-0.57999999999999996</v>
      </c>
      <c r="E1044" s="4">
        <v>-6.4156549910760986E-3</v>
      </c>
      <c r="F1044" s="3">
        <v>1042</v>
      </c>
      <c r="G1044" s="3">
        <v>1</v>
      </c>
      <c r="H1044" s="5">
        <v>133971844.05</v>
      </c>
      <c r="I1044" s="5">
        <v>132700844.05</v>
      </c>
      <c r="J1044" s="5">
        <v>0</v>
      </c>
      <c r="K1044" s="5">
        <v>1271000</v>
      </c>
      <c r="L1044" s="5">
        <v>0</v>
      </c>
      <c r="M1044" s="5">
        <v>-13831000</v>
      </c>
      <c r="N1044" s="5">
        <v>-12554000</v>
      </c>
    </row>
    <row r="1045" spans="1:14" x14ac:dyDescent="0.25">
      <c r="A1045" s="3" t="s">
        <v>1056</v>
      </c>
      <c r="B1045" s="4">
        <v>-7.75</v>
      </c>
      <c r="C1045" s="4">
        <v>-0.26</v>
      </c>
      <c r="D1045" s="4">
        <v>-0.24</v>
      </c>
      <c r="E1045" s="4">
        <v>-6.4198184761682046E-3</v>
      </c>
      <c r="F1045" s="3">
        <v>1043</v>
      </c>
      <c r="G1045" s="3">
        <v>1</v>
      </c>
      <c r="H1045" s="5">
        <v>2599511726.7600002</v>
      </c>
      <c r="I1045" s="5">
        <v>2515133726.7600002</v>
      </c>
      <c r="J1045" s="5">
        <v>0</v>
      </c>
      <c r="K1045" s="5">
        <v>84378000</v>
      </c>
      <c r="L1045" s="5">
        <v>7000000</v>
      </c>
      <c r="M1045" s="5">
        <v>-324575000</v>
      </c>
      <c r="N1045" s="5">
        <v>-274477000</v>
      </c>
    </row>
    <row r="1046" spans="1:14" x14ac:dyDescent="0.25">
      <c r="A1046" s="3" t="s">
        <v>1057</v>
      </c>
      <c r="B1046" s="4">
        <v>-8.51</v>
      </c>
      <c r="C1046" s="4">
        <v>-0.43</v>
      </c>
      <c r="D1046" s="4">
        <v>-0.28000000000000003</v>
      </c>
      <c r="E1046" s="4">
        <v>-6.4483462687461301E-3</v>
      </c>
      <c r="F1046" s="3">
        <v>1044</v>
      </c>
      <c r="G1046" s="3">
        <v>1</v>
      </c>
      <c r="H1046" s="5">
        <v>634031301.12</v>
      </c>
      <c r="I1046" s="5">
        <v>545256301.12</v>
      </c>
      <c r="J1046" s="5">
        <v>0</v>
      </c>
      <c r="K1046" s="5">
        <v>88775000</v>
      </c>
      <c r="L1046" s="5">
        <v>82056000</v>
      </c>
      <c r="M1046" s="5">
        <v>-64069000</v>
      </c>
      <c r="N1046" s="5">
        <v>-72492000</v>
      </c>
    </row>
    <row r="1047" spans="1:14" x14ac:dyDescent="0.25">
      <c r="A1047" s="3" t="s">
        <v>1058</v>
      </c>
      <c r="B1047" s="4">
        <v>-0.92</v>
      </c>
      <c r="C1047" s="4">
        <v>1.19</v>
      </c>
      <c r="D1047" s="4">
        <v>-0.21</v>
      </c>
      <c r="E1047" s="4">
        <v>-6.451685870443178E-3</v>
      </c>
      <c r="F1047" s="3">
        <v>1045</v>
      </c>
      <c r="G1047" s="3">
        <v>1</v>
      </c>
      <c r="H1047" s="5">
        <v>373.95054399999998</v>
      </c>
      <c r="I1047" s="5">
        <v>-33716.049456000001</v>
      </c>
      <c r="J1047" s="5">
        <v>9300</v>
      </c>
      <c r="K1047" s="5">
        <v>43390</v>
      </c>
      <c r="L1047" s="5">
        <v>343480</v>
      </c>
      <c r="M1047" s="5">
        <v>36600</v>
      </c>
      <c r="N1047" s="5">
        <v>-53670</v>
      </c>
    </row>
    <row r="1048" spans="1:14" x14ac:dyDescent="0.25">
      <c r="A1048" s="3" t="s">
        <v>1059</v>
      </c>
      <c r="B1048" s="4">
        <v>-6.75</v>
      </c>
      <c r="C1048" s="4">
        <v>-7.0000000000000007E-2</v>
      </c>
      <c r="D1048" s="4">
        <v>-0.06</v>
      </c>
      <c r="E1048" s="4">
        <v>-6.4550380342061429E-3</v>
      </c>
      <c r="F1048" s="3">
        <v>1046</v>
      </c>
      <c r="G1048" s="3">
        <v>1</v>
      </c>
      <c r="H1048" s="5">
        <v>312094000</v>
      </c>
      <c r="I1048" s="5">
        <v>331480000</v>
      </c>
      <c r="J1048" s="5">
        <v>46469000</v>
      </c>
      <c r="K1048" s="5">
        <v>27083000</v>
      </c>
      <c r="L1048" s="5">
        <v>133256000</v>
      </c>
      <c r="M1048" s="5">
        <v>-49111000</v>
      </c>
      <c r="N1048" s="5">
        <v>-42727000</v>
      </c>
    </row>
    <row r="1049" spans="1:14" x14ac:dyDescent="0.25">
      <c r="A1049" s="3" t="s">
        <v>1060</v>
      </c>
      <c r="B1049" s="4">
        <v>-8.24</v>
      </c>
      <c r="C1049" s="4">
        <v>0.56000000000000005</v>
      </c>
      <c r="D1049" s="4">
        <v>-14.31</v>
      </c>
      <c r="E1049" s="4">
        <v>-6.4614120163766098E-3</v>
      </c>
      <c r="F1049" s="3">
        <v>1047</v>
      </c>
      <c r="G1049" s="3">
        <v>1</v>
      </c>
      <c r="H1049" s="5">
        <v>23230138.368000001</v>
      </c>
      <c r="I1049" s="5">
        <v>38384138.368000001</v>
      </c>
      <c r="J1049" s="5">
        <v>15177000</v>
      </c>
      <c r="K1049" s="5">
        <v>23000</v>
      </c>
      <c r="L1049" s="5">
        <v>50000</v>
      </c>
      <c r="M1049" s="5">
        <v>-4658000</v>
      </c>
      <c r="N1049" s="5">
        <v>-21138000</v>
      </c>
    </row>
    <row r="1050" spans="1:14" x14ac:dyDescent="0.25">
      <c r="A1050" s="3" t="s">
        <v>1061</v>
      </c>
      <c r="B1050" s="4">
        <v>-1.1599999999999999</v>
      </c>
      <c r="C1050" s="4">
        <v>1.2</v>
      </c>
      <c r="D1050" s="4">
        <v>-1.19</v>
      </c>
      <c r="E1050" s="4">
        <v>-6.4632959312944348E-3</v>
      </c>
      <c r="F1050" s="3">
        <v>1048</v>
      </c>
      <c r="G1050" s="3">
        <v>1</v>
      </c>
      <c r="H1050" s="5">
        <v>185.44030000000001</v>
      </c>
      <c r="I1050" s="5">
        <v>3143455.4402999999</v>
      </c>
      <c r="J1050" s="5">
        <v>3150000</v>
      </c>
      <c r="K1050" s="5">
        <v>6730</v>
      </c>
      <c r="L1050" s="5">
        <v>1303940</v>
      </c>
      <c r="M1050" s="5">
        <v>-2710950</v>
      </c>
      <c r="N1050" s="5">
        <v>-2331140</v>
      </c>
    </row>
    <row r="1051" spans="1:14" x14ac:dyDescent="0.25">
      <c r="A1051" s="3" t="s">
        <v>1062</v>
      </c>
      <c r="B1051" s="4">
        <v>-4.87</v>
      </c>
      <c r="C1051" s="4">
        <v>0.47</v>
      </c>
      <c r="D1051" s="4">
        <v>-2.27</v>
      </c>
      <c r="E1051" s="4">
        <v>-6.4846688001047662E-3</v>
      </c>
      <c r="F1051" s="3">
        <v>1049</v>
      </c>
      <c r="G1051" s="3">
        <v>1</v>
      </c>
      <c r="H1051" s="5">
        <v>6153756.0149999997</v>
      </c>
      <c r="I1051" s="5">
        <v>11055756.015000001</v>
      </c>
      <c r="J1051" s="5">
        <v>5236000</v>
      </c>
      <c r="K1051" s="5">
        <v>334000</v>
      </c>
      <c r="L1051" s="5">
        <v>2202000</v>
      </c>
      <c r="M1051" s="5">
        <v>-2270000</v>
      </c>
      <c r="N1051" s="5">
        <v>-2399000</v>
      </c>
    </row>
    <row r="1052" spans="1:14" x14ac:dyDescent="0.25">
      <c r="A1052" s="3" t="s">
        <v>1063</v>
      </c>
      <c r="B1052" s="4">
        <v>-5.27</v>
      </c>
      <c r="C1052" s="4">
        <v>0.28000000000000003</v>
      </c>
      <c r="D1052" s="4">
        <v>-0.79</v>
      </c>
      <c r="E1052" s="4">
        <v>-6.500583172025504E-3</v>
      </c>
      <c r="F1052" s="3">
        <v>1050</v>
      </c>
      <c r="G1052" s="3">
        <v>1</v>
      </c>
      <c r="H1052" s="5">
        <v>1045142.96055</v>
      </c>
      <c r="I1052" s="5">
        <v>2521272.96055</v>
      </c>
      <c r="J1052" s="5">
        <v>1492600</v>
      </c>
      <c r="K1052" s="5">
        <v>16470</v>
      </c>
      <c r="L1052" s="5">
        <v>382490</v>
      </c>
      <c r="M1052" s="5">
        <v>-478730</v>
      </c>
      <c r="N1052" s="5">
        <v>-786520</v>
      </c>
    </row>
    <row r="1053" spans="1:14" x14ac:dyDescent="0.25">
      <c r="A1053" s="3" t="s">
        <v>1064</v>
      </c>
      <c r="B1053" s="4">
        <v>-8.06</v>
      </c>
      <c r="C1053" s="4">
        <v>-0.37</v>
      </c>
      <c r="D1053" s="4">
        <v>-0.09</v>
      </c>
      <c r="E1053" s="4">
        <v>-6.516847378055253E-3</v>
      </c>
      <c r="F1053" s="3">
        <v>1051</v>
      </c>
      <c r="G1053" s="3">
        <v>1</v>
      </c>
      <c r="H1053" s="5">
        <v>110845442.40000001</v>
      </c>
      <c r="I1053" s="5">
        <v>769158442.39999998</v>
      </c>
      <c r="J1053" s="5">
        <v>722565000</v>
      </c>
      <c r="K1053" s="5">
        <v>64252000</v>
      </c>
      <c r="L1053" s="5">
        <v>-6829000</v>
      </c>
      <c r="M1053" s="5">
        <v>-95378000</v>
      </c>
      <c r="N1053" s="5">
        <v>-91835000</v>
      </c>
    </row>
    <row r="1054" spans="1:14" x14ac:dyDescent="0.25">
      <c r="A1054" s="3" t="s">
        <v>1065</v>
      </c>
      <c r="B1054" s="4">
        <v>-7.64</v>
      </c>
      <c r="C1054" s="4">
        <v>-0.28000000000000003</v>
      </c>
      <c r="D1054" s="4">
        <v>-0.18</v>
      </c>
      <c r="E1054" s="4">
        <v>-6.5341127933999359E-3</v>
      </c>
      <c r="F1054" s="3">
        <v>1052</v>
      </c>
      <c r="G1054" s="3">
        <v>1</v>
      </c>
      <c r="H1054" s="5">
        <v>49398632.75</v>
      </c>
      <c r="I1054" s="5">
        <v>40888632.75</v>
      </c>
      <c r="J1054" s="5">
        <v>0</v>
      </c>
      <c r="K1054" s="5">
        <v>8510000</v>
      </c>
      <c r="L1054" s="5">
        <v>60599000</v>
      </c>
      <c r="M1054" s="5">
        <v>-5351000</v>
      </c>
      <c r="N1054" s="5">
        <v>-8688000</v>
      </c>
    </row>
    <row r="1055" spans="1:14" x14ac:dyDescent="0.25">
      <c r="A1055" s="3" t="s">
        <v>1066</v>
      </c>
      <c r="B1055" s="4">
        <v>-6.95</v>
      </c>
      <c r="C1055" s="4">
        <v>-0.14000000000000001</v>
      </c>
      <c r="D1055" s="4">
        <v>-0.1</v>
      </c>
      <c r="E1055" s="4">
        <v>-6.5412252756758237E-3</v>
      </c>
      <c r="F1055" s="3">
        <v>1053</v>
      </c>
      <c r="G1055" s="3">
        <v>1</v>
      </c>
      <c r="H1055" s="5">
        <v>47342736.640000001</v>
      </c>
      <c r="I1055" s="5">
        <v>34370736.640000001</v>
      </c>
      <c r="J1055" s="5">
        <v>0</v>
      </c>
      <c r="K1055" s="5">
        <v>12972000</v>
      </c>
      <c r="L1055" s="5">
        <v>17389000</v>
      </c>
      <c r="M1055" s="5">
        <v>-4945000</v>
      </c>
      <c r="N1055" s="5">
        <v>-4431000</v>
      </c>
    </row>
    <row r="1056" spans="1:14" x14ac:dyDescent="0.25">
      <c r="A1056" s="3" t="s">
        <v>1067</v>
      </c>
      <c r="B1056" s="4">
        <v>4.5199999999999996</v>
      </c>
      <c r="C1056" s="4">
        <v>2.33</v>
      </c>
      <c r="D1056" s="4">
        <v>-0.35</v>
      </c>
      <c r="E1056" s="4">
        <v>-6.551748942090178E-3</v>
      </c>
      <c r="F1056" s="3">
        <v>1054</v>
      </c>
      <c r="G1056" s="3">
        <v>1</v>
      </c>
      <c r="H1056" s="5">
        <v>126.05963199999999</v>
      </c>
      <c r="I1056" s="5">
        <v>1232784126.0596321</v>
      </c>
      <c r="J1056" s="5">
        <v>1503351000</v>
      </c>
      <c r="K1056" s="5">
        <v>270567000</v>
      </c>
      <c r="L1056" s="5">
        <v>2272736000</v>
      </c>
      <c r="M1056" s="5">
        <v>272690000</v>
      </c>
      <c r="N1056" s="5">
        <v>-663917000</v>
      </c>
    </row>
    <row r="1057" spans="1:14" x14ac:dyDescent="0.25">
      <c r="A1057" s="3" t="s">
        <v>1068</v>
      </c>
      <c r="B1057" s="4">
        <v>-22.15</v>
      </c>
      <c r="C1057" s="4">
        <v>-3.39</v>
      </c>
      <c r="D1057" s="4">
        <v>-0.28999999999999998</v>
      </c>
      <c r="E1057" s="4">
        <v>-6.5607064007895607E-3</v>
      </c>
      <c r="F1057" s="3">
        <v>1055</v>
      </c>
      <c r="G1057" s="3">
        <v>1</v>
      </c>
      <c r="H1057" s="5">
        <v>429397844.04000002</v>
      </c>
      <c r="I1057" s="5">
        <v>475492844.04000002</v>
      </c>
      <c r="J1057" s="5">
        <v>59525000</v>
      </c>
      <c r="K1057" s="5">
        <v>13430000</v>
      </c>
      <c r="L1057" s="5">
        <v>79906000</v>
      </c>
      <c r="M1057" s="5">
        <v>-21464000</v>
      </c>
      <c r="N1057" s="5">
        <v>-27141000</v>
      </c>
    </row>
    <row r="1058" spans="1:14" x14ac:dyDescent="0.25">
      <c r="A1058" s="3" t="s">
        <v>1069</v>
      </c>
      <c r="B1058" s="4">
        <v>-0.38</v>
      </c>
      <c r="C1058" s="4">
        <v>1.86</v>
      </c>
      <c r="D1058" s="4">
        <v>-9.1</v>
      </c>
      <c r="E1058" s="4">
        <v>-6.5649359355193903E-3</v>
      </c>
      <c r="F1058" s="3">
        <v>1056</v>
      </c>
      <c r="G1058" s="3">
        <v>1</v>
      </c>
      <c r="H1058" s="5">
        <v>48748.156300000002</v>
      </c>
      <c r="I1058" s="5">
        <v>3044378.1562999999</v>
      </c>
      <c r="J1058" s="5">
        <v>3777920</v>
      </c>
      <c r="K1058" s="5">
        <v>782290</v>
      </c>
      <c r="L1058" s="5">
        <v>76210</v>
      </c>
      <c r="M1058" s="5">
        <v>-8008930</v>
      </c>
      <c r="N1058" s="5">
        <v>-9110130</v>
      </c>
    </row>
    <row r="1059" spans="1:14" x14ac:dyDescent="0.25">
      <c r="A1059" s="3" t="s">
        <v>1070</v>
      </c>
      <c r="B1059" s="4">
        <v>-15.29</v>
      </c>
      <c r="C1059" s="4">
        <v>-1.89</v>
      </c>
      <c r="D1059" s="4">
        <v>-0.87</v>
      </c>
      <c r="E1059" s="4">
        <v>-6.5843439983113271E-3</v>
      </c>
      <c r="F1059" s="3">
        <v>1057</v>
      </c>
      <c r="G1059" s="3">
        <v>1</v>
      </c>
      <c r="H1059" s="5">
        <v>1408112220.6900001</v>
      </c>
      <c r="I1059" s="5">
        <v>1378595220.6900001</v>
      </c>
      <c r="J1059" s="5">
        <v>0</v>
      </c>
      <c r="K1059" s="5">
        <v>29517000</v>
      </c>
      <c r="L1059" s="5">
        <v>3925000</v>
      </c>
      <c r="M1059" s="5">
        <v>-90179000</v>
      </c>
      <c r="N1059" s="5">
        <v>-126235000</v>
      </c>
    </row>
    <row r="1060" spans="1:14" x14ac:dyDescent="0.25">
      <c r="A1060" s="3" t="s">
        <v>1071</v>
      </c>
      <c r="B1060" s="4">
        <v>-10.41</v>
      </c>
      <c r="C1060" s="4">
        <v>-0.96</v>
      </c>
      <c r="D1060" s="4">
        <v>0.85</v>
      </c>
      <c r="E1060" s="4">
        <v>-6.5857783548095208E-3</v>
      </c>
      <c r="F1060" s="3">
        <v>1058</v>
      </c>
      <c r="G1060" s="3">
        <v>1</v>
      </c>
      <c r="H1060" s="5">
        <v>105955881.08</v>
      </c>
      <c r="I1060" s="5">
        <v>124099671.08</v>
      </c>
      <c r="J1060" s="5">
        <v>22935530</v>
      </c>
      <c r="K1060" s="5">
        <v>4791740</v>
      </c>
      <c r="L1060" s="5">
        <v>768680</v>
      </c>
      <c r="M1060" s="5">
        <v>-11925910</v>
      </c>
      <c r="N1060" s="5">
        <v>15657930</v>
      </c>
    </row>
    <row r="1061" spans="1:14" x14ac:dyDescent="0.25">
      <c r="A1061" s="3" t="s">
        <v>1072</v>
      </c>
      <c r="B1061" s="4">
        <v>-2.0099999999999998</v>
      </c>
      <c r="C1061" s="4">
        <v>1.08</v>
      </c>
      <c r="D1061" s="4">
        <v>-2.87</v>
      </c>
      <c r="E1061" s="4">
        <v>-6.6080131962373348E-3</v>
      </c>
      <c r="F1061" s="3">
        <v>1059</v>
      </c>
      <c r="G1061" s="3">
        <v>1</v>
      </c>
      <c r="H1061" s="5">
        <v>49805853.821999997</v>
      </c>
      <c r="I1061" s="5">
        <v>52151793.821999997</v>
      </c>
      <c r="J1061" s="5">
        <v>5610370</v>
      </c>
      <c r="K1061" s="5">
        <v>3264430</v>
      </c>
      <c r="L1061" s="5">
        <v>1233510</v>
      </c>
      <c r="M1061" s="5">
        <v>-25911790</v>
      </c>
      <c r="N1061" s="5">
        <v>-26967840</v>
      </c>
    </row>
    <row r="1062" spans="1:14" x14ac:dyDescent="0.25">
      <c r="A1062" s="3" t="s">
        <v>1073</v>
      </c>
      <c r="B1062" s="4">
        <v>-6.22</v>
      </c>
      <c r="C1062" s="4">
        <v>1.23</v>
      </c>
      <c r="D1062" s="4">
        <v>-18.72</v>
      </c>
      <c r="E1062" s="4">
        <v>-6.6264606178976599E-3</v>
      </c>
      <c r="F1062" s="3">
        <v>1060</v>
      </c>
      <c r="G1062" s="3">
        <v>1</v>
      </c>
      <c r="H1062" s="5">
        <v>2097937.5065000001</v>
      </c>
      <c r="I1062" s="5">
        <v>5961077.5065000001</v>
      </c>
      <c r="J1062" s="5">
        <v>3982310</v>
      </c>
      <c r="K1062" s="5">
        <v>119170</v>
      </c>
      <c r="L1062" s="5">
        <v>1530290</v>
      </c>
      <c r="M1062" s="5">
        <v>-958930</v>
      </c>
      <c r="N1062" s="5">
        <v>-9934290</v>
      </c>
    </row>
    <row r="1063" spans="1:14" x14ac:dyDescent="0.25">
      <c r="A1063" s="3" t="s">
        <v>1074</v>
      </c>
      <c r="B1063" s="4">
        <v>-7.05</v>
      </c>
      <c r="C1063" s="4">
        <v>-0.19</v>
      </c>
      <c r="D1063" s="4">
        <v>-0.13</v>
      </c>
      <c r="E1063" s="4">
        <v>-6.6295883335098574E-3</v>
      </c>
      <c r="F1063" s="3">
        <v>1061</v>
      </c>
      <c r="G1063" s="3">
        <v>1</v>
      </c>
      <c r="H1063" s="5">
        <v>26099178.899999999</v>
      </c>
      <c r="I1063" s="5">
        <v>33453178.899999999</v>
      </c>
      <c r="J1063" s="5">
        <v>11357000</v>
      </c>
      <c r="K1063" s="5">
        <v>4003000</v>
      </c>
      <c r="L1063" s="5">
        <v>53359000</v>
      </c>
      <c r="M1063" s="5">
        <v>-4744000</v>
      </c>
      <c r="N1063" s="5">
        <v>-10438000</v>
      </c>
    </row>
    <row r="1064" spans="1:14" x14ac:dyDescent="0.25">
      <c r="A1064" s="3" t="s">
        <v>1075</v>
      </c>
      <c r="B1064" s="4">
        <v>-7</v>
      </c>
      <c r="C1064" s="4">
        <v>-0.18</v>
      </c>
      <c r="D1064" s="4">
        <v>-0.12</v>
      </c>
      <c r="E1064" s="4">
        <v>-6.6297117284032803E-3</v>
      </c>
      <c r="F1064" s="3">
        <v>1062</v>
      </c>
      <c r="G1064" s="3">
        <v>1</v>
      </c>
      <c r="H1064" s="5">
        <v>27655699.850000001</v>
      </c>
      <c r="I1064" s="5">
        <v>17329699.850000001</v>
      </c>
      <c r="J1064" s="5">
        <v>0</v>
      </c>
      <c r="K1064" s="5">
        <v>10326000</v>
      </c>
      <c r="L1064" s="5">
        <v>21769000</v>
      </c>
      <c r="M1064" s="5">
        <v>-2474000</v>
      </c>
      <c r="N1064" s="5">
        <v>-3093000</v>
      </c>
    </row>
    <row r="1065" spans="1:14" x14ac:dyDescent="0.25">
      <c r="A1065" s="3" t="s">
        <v>1076</v>
      </c>
      <c r="B1065" s="4">
        <v>-7.99</v>
      </c>
      <c r="C1065" s="4">
        <v>-0.38</v>
      </c>
      <c r="D1065" s="4">
        <v>-0.31</v>
      </c>
      <c r="E1065" s="4">
        <v>-6.6315040096543796E-3</v>
      </c>
      <c r="F1065" s="3">
        <v>1063</v>
      </c>
      <c r="G1065" s="3">
        <v>1</v>
      </c>
      <c r="H1065" s="5">
        <v>384034282.12</v>
      </c>
      <c r="I1065" s="5">
        <v>331421282.12</v>
      </c>
      <c r="J1065" s="5">
        <v>158000</v>
      </c>
      <c r="K1065" s="5">
        <v>52771000</v>
      </c>
      <c r="L1065" s="5">
        <v>144841000</v>
      </c>
      <c r="M1065" s="5">
        <v>-41502000</v>
      </c>
      <c r="N1065" s="5">
        <v>-55774000</v>
      </c>
    </row>
    <row r="1066" spans="1:14" x14ac:dyDescent="0.25">
      <c r="A1066" s="3" t="s">
        <v>1077</v>
      </c>
      <c r="B1066" s="4">
        <v>-0.64</v>
      </c>
      <c r="C1066" s="4">
        <v>1.36</v>
      </c>
      <c r="D1066" s="4">
        <v>-2.8</v>
      </c>
      <c r="E1066" s="4">
        <v>-6.6334101942895751E-3</v>
      </c>
      <c r="F1066" s="3">
        <v>1064</v>
      </c>
      <c r="G1066" s="3">
        <v>1</v>
      </c>
      <c r="H1066" s="5">
        <v>1097573.32</v>
      </c>
      <c r="I1066" s="5">
        <v>7608583.3200000003</v>
      </c>
      <c r="J1066" s="5">
        <v>6886880</v>
      </c>
      <c r="K1066" s="5">
        <v>375870</v>
      </c>
      <c r="L1066" s="5">
        <v>4976620</v>
      </c>
      <c r="M1066" s="5">
        <v>-11893980</v>
      </c>
      <c r="N1066" s="5">
        <v>-16979680</v>
      </c>
    </row>
    <row r="1067" spans="1:14" x14ac:dyDescent="0.25">
      <c r="A1067" s="3" t="s">
        <v>1078</v>
      </c>
      <c r="B1067" s="4">
        <v>11.25</v>
      </c>
      <c r="C1067" s="4">
        <v>3.51</v>
      </c>
      <c r="D1067" s="4">
        <v>3.11</v>
      </c>
      <c r="E1067" s="4">
        <v>-6.6401955527002308E-3</v>
      </c>
      <c r="F1067" s="3">
        <v>1065</v>
      </c>
      <c r="G1067" s="3">
        <v>1</v>
      </c>
      <c r="H1067" s="5">
        <v>57716905.200000003</v>
      </c>
      <c r="I1067" s="5">
        <v>56091565.200000003</v>
      </c>
      <c r="J1067" s="5">
        <v>0</v>
      </c>
      <c r="K1067" s="5">
        <v>1625340</v>
      </c>
      <c r="L1067" s="5">
        <v>5785300</v>
      </c>
      <c r="M1067" s="5">
        <v>4987430</v>
      </c>
      <c r="N1067" s="5">
        <v>5057810</v>
      </c>
    </row>
    <row r="1068" spans="1:14" x14ac:dyDescent="0.25">
      <c r="A1068" s="3" t="s">
        <v>1079</v>
      </c>
      <c r="B1068" s="4">
        <v>-9.3699999999999992</v>
      </c>
      <c r="C1068" s="4">
        <v>-0.69</v>
      </c>
      <c r="D1068" s="4">
        <v>-0.16</v>
      </c>
      <c r="E1068" s="4">
        <v>-6.6441600422433057E-3</v>
      </c>
      <c r="F1068" s="3">
        <v>1066</v>
      </c>
      <c r="G1068" s="3">
        <v>1</v>
      </c>
      <c r="H1068" s="5">
        <v>1413.490663</v>
      </c>
      <c r="I1068" s="5">
        <v>6055023.4906630004</v>
      </c>
      <c r="J1068" s="5">
        <v>6263870</v>
      </c>
      <c r="K1068" s="5">
        <v>210260</v>
      </c>
      <c r="L1068" s="5">
        <v>0</v>
      </c>
      <c r="M1068" s="5">
        <v>-646470</v>
      </c>
      <c r="N1068" s="5">
        <v>-1410510</v>
      </c>
    </row>
    <row r="1069" spans="1:14" x14ac:dyDescent="0.25">
      <c r="A1069" s="3" t="s">
        <v>1080</v>
      </c>
      <c r="B1069" s="4">
        <v>-1.42</v>
      </c>
      <c r="C1069" s="4">
        <v>1.1200000000000001</v>
      </c>
      <c r="D1069" s="4">
        <v>-1.78</v>
      </c>
      <c r="E1069" s="4">
        <v>-6.6473380073589286E-3</v>
      </c>
      <c r="F1069" s="3">
        <v>1067</v>
      </c>
      <c r="G1069" s="3">
        <v>1</v>
      </c>
      <c r="H1069" s="5">
        <v>425.63929999999999</v>
      </c>
      <c r="I1069" s="5">
        <v>7061425.6392999999</v>
      </c>
      <c r="J1069" s="5">
        <v>7269000</v>
      </c>
      <c r="K1069" s="5">
        <v>208000</v>
      </c>
      <c r="L1069" s="5">
        <v>0</v>
      </c>
      <c r="M1069" s="5">
        <v>-4974000</v>
      </c>
      <c r="N1069" s="5">
        <v>-11167000</v>
      </c>
    </row>
    <row r="1070" spans="1:14" x14ac:dyDescent="0.25">
      <c r="A1070" s="3" t="s">
        <v>1081</v>
      </c>
      <c r="B1070" s="4">
        <v>-9.75</v>
      </c>
      <c r="C1070" s="4">
        <v>0.1</v>
      </c>
      <c r="D1070" s="4">
        <v>-13.23</v>
      </c>
      <c r="E1070" s="4">
        <v>-6.6476130084123508E-3</v>
      </c>
      <c r="F1070" s="3">
        <v>1068</v>
      </c>
      <c r="G1070" s="3">
        <v>1</v>
      </c>
      <c r="H1070" s="5">
        <v>2181661.7225000001</v>
      </c>
      <c r="I1070" s="5">
        <v>11346841.7225</v>
      </c>
      <c r="J1070" s="5">
        <v>9168580</v>
      </c>
      <c r="K1070" s="5">
        <v>3400</v>
      </c>
      <c r="L1070" s="5">
        <v>43700</v>
      </c>
      <c r="M1070" s="5">
        <v>-1163540</v>
      </c>
      <c r="N1070" s="5">
        <v>-2511950</v>
      </c>
    </row>
    <row r="1071" spans="1:14" x14ac:dyDescent="0.25">
      <c r="A1071" s="3" t="s">
        <v>1082</v>
      </c>
      <c r="B1071" s="4">
        <v>-8.06</v>
      </c>
      <c r="C1071" s="4">
        <v>-0.4</v>
      </c>
      <c r="D1071" s="4">
        <v>-0.34</v>
      </c>
      <c r="E1071" s="4">
        <v>-6.6517538635362753E-3</v>
      </c>
      <c r="F1071" s="3">
        <v>1069</v>
      </c>
      <c r="G1071" s="3">
        <v>1</v>
      </c>
      <c r="H1071" s="5">
        <v>1770132854.8499999</v>
      </c>
      <c r="I1071" s="5">
        <v>1680709854.8499999</v>
      </c>
      <c r="J1071" s="5">
        <v>0</v>
      </c>
      <c r="K1071" s="5">
        <v>89423000</v>
      </c>
      <c r="L1071" s="5">
        <v>0</v>
      </c>
      <c r="M1071" s="5">
        <v>-208566000</v>
      </c>
      <c r="N1071" s="5">
        <v>-208018000</v>
      </c>
    </row>
    <row r="1072" spans="1:14" x14ac:dyDescent="0.25">
      <c r="A1072" s="3" t="s">
        <v>1083</v>
      </c>
      <c r="B1072" s="4">
        <v>-8.6</v>
      </c>
      <c r="C1072" s="4">
        <v>-0.52</v>
      </c>
      <c r="D1072" s="4">
        <v>-0.3</v>
      </c>
      <c r="E1072" s="4">
        <v>-6.6565439337575626E-3</v>
      </c>
      <c r="F1072" s="3">
        <v>1070</v>
      </c>
      <c r="G1072" s="3">
        <v>1</v>
      </c>
      <c r="H1072" s="5">
        <v>321940505.45999998</v>
      </c>
      <c r="I1072" s="5">
        <v>320311075.45999998</v>
      </c>
      <c r="J1072" s="5">
        <v>27654510</v>
      </c>
      <c r="K1072" s="5">
        <v>29283940</v>
      </c>
      <c r="L1072" s="5">
        <v>140520</v>
      </c>
      <c r="M1072" s="5">
        <v>-37230830</v>
      </c>
      <c r="N1072" s="5">
        <v>-46305240</v>
      </c>
    </row>
    <row r="1073" spans="1:14" x14ac:dyDescent="0.25">
      <c r="A1073" s="3" t="s">
        <v>1084</v>
      </c>
      <c r="B1073" s="4">
        <v>-2.88</v>
      </c>
      <c r="C1073" s="4">
        <v>0.8</v>
      </c>
      <c r="D1073" s="4">
        <v>-1.72</v>
      </c>
      <c r="E1073" s="4">
        <v>-6.6567352405832447E-3</v>
      </c>
      <c r="F1073" s="3">
        <v>1071</v>
      </c>
      <c r="G1073" s="3">
        <v>1</v>
      </c>
      <c r="H1073" s="5">
        <v>24955199.129999999</v>
      </c>
      <c r="I1073" s="5">
        <v>33218199.129999999</v>
      </c>
      <c r="J1073" s="5">
        <v>9027000</v>
      </c>
      <c r="K1073" s="5">
        <v>764000</v>
      </c>
      <c r="L1073" s="5">
        <v>28173000</v>
      </c>
      <c r="M1073" s="5">
        <v>-11522000</v>
      </c>
      <c r="N1073" s="5">
        <v>-22088000</v>
      </c>
    </row>
    <row r="1074" spans="1:14" x14ac:dyDescent="0.25">
      <c r="A1074" s="3" t="s">
        <v>1085</v>
      </c>
      <c r="B1074" s="4">
        <v>-1.62</v>
      </c>
      <c r="C1074" s="4">
        <v>1.18</v>
      </c>
      <c r="D1074" s="4">
        <v>-3.41</v>
      </c>
      <c r="E1074" s="4">
        <v>-6.664623583464091E-3</v>
      </c>
      <c r="F1074" s="3">
        <v>1072</v>
      </c>
      <c r="G1074" s="3">
        <v>1</v>
      </c>
      <c r="H1074" s="5">
        <v>8426772.4800000004</v>
      </c>
      <c r="I1074" s="5">
        <v>167353772.47999999</v>
      </c>
      <c r="J1074" s="5">
        <v>162632000</v>
      </c>
      <c r="K1074" s="5">
        <v>3705000</v>
      </c>
      <c r="L1074" s="5">
        <v>71459000</v>
      </c>
      <c r="M1074" s="5">
        <v>-103010000</v>
      </c>
      <c r="N1074" s="5">
        <v>-221083000</v>
      </c>
    </row>
    <row r="1075" spans="1:14" x14ac:dyDescent="0.25">
      <c r="A1075" s="3" t="s">
        <v>1086</v>
      </c>
      <c r="B1075" s="4">
        <v>-2.23</v>
      </c>
      <c r="C1075" s="4">
        <v>0.95</v>
      </c>
      <c r="D1075" s="4">
        <v>-1.95</v>
      </c>
      <c r="E1075" s="4">
        <v>-6.6699971169590436E-3</v>
      </c>
      <c r="F1075" s="3">
        <v>1073</v>
      </c>
      <c r="G1075" s="3">
        <v>1</v>
      </c>
      <c r="H1075" s="5">
        <v>332013.0846</v>
      </c>
      <c r="I1075" s="5">
        <v>5174163.0845999997</v>
      </c>
      <c r="J1075" s="5">
        <v>4851250</v>
      </c>
      <c r="K1075" s="5">
        <v>9100</v>
      </c>
      <c r="L1075" s="5">
        <v>588960</v>
      </c>
      <c r="M1075" s="5">
        <v>-2322310</v>
      </c>
      <c r="N1075" s="5">
        <v>-5504670</v>
      </c>
    </row>
    <row r="1076" spans="1:14" x14ac:dyDescent="0.25">
      <c r="A1076" s="3" t="s">
        <v>1087</v>
      </c>
      <c r="B1076" s="4">
        <v>-6.81</v>
      </c>
      <c r="C1076" s="4">
        <v>-0.16</v>
      </c>
      <c r="D1076" s="4">
        <v>-0.15</v>
      </c>
      <c r="E1076" s="4">
        <v>-6.6953065023513531E-3</v>
      </c>
      <c r="F1076" s="3">
        <v>1074</v>
      </c>
      <c r="G1076" s="3">
        <v>1</v>
      </c>
      <c r="H1076" s="5">
        <v>36961052.520000003</v>
      </c>
      <c r="I1076" s="5">
        <v>20728052.52</v>
      </c>
      <c r="J1076" s="5">
        <v>250000</v>
      </c>
      <c r="K1076" s="5">
        <v>16483000</v>
      </c>
      <c r="L1076" s="5">
        <v>3064000</v>
      </c>
      <c r="M1076" s="5">
        <v>-3045000</v>
      </c>
      <c r="N1076" s="5">
        <v>-3353000</v>
      </c>
    </row>
    <row r="1077" spans="1:14" x14ac:dyDescent="0.25">
      <c r="A1077" s="3" t="s">
        <v>1088</v>
      </c>
      <c r="B1077" s="4">
        <v>-10.039999999999999</v>
      </c>
      <c r="C1077" s="4">
        <v>-0.82</v>
      </c>
      <c r="D1077" s="4">
        <v>-0.63</v>
      </c>
      <c r="E1077" s="4">
        <v>-6.6957644008698441E-3</v>
      </c>
      <c r="F1077" s="3">
        <v>1075</v>
      </c>
      <c r="G1077" s="3">
        <v>1</v>
      </c>
      <c r="H1077" s="5">
        <v>1071659197.4</v>
      </c>
      <c r="I1077" s="5">
        <v>1007222197.4</v>
      </c>
      <c r="J1077" s="5">
        <v>0</v>
      </c>
      <c r="K1077" s="5">
        <v>64437000</v>
      </c>
      <c r="L1077" s="5">
        <v>26633000</v>
      </c>
      <c r="M1077" s="5">
        <v>-100316000</v>
      </c>
      <c r="N1077" s="5">
        <v>-93925000</v>
      </c>
    </row>
    <row r="1078" spans="1:14" x14ac:dyDescent="0.25">
      <c r="A1078" s="3" t="s">
        <v>1089</v>
      </c>
      <c r="B1078" s="4">
        <v>-7.57</v>
      </c>
      <c r="C1078" s="4">
        <v>-0.33</v>
      </c>
      <c r="D1078" s="4">
        <v>-0.1</v>
      </c>
      <c r="E1078" s="4">
        <v>-6.7064730557317223E-3</v>
      </c>
      <c r="F1078" s="3">
        <v>1076</v>
      </c>
      <c r="G1078" s="3">
        <v>1</v>
      </c>
      <c r="H1078" s="5">
        <v>126069420.54000001</v>
      </c>
      <c r="I1078" s="5">
        <v>1511242420.54</v>
      </c>
      <c r="J1078" s="5">
        <v>1472961000</v>
      </c>
      <c r="K1078" s="5">
        <v>87788000</v>
      </c>
      <c r="L1078" s="5">
        <v>194878000</v>
      </c>
      <c r="M1078" s="5">
        <v>-199762000</v>
      </c>
      <c r="N1078" s="5">
        <v>-207051000</v>
      </c>
    </row>
    <row r="1079" spans="1:14" x14ac:dyDescent="0.25">
      <c r="A1079" s="3" t="s">
        <v>1090</v>
      </c>
      <c r="B1079" s="4">
        <v>-1.64</v>
      </c>
      <c r="C1079" s="4">
        <v>0.9</v>
      </c>
      <c r="D1079" s="4">
        <v>0.48</v>
      </c>
      <c r="E1079" s="4">
        <v>-6.7108748298249756E-3</v>
      </c>
      <c r="F1079" s="3">
        <v>1077</v>
      </c>
      <c r="G1079" s="3">
        <v>1</v>
      </c>
      <c r="H1079" s="5">
        <v>48597265.079999998</v>
      </c>
      <c r="I1079" s="5">
        <v>7205265.0799999982</v>
      </c>
      <c r="J1079" s="5">
        <v>230000</v>
      </c>
      <c r="K1079" s="5">
        <v>41622000</v>
      </c>
      <c r="L1079" s="5">
        <v>22879000</v>
      </c>
      <c r="M1079" s="5">
        <v>-4403000</v>
      </c>
      <c r="N1079" s="5">
        <v>31855000</v>
      </c>
    </row>
    <row r="1080" spans="1:14" x14ac:dyDescent="0.25">
      <c r="A1080" s="3" t="s">
        <v>1091</v>
      </c>
      <c r="B1080" s="4">
        <v>-6.7</v>
      </c>
      <c r="C1080" s="4">
        <v>-0.15</v>
      </c>
      <c r="D1080" s="4">
        <v>-0.09</v>
      </c>
      <c r="E1080" s="4">
        <v>-6.7229199985397101E-3</v>
      </c>
      <c r="F1080" s="3">
        <v>1078</v>
      </c>
      <c r="G1080" s="3">
        <v>1</v>
      </c>
      <c r="H1080" s="5">
        <v>25962200</v>
      </c>
      <c r="I1080" s="5">
        <v>35381290</v>
      </c>
      <c r="J1080" s="5">
        <v>12200000</v>
      </c>
      <c r="K1080" s="5">
        <v>2780910</v>
      </c>
      <c r="L1080" s="5">
        <v>45976420</v>
      </c>
      <c r="M1080" s="5">
        <v>-5280040</v>
      </c>
      <c r="N1080" s="5">
        <v>-4055590</v>
      </c>
    </row>
    <row r="1081" spans="1:14" x14ac:dyDescent="0.25">
      <c r="A1081" s="3" t="s">
        <v>1092</v>
      </c>
      <c r="B1081" s="4">
        <v>-2.38</v>
      </c>
      <c r="C1081" s="4">
        <v>0.81</v>
      </c>
      <c r="D1081" s="4">
        <v>-0.64</v>
      </c>
      <c r="E1081" s="4">
        <v>-6.7289670480520231E-3</v>
      </c>
      <c r="F1081" s="3">
        <v>1079</v>
      </c>
      <c r="G1081" s="3">
        <v>1</v>
      </c>
      <c r="H1081" s="5">
        <v>273.55891000000003</v>
      </c>
      <c r="I1081" s="5">
        <v>12005013.558909999</v>
      </c>
      <c r="J1081" s="5">
        <v>12054590</v>
      </c>
      <c r="K1081" s="5">
        <v>49850</v>
      </c>
      <c r="L1081" s="5">
        <v>3694020</v>
      </c>
      <c r="M1081" s="5">
        <v>-5052430</v>
      </c>
      <c r="N1081" s="5">
        <v>-4582670</v>
      </c>
    </row>
    <row r="1082" spans="1:14" x14ac:dyDescent="0.25">
      <c r="A1082" s="3" t="s">
        <v>1093</v>
      </c>
      <c r="B1082" s="4">
        <v>-6.29</v>
      </c>
      <c r="C1082" s="4">
        <v>-7.0000000000000007E-2</v>
      </c>
      <c r="D1082" s="4">
        <v>-0.03</v>
      </c>
      <c r="E1082" s="4">
        <v>-6.7339544165391854E-3</v>
      </c>
      <c r="F1082" s="3">
        <v>1080</v>
      </c>
      <c r="G1082" s="3">
        <v>1</v>
      </c>
      <c r="H1082" s="5">
        <v>352495449.89999998</v>
      </c>
      <c r="I1082" s="5">
        <v>305121449.89999998</v>
      </c>
      <c r="J1082" s="5">
        <v>0</v>
      </c>
      <c r="K1082" s="5">
        <v>47374000</v>
      </c>
      <c r="L1082" s="5">
        <v>6031000</v>
      </c>
      <c r="M1082" s="5">
        <v>-48485000</v>
      </c>
      <c r="N1082" s="5">
        <v>-11372000</v>
      </c>
    </row>
    <row r="1083" spans="1:14" x14ac:dyDescent="0.25">
      <c r="A1083" s="3" t="s">
        <v>1094</v>
      </c>
      <c r="B1083" s="4">
        <v>0</v>
      </c>
      <c r="C1083" s="4">
        <v>1.41</v>
      </c>
      <c r="D1083" s="4">
        <v>-2.0299999999999998</v>
      </c>
      <c r="E1083" s="4">
        <v>-6.7365162773622943E-3</v>
      </c>
      <c r="F1083" s="3">
        <v>1081</v>
      </c>
      <c r="G1083" s="3">
        <v>1</v>
      </c>
      <c r="H1083" s="5">
        <v>42.252329000000003</v>
      </c>
      <c r="I1083" s="5">
        <v>8042.2523289998062</v>
      </c>
      <c r="J1083" s="5">
        <v>3641000</v>
      </c>
      <c r="K1083" s="5">
        <v>3633000</v>
      </c>
      <c r="L1083" s="5">
        <v>17681000</v>
      </c>
      <c r="M1083" s="5">
        <v>-12333000</v>
      </c>
      <c r="N1083" s="5">
        <v>-20971000</v>
      </c>
    </row>
    <row r="1084" spans="1:14" x14ac:dyDescent="0.25">
      <c r="A1084" s="3" t="s">
        <v>1095</v>
      </c>
      <c r="B1084" s="4">
        <v>-0.28999999999999998</v>
      </c>
      <c r="C1084" s="4">
        <v>1.34</v>
      </c>
      <c r="D1084" s="4">
        <v>-1.95</v>
      </c>
      <c r="E1084" s="4">
        <v>-6.7438523486282077E-3</v>
      </c>
      <c r="F1084" s="3">
        <v>1082</v>
      </c>
      <c r="G1084" s="3">
        <v>1</v>
      </c>
      <c r="H1084" s="5">
        <v>28612.513511000001</v>
      </c>
      <c r="I1084" s="5">
        <v>138242.513511</v>
      </c>
      <c r="J1084" s="5">
        <v>168300</v>
      </c>
      <c r="K1084" s="5">
        <v>58670</v>
      </c>
      <c r="L1084" s="5">
        <v>214170</v>
      </c>
      <c r="M1084" s="5">
        <v>-475070</v>
      </c>
      <c r="N1084" s="5">
        <v>-10194730</v>
      </c>
    </row>
    <row r="1085" spans="1:14" x14ac:dyDescent="0.25">
      <c r="A1085" s="3" t="s">
        <v>1096</v>
      </c>
      <c r="B1085" s="4">
        <v>-1.55</v>
      </c>
      <c r="C1085" s="4">
        <v>2.97</v>
      </c>
      <c r="D1085" s="4">
        <v>-30.49</v>
      </c>
      <c r="E1085" s="4">
        <v>-6.7597963396415434E-3</v>
      </c>
      <c r="F1085" s="3">
        <v>1083</v>
      </c>
      <c r="G1085" s="3">
        <v>1</v>
      </c>
      <c r="H1085" s="5">
        <v>1935701.4894000001</v>
      </c>
      <c r="I1085" s="5">
        <v>2387421.4893999998</v>
      </c>
      <c r="J1085" s="5">
        <v>459130</v>
      </c>
      <c r="K1085" s="5">
        <v>7410</v>
      </c>
      <c r="L1085" s="5">
        <v>114430</v>
      </c>
      <c r="M1085" s="5">
        <v>-1538250</v>
      </c>
      <c r="N1085" s="5">
        <v>-2178680</v>
      </c>
    </row>
    <row r="1086" spans="1:14" x14ac:dyDescent="0.25">
      <c r="A1086" s="3" t="s">
        <v>1097</v>
      </c>
      <c r="B1086" s="4">
        <v>-6.93</v>
      </c>
      <c r="C1086" s="4">
        <v>-0.21</v>
      </c>
      <c r="D1086" s="4">
        <v>-0.2</v>
      </c>
      <c r="E1086" s="4">
        <v>-6.7751492019462421E-3</v>
      </c>
      <c r="F1086" s="3">
        <v>1084</v>
      </c>
      <c r="G1086" s="3">
        <v>1</v>
      </c>
      <c r="H1086" s="5">
        <v>39835490.560000002</v>
      </c>
      <c r="I1086" s="5">
        <v>32675490.559999999</v>
      </c>
      <c r="J1086" s="5">
        <v>0</v>
      </c>
      <c r="K1086" s="5">
        <v>7160000</v>
      </c>
      <c r="L1086" s="5">
        <v>25702000</v>
      </c>
      <c r="M1086" s="5">
        <v>-4718000</v>
      </c>
      <c r="N1086" s="5">
        <v>-17862000</v>
      </c>
    </row>
    <row r="1087" spans="1:14" x14ac:dyDescent="0.25">
      <c r="A1087" s="3" t="s">
        <v>1098</v>
      </c>
      <c r="B1087" s="4">
        <v>-3.58</v>
      </c>
      <c r="C1087" s="4">
        <v>0.5</v>
      </c>
      <c r="D1087" s="4">
        <v>-0.15</v>
      </c>
      <c r="E1087" s="4">
        <v>-6.7874418795531438E-3</v>
      </c>
      <c r="F1087" s="3">
        <v>1085</v>
      </c>
      <c r="G1087" s="3">
        <v>1</v>
      </c>
      <c r="H1087" s="5">
        <v>1635276.5</v>
      </c>
      <c r="I1087" s="5">
        <v>4088906.5</v>
      </c>
      <c r="J1087" s="5">
        <v>2911370</v>
      </c>
      <c r="K1087" s="5">
        <v>457740</v>
      </c>
      <c r="L1087" s="5">
        <v>5433380</v>
      </c>
      <c r="M1087" s="5">
        <v>-1140990</v>
      </c>
      <c r="N1087" s="5">
        <v>-524640</v>
      </c>
    </row>
    <row r="1088" spans="1:14" x14ac:dyDescent="0.25">
      <c r="A1088" s="3" t="s">
        <v>1099</v>
      </c>
      <c r="B1088" s="4">
        <v>-8.4700000000000006</v>
      </c>
      <c r="C1088" s="4">
        <v>0.01</v>
      </c>
      <c r="D1088" s="4">
        <v>-8.5</v>
      </c>
      <c r="E1088" s="4">
        <v>-6.7874442296081104E-3</v>
      </c>
      <c r="F1088" s="3">
        <v>1086</v>
      </c>
      <c r="G1088" s="3">
        <v>1</v>
      </c>
      <c r="H1088" s="5">
        <v>65854.559999999998</v>
      </c>
      <c r="I1088" s="5">
        <v>132354.56</v>
      </c>
      <c r="J1088" s="5">
        <v>69480</v>
      </c>
      <c r="K1088" s="5">
        <v>2980</v>
      </c>
      <c r="L1088" s="5">
        <v>0</v>
      </c>
      <c r="M1088" s="5">
        <v>-15620</v>
      </c>
      <c r="N1088" s="5">
        <v>-25330</v>
      </c>
    </row>
    <row r="1089" spans="1:14" x14ac:dyDescent="0.25">
      <c r="A1089" s="3" t="s">
        <v>1100</v>
      </c>
      <c r="B1089" s="4">
        <v>-8.65</v>
      </c>
      <c r="C1089" s="4">
        <v>-0.57999999999999996</v>
      </c>
      <c r="D1089" s="4">
        <v>-0.25</v>
      </c>
      <c r="E1089" s="4">
        <v>-6.7893144144713976E-3</v>
      </c>
      <c r="F1089" s="3">
        <v>1087</v>
      </c>
      <c r="G1089" s="3">
        <v>1</v>
      </c>
      <c r="H1089" s="5">
        <v>2696982698.5</v>
      </c>
      <c r="I1089" s="5">
        <v>2594982698.5</v>
      </c>
      <c r="J1089" s="5">
        <v>48000000</v>
      </c>
      <c r="K1089" s="5">
        <v>150000000</v>
      </c>
      <c r="L1089" s="5">
        <v>258000000</v>
      </c>
      <c r="M1089" s="5">
        <v>-300000000</v>
      </c>
      <c r="N1089" s="5">
        <v>-283000000</v>
      </c>
    </row>
    <row r="1090" spans="1:14" x14ac:dyDescent="0.25">
      <c r="A1090" s="3" t="s">
        <v>1101</v>
      </c>
      <c r="B1090" s="4">
        <v>-7.3</v>
      </c>
      <c r="C1090" s="4">
        <v>-0.28999999999999998</v>
      </c>
      <c r="D1090" s="4">
        <v>-0.27</v>
      </c>
      <c r="E1090" s="4">
        <v>-6.7908006333125834E-3</v>
      </c>
      <c r="F1090" s="3">
        <v>1088</v>
      </c>
      <c r="G1090" s="3">
        <v>1</v>
      </c>
      <c r="H1090" s="5">
        <v>227817376.5</v>
      </c>
      <c r="I1090" s="5">
        <v>166176376.5</v>
      </c>
      <c r="J1090" s="5">
        <v>0</v>
      </c>
      <c r="K1090" s="5">
        <v>61641000</v>
      </c>
      <c r="L1090" s="5">
        <v>0</v>
      </c>
      <c r="M1090" s="5">
        <v>-22769000</v>
      </c>
      <c r="N1090" s="5">
        <v>-20588000</v>
      </c>
    </row>
    <row r="1091" spans="1:14" x14ac:dyDescent="0.25">
      <c r="A1091" s="3" t="s">
        <v>1102</v>
      </c>
      <c r="B1091" s="4">
        <v>-6.21</v>
      </c>
      <c r="C1091" s="4">
        <v>-7.0000000000000007E-2</v>
      </c>
      <c r="D1091" s="4">
        <v>-7.0000000000000007E-2</v>
      </c>
      <c r="E1091" s="4">
        <v>-6.7911841684258293E-3</v>
      </c>
      <c r="F1091" s="3">
        <v>1089</v>
      </c>
      <c r="G1091" s="3">
        <v>1</v>
      </c>
      <c r="H1091" s="5">
        <v>34873046.729999997</v>
      </c>
      <c r="I1091" s="5">
        <v>21728046.73</v>
      </c>
      <c r="J1091" s="5">
        <v>0</v>
      </c>
      <c r="K1091" s="5">
        <v>13145000</v>
      </c>
      <c r="L1091" s="5">
        <v>100000</v>
      </c>
      <c r="M1091" s="5">
        <v>-3501000</v>
      </c>
      <c r="N1091" s="5">
        <v>-3034000</v>
      </c>
    </row>
    <row r="1092" spans="1:14" x14ac:dyDescent="0.25">
      <c r="A1092" s="3" t="s">
        <v>1103</v>
      </c>
      <c r="B1092" s="4">
        <v>-0.9</v>
      </c>
      <c r="C1092" s="4">
        <v>1.34</v>
      </c>
      <c r="D1092" s="4">
        <v>-4.26</v>
      </c>
      <c r="E1092" s="4">
        <v>-6.811915940510338E-3</v>
      </c>
      <c r="F1092" s="3">
        <v>1090</v>
      </c>
      <c r="G1092" s="3">
        <v>1</v>
      </c>
      <c r="H1092" s="5">
        <v>30873574.8288</v>
      </c>
      <c r="I1092" s="5">
        <v>77237574.828799993</v>
      </c>
      <c r="J1092" s="5">
        <v>52660000</v>
      </c>
      <c r="K1092" s="5">
        <v>6296000</v>
      </c>
      <c r="L1092" s="5">
        <v>49176000</v>
      </c>
      <c r="M1092" s="5">
        <v>-85892000</v>
      </c>
      <c r="N1092" s="5">
        <v>-187991000</v>
      </c>
    </row>
    <row r="1093" spans="1:14" x14ac:dyDescent="0.25">
      <c r="A1093" s="3" t="s">
        <v>1104</v>
      </c>
      <c r="B1093" s="4">
        <v>0.24</v>
      </c>
      <c r="C1093" s="4">
        <v>1.36</v>
      </c>
      <c r="D1093" s="4">
        <v>-0.97</v>
      </c>
      <c r="E1093" s="4">
        <v>-6.825048431948819E-3</v>
      </c>
      <c r="F1093" s="3">
        <v>1091</v>
      </c>
      <c r="G1093" s="3">
        <v>1</v>
      </c>
      <c r="H1093" s="5">
        <v>211120.74660000001</v>
      </c>
      <c r="I1093" s="5">
        <v>-147039.25339999999</v>
      </c>
      <c r="J1093" s="5">
        <v>0</v>
      </c>
      <c r="K1093" s="5">
        <v>358160</v>
      </c>
      <c r="L1093" s="5">
        <v>621550</v>
      </c>
      <c r="M1093" s="5">
        <v>-618680</v>
      </c>
      <c r="N1093" s="5">
        <v>-836230</v>
      </c>
    </row>
    <row r="1094" spans="1:14" x14ac:dyDescent="0.25">
      <c r="A1094" s="3" t="s">
        <v>1105</v>
      </c>
      <c r="B1094" s="4">
        <v>-11.77</v>
      </c>
      <c r="C1094" s="4">
        <v>-1.25</v>
      </c>
      <c r="D1094" s="4">
        <v>-0.56000000000000005</v>
      </c>
      <c r="E1094" s="4">
        <v>-6.8539537308545976E-3</v>
      </c>
      <c r="F1094" s="3">
        <v>1092</v>
      </c>
      <c r="G1094" s="3">
        <v>1</v>
      </c>
      <c r="H1094" s="5">
        <v>1099363386.55</v>
      </c>
      <c r="I1094" s="5">
        <v>1005039386.55</v>
      </c>
      <c r="J1094" s="5">
        <v>44712000</v>
      </c>
      <c r="K1094" s="5">
        <v>139036000</v>
      </c>
      <c r="L1094" s="5">
        <v>8333000</v>
      </c>
      <c r="M1094" s="5">
        <v>-85376000</v>
      </c>
      <c r="N1094" s="5">
        <v>-89298000</v>
      </c>
    </row>
    <row r="1095" spans="1:14" x14ac:dyDescent="0.25">
      <c r="A1095" s="3" t="s">
        <v>1106</v>
      </c>
      <c r="B1095" s="4">
        <v>-1.06</v>
      </c>
      <c r="C1095" s="4">
        <v>1.1200000000000001</v>
      </c>
      <c r="D1095" s="4">
        <v>-1.71</v>
      </c>
      <c r="E1095" s="4">
        <v>-6.856646226411179E-3</v>
      </c>
      <c r="F1095" s="3">
        <v>1093</v>
      </c>
      <c r="G1095" s="3">
        <v>1</v>
      </c>
      <c r="H1095" s="5">
        <v>24462.992999999999</v>
      </c>
      <c r="I1095" s="5">
        <v>10631462.993000001</v>
      </c>
      <c r="J1095" s="5">
        <v>10607000</v>
      </c>
      <c r="K1095" s="5">
        <v>0</v>
      </c>
      <c r="L1095" s="5">
        <v>5526000</v>
      </c>
      <c r="M1095" s="5">
        <v>-10003000</v>
      </c>
      <c r="N1095" s="5">
        <v>-15010000</v>
      </c>
    </row>
    <row r="1096" spans="1:14" x14ac:dyDescent="0.25">
      <c r="A1096" s="3" t="s">
        <v>1107</v>
      </c>
      <c r="B1096" s="4">
        <v>-2.0299999999999998</v>
      </c>
      <c r="C1096" s="4">
        <v>0.82</v>
      </c>
      <c r="D1096" s="4">
        <v>-0.33</v>
      </c>
      <c r="E1096" s="4">
        <v>-6.8568958165325933E-3</v>
      </c>
      <c r="F1096" s="3">
        <v>1094</v>
      </c>
      <c r="G1096" s="3">
        <v>1</v>
      </c>
      <c r="H1096" s="5">
        <v>8973.6915000000008</v>
      </c>
      <c r="I1096" s="5">
        <v>18558973.691500001</v>
      </c>
      <c r="J1096" s="5">
        <v>32569000</v>
      </c>
      <c r="K1096" s="5">
        <v>14019000</v>
      </c>
      <c r="L1096" s="5">
        <v>20157000</v>
      </c>
      <c r="M1096" s="5">
        <v>-9123000</v>
      </c>
      <c r="N1096" s="5">
        <v>-9547000</v>
      </c>
    </row>
    <row r="1097" spans="1:14" x14ac:dyDescent="0.25">
      <c r="A1097" s="3" t="s">
        <v>1108</v>
      </c>
      <c r="B1097" s="4">
        <v>-7.34</v>
      </c>
      <c r="C1097" s="4">
        <v>-0.33</v>
      </c>
      <c r="D1097" s="4">
        <v>-0.17</v>
      </c>
      <c r="E1097" s="4">
        <v>-6.8623279728070464E-3</v>
      </c>
      <c r="F1097" s="3">
        <v>1095</v>
      </c>
      <c r="G1097" s="3">
        <v>1</v>
      </c>
      <c r="H1097" s="5">
        <v>760257598.5</v>
      </c>
      <c r="I1097" s="5">
        <v>536003598.5</v>
      </c>
      <c r="J1097" s="5">
        <v>0</v>
      </c>
      <c r="K1097" s="5">
        <v>224254000</v>
      </c>
      <c r="L1097" s="5">
        <v>75622000</v>
      </c>
      <c r="M1097" s="5">
        <v>-72991000</v>
      </c>
      <c r="N1097" s="5">
        <v>-72700000</v>
      </c>
    </row>
    <row r="1098" spans="1:14" x14ac:dyDescent="0.25">
      <c r="A1098" s="3" t="s">
        <v>1109</v>
      </c>
      <c r="B1098" s="4">
        <v>-5.93</v>
      </c>
      <c r="C1098" s="4">
        <v>-0.04</v>
      </c>
      <c r="D1098" s="4">
        <v>-0.02</v>
      </c>
      <c r="E1098" s="4">
        <v>-6.8681559740130967E-3</v>
      </c>
      <c r="F1098" s="3">
        <v>1096</v>
      </c>
      <c r="G1098" s="3">
        <v>1</v>
      </c>
      <c r="H1098" s="5">
        <v>1028719715.2</v>
      </c>
      <c r="I1098" s="5">
        <v>1039729715.2</v>
      </c>
      <c r="J1098" s="5">
        <v>442946000</v>
      </c>
      <c r="K1098" s="5">
        <v>431936000</v>
      </c>
      <c r="L1098" s="5">
        <v>713142000</v>
      </c>
      <c r="M1098" s="5">
        <v>-175324000</v>
      </c>
      <c r="N1098" s="5">
        <v>-53224000</v>
      </c>
    </row>
    <row r="1099" spans="1:14" x14ac:dyDescent="0.25">
      <c r="A1099" s="3" t="s">
        <v>1110</v>
      </c>
      <c r="B1099" s="4">
        <v>-0.86</v>
      </c>
      <c r="C1099" s="4">
        <v>1.1100000000000001</v>
      </c>
      <c r="D1099" s="4">
        <v>-1.1100000000000001</v>
      </c>
      <c r="E1099" s="4">
        <v>-6.8935823527168337E-3</v>
      </c>
      <c r="F1099" s="3">
        <v>1097</v>
      </c>
      <c r="G1099" s="3">
        <v>1</v>
      </c>
      <c r="H1099" s="5">
        <v>10663.1605</v>
      </c>
      <c r="I1099" s="5">
        <v>2904663.1605000002</v>
      </c>
      <c r="J1099" s="5">
        <v>2991590</v>
      </c>
      <c r="K1099" s="5">
        <v>97590</v>
      </c>
      <c r="L1099" s="5">
        <v>1687690</v>
      </c>
      <c r="M1099" s="5">
        <v>-3378650</v>
      </c>
      <c r="N1099" s="5">
        <v>-3043590</v>
      </c>
    </row>
    <row r="1100" spans="1:14" x14ac:dyDescent="0.25">
      <c r="A1100" s="3" t="s">
        <v>1111</v>
      </c>
      <c r="B1100" s="4">
        <v>-2.71</v>
      </c>
      <c r="C1100" s="4">
        <v>1.45</v>
      </c>
      <c r="D1100" s="4">
        <v>-12.18</v>
      </c>
      <c r="E1100" s="4">
        <v>-6.9016290815649304E-3</v>
      </c>
      <c r="F1100" s="3">
        <v>1098</v>
      </c>
      <c r="G1100" s="3">
        <v>1</v>
      </c>
      <c r="H1100" s="5">
        <v>9580675.5600000005</v>
      </c>
      <c r="I1100" s="5">
        <v>11419025.560000001</v>
      </c>
      <c r="J1100" s="5">
        <v>1951840</v>
      </c>
      <c r="K1100" s="5">
        <v>113490</v>
      </c>
      <c r="L1100" s="5">
        <v>1824930</v>
      </c>
      <c r="M1100" s="5">
        <v>-4207580</v>
      </c>
      <c r="N1100" s="5">
        <v>-7938900</v>
      </c>
    </row>
    <row r="1101" spans="1:14" x14ac:dyDescent="0.25">
      <c r="A1101" s="3" t="s">
        <v>1112</v>
      </c>
      <c r="B1101" s="4">
        <v>-7.59</v>
      </c>
      <c r="C1101" s="4">
        <v>-0.39</v>
      </c>
      <c r="D1101" s="4">
        <v>-0.38</v>
      </c>
      <c r="E1101" s="4">
        <v>-6.9214690305944813E-3</v>
      </c>
      <c r="F1101" s="3">
        <v>1099</v>
      </c>
      <c r="G1101" s="3">
        <v>1</v>
      </c>
      <c r="H1101" s="5">
        <v>414232400.81999999</v>
      </c>
      <c r="I1101" s="5">
        <v>316488400.81999999</v>
      </c>
      <c r="J1101" s="5">
        <v>0</v>
      </c>
      <c r="K1101" s="5">
        <v>97744000</v>
      </c>
      <c r="L1101" s="5">
        <v>0</v>
      </c>
      <c r="M1101" s="5">
        <v>-41699000</v>
      </c>
      <c r="N1101" s="5">
        <v>-37917000</v>
      </c>
    </row>
    <row r="1102" spans="1:14" x14ac:dyDescent="0.25">
      <c r="A1102" s="3" t="s">
        <v>1113</v>
      </c>
      <c r="B1102" s="4">
        <v>-6.67</v>
      </c>
      <c r="C1102" s="4">
        <v>-0.21</v>
      </c>
      <c r="D1102" s="4">
        <v>-0.18</v>
      </c>
      <c r="E1102" s="4">
        <v>-6.9322104969152436E-3</v>
      </c>
      <c r="F1102" s="3">
        <v>1100</v>
      </c>
      <c r="G1102" s="3">
        <v>1</v>
      </c>
      <c r="H1102" s="5">
        <v>431901543.04000002</v>
      </c>
      <c r="I1102" s="5">
        <v>257089543.03999999</v>
      </c>
      <c r="J1102" s="5">
        <v>19558000</v>
      </c>
      <c r="K1102" s="5">
        <v>194370000</v>
      </c>
      <c r="L1102" s="5">
        <v>65444000</v>
      </c>
      <c r="M1102" s="5">
        <v>-38568000</v>
      </c>
      <c r="N1102" s="5">
        <v>-40455000</v>
      </c>
    </row>
    <row r="1103" spans="1:14" x14ac:dyDescent="0.25">
      <c r="A1103" s="3" t="s">
        <v>1114</v>
      </c>
      <c r="B1103" s="4">
        <v>-7.56</v>
      </c>
      <c r="C1103" s="4">
        <v>-0.4</v>
      </c>
      <c r="D1103" s="4">
        <v>-0.19</v>
      </c>
      <c r="E1103" s="4">
        <v>-6.9322787497275596E-3</v>
      </c>
      <c r="F1103" s="3">
        <v>1101</v>
      </c>
      <c r="G1103" s="3">
        <v>1</v>
      </c>
      <c r="H1103" s="5">
        <v>151793102.75999999</v>
      </c>
      <c r="I1103" s="5">
        <v>136857102.75999999</v>
      </c>
      <c r="J1103" s="5">
        <v>7600000</v>
      </c>
      <c r="K1103" s="5">
        <v>22536000</v>
      </c>
      <c r="L1103" s="5">
        <v>1567393000</v>
      </c>
      <c r="M1103" s="5">
        <v>-18093000</v>
      </c>
      <c r="N1103" s="5">
        <v>-125748000</v>
      </c>
    </row>
    <row r="1104" spans="1:14" x14ac:dyDescent="0.25">
      <c r="A1104" s="3" t="s">
        <v>1115</v>
      </c>
      <c r="B1104" s="4">
        <v>-0.7</v>
      </c>
      <c r="C1104" s="4">
        <v>1.18</v>
      </c>
      <c r="D1104" s="4">
        <v>-1.86</v>
      </c>
      <c r="E1104" s="4">
        <v>-6.9350313880818066E-3</v>
      </c>
      <c r="F1104" s="3">
        <v>1102</v>
      </c>
      <c r="G1104" s="3">
        <v>1</v>
      </c>
      <c r="H1104" s="5">
        <v>38996.495799999997</v>
      </c>
      <c r="I1104" s="5">
        <v>875696.49580000003</v>
      </c>
      <c r="J1104" s="5">
        <v>839630</v>
      </c>
      <c r="K1104" s="5">
        <v>2930</v>
      </c>
      <c r="L1104" s="5">
        <v>38190</v>
      </c>
      <c r="M1104" s="5">
        <v>-1252560</v>
      </c>
      <c r="N1104" s="5">
        <v>-1212980</v>
      </c>
    </row>
    <row r="1105" spans="1:14" x14ac:dyDescent="0.25">
      <c r="A1105" s="3" t="s">
        <v>1116</v>
      </c>
      <c r="B1105" s="4">
        <v>-0.35</v>
      </c>
      <c r="C1105" s="4">
        <v>1.33</v>
      </c>
      <c r="D1105" s="4">
        <v>-3.01</v>
      </c>
      <c r="E1105" s="4">
        <v>-6.9400875386758203E-3</v>
      </c>
      <c r="F1105" s="3">
        <v>1103</v>
      </c>
      <c r="G1105" s="3">
        <v>1</v>
      </c>
      <c r="H1105" s="5">
        <v>4671.8939890000001</v>
      </c>
      <c r="I1105" s="5">
        <v>519401.893989</v>
      </c>
      <c r="J1105" s="5">
        <v>706820</v>
      </c>
      <c r="K1105" s="5">
        <v>192090</v>
      </c>
      <c r="L1105" s="5">
        <v>3900150</v>
      </c>
      <c r="M1105" s="5">
        <v>-1464900</v>
      </c>
      <c r="N1105" s="5">
        <v>-1939420</v>
      </c>
    </row>
    <row r="1106" spans="1:14" x14ac:dyDescent="0.25">
      <c r="A1106" s="3" t="s">
        <v>1117</v>
      </c>
      <c r="B1106" s="4">
        <v>-0.59</v>
      </c>
      <c r="C1106" s="4">
        <v>1.5</v>
      </c>
      <c r="D1106" s="4">
        <v>-6.34</v>
      </c>
      <c r="E1106" s="4">
        <v>-6.94272113300963E-3</v>
      </c>
      <c r="F1106" s="3">
        <v>1104</v>
      </c>
      <c r="G1106" s="3">
        <v>1</v>
      </c>
      <c r="H1106" s="5">
        <v>6951993.0300000003</v>
      </c>
      <c r="I1106" s="5">
        <v>6764993.0300000003</v>
      </c>
      <c r="J1106" s="5">
        <v>0</v>
      </c>
      <c r="K1106" s="5">
        <v>187000</v>
      </c>
      <c r="L1106" s="5">
        <v>0</v>
      </c>
      <c r="M1106" s="5">
        <v>-11453000</v>
      </c>
      <c r="N1106" s="5">
        <v>-11623000</v>
      </c>
    </row>
    <row r="1107" spans="1:14" x14ac:dyDescent="0.25">
      <c r="A1107" s="3" t="s">
        <v>1118</v>
      </c>
      <c r="B1107" s="4">
        <v>-6.81</v>
      </c>
      <c r="C1107" s="4">
        <v>0.21</v>
      </c>
      <c r="D1107" s="4">
        <v>-7.08</v>
      </c>
      <c r="E1107" s="4">
        <v>-6.9630584610279756E-3</v>
      </c>
      <c r="F1107" s="3">
        <v>1105</v>
      </c>
      <c r="G1107" s="3">
        <v>1</v>
      </c>
      <c r="H1107" s="5">
        <v>54.182267000000003</v>
      </c>
      <c r="I1107" s="5">
        <v>14904994.182267001</v>
      </c>
      <c r="J1107" s="5">
        <v>14979700</v>
      </c>
      <c r="K1107" s="5">
        <v>74760</v>
      </c>
      <c r="L1107" s="5">
        <v>351310</v>
      </c>
      <c r="M1107" s="5">
        <v>-2189430</v>
      </c>
      <c r="N1107" s="5">
        <v>-4022260</v>
      </c>
    </row>
    <row r="1108" spans="1:14" x14ac:dyDescent="0.25">
      <c r="A1108" s="3" t="s">
        <v>1119</v>
      </c>
      <c r="B1108" s="4">
        <v>-6.65</v>
      </c>
      <c r="C1108" s="4">
        <v>-0.22</v>
      </c>
      <c r="D1108" s="4">
        <v>-0.19</v>
      </c>
      <c r="E1108" s="4">
        <v>-6.9754115419013631E-3</v>
      </c>
      <c r="F1108" s="3">
        <v>1106</v>
      </c>
      <c r="G1108" s="3">
        <v>1</v>
      </c>
      <c r="H1108" s="5">
        <v>658052144.32000005</v>
      </c>
      <c r="I1108" s="5">
        <v>612502144.32000005</v>
      </c>
      <c r="J1108" s="5">
        <v>0</v>
      </c>
      <c r="K1108" s="5">
        <v>45550000</v>
      </c>
      <c r="L1108" s="5">
        <v>247276000</v>
      </c>
      <c r="M1108" s="5">
        <v>-92161000</v>
      </c>
      <c r="N1108" s="5">
        <v>-98063000</v>
      </c>
    </row>
    <row r="1109" spans="1:14" x14ac:dyDescent="0.25">
      <c r="A1109" s="3" t="s">
        <v>1120</v>
      </c>
      <c r="B1109" s="4">
        <v>-5.66</v>
      </c>
      <c r="C1109" s="4">
        <v>-0.02</v>
      </c>
      <c r="D1109" s="4">
        <v>-0.02</v>
      </c>
      <c r="E1109" s="4">
        <v>-6.9774773138052693E-3</v>
      </c>
      <c r="F1109" s="3">
        <v>1107</v>
      </c>
      <c r="G1109" s="3">
        <v>1</v>
      </c>
      <c r="H1109" s="5">
        <v>23158606.090599999</v>
      </c>
      <c r="I1109" s="5">
        <v>12143606.090600001</v>
      </c>
      <c r="J1109" s="5">
        <v>0</v>
      </c>
      <c r="K1109" s="5">
        <v>11015000</v>
      </c>
      <c r="L1109" s="5">
        <v>47625000</v>
      </c>
      <c r="M1109" s="5">
        <v>-2146000</v>
      </c>
      <c r="N1109" s="5">
        <v>-1106000</v>
      </c>
    </row>
    <row r="1110" spans="1:14" x14ac:dyDescent="0.25">
      <c r="A1110" s="3" t="s">
        <v>1121</v>
      </c>
      <c r="B1110" s="4">
        <v>-6.73</v>
      </c>
      <c r="C1110" s="4">
        <v>-0.25</v>
      </c>
      <c r="D1110" s="4">
        <v>-0.24</v>
      </c>
      <c r="E1110" s="4">
        <v>-7.0222238502556456E-3</v>
      </c>
      <c r="F1110" s="3">
        <v>1108</v>
      </c>
      <c r="G1110" s="3">
        <v>1</v>
      </c>
      <c r="H1110" s="5">
        <v>789863614.79999995</v>
      </c>
      <c r="I1110" s="5">
        <v>697897614.79999995</v>
      </c>
      <c r="J1110" s="5">
        <v>0</v>
      </c>
      <c r="K1110" s="5">
        <v>91966000</v>
      </c>
      <c r="L1110" s="5">
        <v>0</v>
      </c>
      <c r="M1110" s="5">
        <v>-103658000</v>
      </c>
      <c r="N1110" s="5">
        <v>-86481000</v>
      </c>
    </row>
    <row r="1111" spans="1:14" x14ac:dyDescent="0.25">
      <c r="A1111" s="3" t="s">
        <v>1122</v>
      </c>
      <c r="B1111" s="4">
        <v>-4.3099999999999996</v>
      </c>
      <c r="C1111" s="4">
        <v>0.32</v>
      </c>
      <c r="D1111" s="4">
        <v>-1.08</v>
      </c>
      <c r="E1111" s="4">
        <v>-7.0351142616347749E-3</v>
      </c>
      <c r="F1111" s="3">
        <v>1109</v>
      </c>
      <c r="G1111" s="3">
        <v>1</v>
      </c>
      <c r="H1111" s="5">
        <v>4567.1063000000004</v>
      </c>
      <c r="I1111" s="5">
        <v>566427.10629999998</v>
      </c>
      <c r="J1111" s="5">
        <v>563200</v>
      </c>
      <c r="K1111" s="5">
        <v>1340</v>
      </c>
      <c r="L1111" s="5">
        <v>39000</v>
      </c>
      <c r="M1111" s="5">
        <v>-131440</v>
      </c>
      <c r="N1111" s="5">
        <v>-433140</v>
      </c>
    </row>
    <row r="1112" spans="1:14" x14ac:dyDescent="0.25">
      <c r="A1112" s="3" t="s">
        <v>1123</v>
      </c>
      <c r="B1112" s="4">
        <v>8.73</v>
      </c>
      <c r="C1112" s="4">
        <v>3.03</v>
      </c>
      <c r="D1112" s="4">
        <v>0.15</v>
      </c>
      <c r="E1112" s="4">
        <v>-7.0384007206724351E-3</v>
      </c>
      <c r="F1112" s="3">
        <v>1110</v>
      </c>
      <c r="G1112" s="3">
        <v>1</v>
      </c>
      <c r="H1112" s="5">
        <v>33202435021.049999</v>
      </c>
      <c r="I1112" s="5">
        <v>39661435021.050003</v>
      </c>
      <c r="J1112" s="5">
        <v>7480000000</v>
      </c>
      <c r="K1112" s="5">
        <v>1021000000</v>
      </c>
      <c r="L1112" s="5">
        <v>20058000000</v>
      </c>
      <c r="M1112" s="5">
        <v>4544000000</v>
      </c>
      <c r="N1112" s="5">
        <v>2545000000</v>
      </c>
    </row>
    <row r="1113" spans="1:14" x14ac:dyDescent="0.25">
      <c r="A1113" s="3" t="s">
        <v>1124</v>
      </c>
      <c r="B1113" s="4">
        <v>-1.39</v>
      </c>
      <c r="C1113" s="4">
        <v>0.95</v>
      </c>
      <c r="D1113" s="4">
        <v>-1.21</v>
      </c>
      <c r="E1113" s="4">
        <v>-7.0471424287781147E-3</v>
      </c>
      <c r="F1113" s="3">
        <v>1111</v>
      </c>
      <c r="G1113" s="3">
        <v>1</v>
      </c>
      <c r="H1113" s="5">
        <v>4633362.37</v>
      </c>
      <c r="I1113" s="5">
        <v>14129862.369999999</v>
      </c>
      <c r="J1113" s="5">
        <v>9916630</v>
      </c>
      <c r="K1113" s="5">
        <v>420130</v>
      </c>
      <c r="L1113" s="5">
        <v>9261580</v>
      </c>
      <c r="M1113" s="5">
        <v>-10188440</v>
      </c>
      <c r="N1113" s="5">
        <v>-13653340</v>
      </c>
    </row>
    <row r="1114" spans="1:14" x14ac:dyDescent="0.25">
      <c r="A1114" s="3" t="s">
        <v>1125</v>
      </c>
      <c r="B1114" s="4">
        <v>-8.06</v>
      </c>
      <c r="C1114" s="4">
        <v>-0.53</v>
      </c>
      <c r="D1114" s="4">
        <v>-0.47</v>
      </c>
      <c r="E1114" s="4">
        <v>-7.0524481002318014E-3</v>
      </c>
      <c r="F1114" s="3">
        <v>1112</v>
      </c>
      <c r="G1114" s="3">
        <v>1</v>
      </c>
      <c r="H1114" s="5">
        <v>1202382579.0599999</v>
      </c>
      <c r="I1114" s="5">
        <v>1142976579.0599999</v>
      </c>
      <c r="J1114" s="5">
        <v>0</v>
      </c>
      <c r="K1114" s="5">
        <v>59406000</v>
      </c>
      <c r="L1114" s="5">
        <v>0</v>
      </c>
      <c r="M1114" s="5">
        <v>-141788000</v>
      </c>
      <c r="N1114" s="5">
        <v>-127847000</v>
      </c>
    </row>
    <row r="1115" spans="1:14" x14ac:dyDescent="0.25">
      <c r="A1115" s="3" t="s">
        <v>1126</v>
      </c>
      <c r="B1115" s="4">
        <v>-5.08</v>
      </c>
      <c r="C1115" s="4">
        <v>7.0000000000000007E-2</v>
      </c>
      <c r="D1115" s="4">
        <v>0.04</v>
      </c>
      <c r="E1115" s="4">
        <v>-7.064834621640606E-3</v>
      </c>
      <c r="F1115" s="3">
        <v>1113</v>
      </c>
      <c r="G1115" s="3">
        <v>1</v>
      </c>
      <c r="H1115" s="5">
        <v>99887037.480000004</v>
      </c>
      <c r="I1115" s="5">
        <v>-365080962.51999998</v>
      </c>
      <c r="J1115" s="5">
        <v>36000</v>
      </c>
      <c r="K1115" s="5">
        <v>465004000</v>
      </c>
      <c r="L1115" s="5">
        <v>513622000</v>
      </c>
      <c r="M1115" s="5">
        <v>71877000</v>
      </c>
      <c r="N1115" s="5">
        <v>77174000</v>
      </c>
    </row>
    <row r="1116" spans="1:14" x14ac:dyDescent="0.25">
      <c r="A1116" s="3" t="s">
        <v>1127</v>
      </c>
      <c r="B1116" s="4">
        <v>-6.36</v>
      </c>
      <c r="C1116" s="4">
        <v>-0.2</v>
      </c>
      <c r="D1116" s="4">
        <v>-0.09</v>
      </c>
      <c r="E1116" s="4">
        <v>-7.0778210273126363E-3</v>
      </c>
      <c r="F1116" s="3">
        <v>1114</v>
      </c>
      <c r="G1116" s="3">
        <v>1</v>
      </c>
      <c r="H1116" s="5">
        <v>18406798.440000001</v>
      </c>
      <c r="I1116" s="5">
        <v>16914798.440000001</v>
      </c>
      <c r="J1116" s="5">
        <v>10833000</v>
      </c>
      <c r="K1116" s="5">
        <v>12325000</v>
      </c>
      <c r="L1116" s="5">
        <v>129860000</v>
      </c>
      <c r="M1116" s="5">
        <v>-2660000</v>
      </c>
      <c r="N1116" s="5">
        <v>-13575000</v>
      </c>
    </row>
    <row r="1117" spans="1:14" x14ac:dyDescent="0.25">
      <c r="A1117" s="3" t="s">
        <v>1128</v>
      </c>
      <c r="B1117" s="4">
        <v>-0.39</v>
      </c>
      <c r="C1117" s="4">
        <v>1.1200000000000001</v>
      </c>
      <c r="D1117" s="4">
        <v>-0.74</v>
      </c>
      <c r="E1117" s="4">
        <v>-7.0842074300972967E-3</v>
      </c>
      <c r="F1117" s="3">
        <v>1115</v>
      </c>
      <c r="G1117" s="3">
        <v>1</v>
      </c>
      <c r="H1117" s="5">
        <v>40.245123999999997</v>
      </c>
      <c r="I1117" s="5">
        <v>6414040.2451240011</v>
      </c>
      <c r="J1117" s="5">
        <v>27924000</v>
      </c>
      <c r="K1117" s="5">
        <v>21510000</v>
      </c>
      <c r="L1117" s="5">
        <v>0</v>
      </c>
      <c r="M1117" s="5">
        <v>-16330000</v>
      </c>
      <c r="N1117" s="5">
        <v>-18927000</v>
      </c>
    </row>
    <row r="1118" spans="1:14" x14ac:dyDescent="0.25">
      <c r="A1118" s="3" t="s">
        <v>1129</v>
      </c>
      <c r="B1118" s="4">
        <v>-6.42</v>
      </c>
      <c r="C1118" s="4">
        <v>-0.21</v>
      </c>
      <c r="D1118" s="4">
        <v>-0.2</v>
      </c>
      <c r="E1118" s="4">
        <v>-7.0907986924971939E-3</v>
      </c>
      <c r="F1118" s="3">
        <v>1116</v>
      </c>
      <c r="G1118" s="3">
        <v>1</v>
      </c>
      <c r="H1118" s="5">
        <v>382451866.48000002</v>
      </c>
      <c r="I1118" s="5">
        <v>373224866.48000002</v>
      </c>
      <c r="J1118" s="5">
        <v>0</v>
      </c>
      <c r="K1118" s="5">
        <v>9227000</v>
      </c>
      <c r="L1118" s="5">
        <v>1509000</v>
      </c>
      <c r="M1118" s="5">
        <v>-58145000</v>
      </c>
      <c r="N1118" s="5">
        <v>-52048000</v>
      </c>
    </row>
    <row r="1119" spans="1:14" x14ac:dyDescent="0.25">
      <c r="A1119" s="3" t="s">
        <v>1130</v>
      </c>
      <c r="B1119" s="4">
        <v>-7</v>
      </c>
      <c r="C1119" s="4">
        <v>-0.34</v>
      </c>
      <c r="D1119" s="4">
        <v>-0.24</v>
      </c>
      <c r="E1119" s="4">
        <v>-7.1151577595646772E-3</v>
      </c>
      <c r="F1119" s="3">
        <v>1117</v>
      </c>
      <c r="G1119" s="3">
        <v>1</v>
      </c>
      <c r="H1119" s="5">
        <v>1024912171.02</v>
      </c>
      <c r="I1119" s="5">
        <v>1147643171.02</v>
      </c>
      <c r="J1119" s="5">
        <v>163606000</v>
      </c>
      <c r="K1119" s="5">
        <v>40875000</v>
      </c>
      <c r="L1119" s="5">
        <v>110493000</v>
      </c>
      <c r="M1119" s="5">
        <v>-164008000</v>
      </c>
      <c r="N1119" s="5">
        <v>-232618000</v>
      </c>
    </row>
    <row r="1120" spans="1:14" x14ac:dyDescent="0.25">
      <c r="A1120" s="3" t="s">
        <v>1131</v>
      </c>
      <c r="B1120" s="4">
        <v>-0.03</v>
      </c>
      <c r="C1120" s="4">
        <v>1.1299999999999999</v>
      </c>
      <c r="D1120" s="4">
        <v>0.09</v>
      </c>
      <c r="E1120" s="4">
        <v>-7.1180160222446406E-3</v>
      </c>
      <c r="F1120" s="3">
        <v>1118</v>
      </c>
      <c r="G1120" s="3">
        <v>1</v>
      </c>
      <c r="H1120" s="5">
        <v>16745346.970000001</v>
      </c>
      <c r="I1120" s="5">
        <v>1023346.969999999</v>
      </c>
      <c r="J1120" s="5">
        <v>11932000</v>
      </c>
      <c r="K1120" s="5">
        <v>27654000</v>
      </c>
      <c r="L1120" s="5">
        <v>67271000</v>
      </c>
      <c r="M1120" s="5">
        <v>-29526000</v>
      </c>
      <c r="N1120" s="5">
        <v>24347000</v>
      </c>
    </row>
    <row r="1121" spans="1:14" x14ac:dyDescent="0.25">
      <c r="A1121" s="3" t="s">
        <v>1132</v>
      </c>
      <c r="B1121" s="4">
        <v>-1.22</v>
      </c>
      <c r="C1121" s="4">
        <v>0.87</v>
      </c>
      <c r="D1121" s="4">
        <v>0.16</v>
      </c>
      <c r="E1121" s="4">
        <v>-7.1192311406257924E-3</v>
      </c>
      <c r="F1121" s="3">
        <v>1119</v>
      </c>
      <c r="G1121" s="3">
        <v>1</v>
      </c>
      <c r="H1121" s="5">
        <v>964893.51199999999</v>
      </c>
      <c r="I1121" s="5">
        <v>-2155976.4879999999</v>
      </c>
      <c r="J1121" s="5">
        <v>0</v>
      </c>
      <c r="K1121" s="5">
        <v>3120870</v>
      </c>
      <c r="L1121" s="5">
        <v>22992410</v>
      </c>
      <c r="M1121" s="5">
        <v>1761700</v>
      </c>
      <c r="N1121" s="5">
        <v>1308090</v>
      </c>
    </row>
    <row r="1122" spans="1:14" x14ac:dyDescent="0.25">
      <c r="A1122" s="3" t="s">
        <v>1133</v>
      </c>
      <c r="B1122" s="4">
        <v>-3.56</v>
      </c>
      <c r="C1122" s="4">
        <v>0.52</v>
      </c>
      <c r="D1122" s="4">
        <v>-2.21</v>
      </c>
      <c r="E1122" s="4">
        <v>-7.1394125518845879E-3</v>
      </c>
      <c r="F1122" s="3">
        <v>1120</v>
      </c>
      <c r="G1122" s="3">
        <v>1</v>
      </c>
      <c r="H1122" s="5">
        <v>3239626.7259</v>
      </c>
      <c r="I1122" s="5">
        <v>13138816.7259</v>
      </c>
      <c r="J1122" s="5">
        <v>10045390</v>
      </c>
      <c r="K1122" s="5">
        <v>146200</v>
      </c>
      <c r="L1122" s="5">
        <v>1704130</v>
      </c>
      <c r="M1122" s="5">
        <v>-3695060</v>
      </c>
      <c r="N1122" s="5">
        <v>-5147440</v>
      </c>
    </row>
    <row r="1123" spans="1:14" x14ac:dyDescent="0.25">
      <c r="A1123" s="3" t="s">
        <v>1134</v>
      </c>
      <c r="B1123" s="4">
        <v>-5.39</v>
      </c>
      <c r="C1123" s="4">
        <v>-0.02</v>
      </c>
      <c r="D1123" s="4">
        <v>-0.02</v>
      </c>
      <c r="E1123" s="4">
        <v>-7.1445858676263624E-3</v>
      </c>
      <c r="F1123" s="3">
        <v>1121</v>
      </c>
      <c r="G1123" s="3">
        <v>1</v>
      </c>
      <c r="H1123" s="5">
        <v>2032191.7674</v>
      </c>
      <c r="I1123" s="5">
        <v>-29709738.2326</v>
      </c>
      <c r="J1123" s="5">
        <v>3448730</v>
      </c>
      <c r="K1123" s="5">
        <v>35190660</v>
      </c>
      <c r="L1123" s="5">
        <v>42940140</v>
      </c>
      <c r="M1123" s="5">
        <v>5511660</v>
      </c>
      <c r="N1123" s="5">
        <v>-3241770</v>
      </c>
    </row>
    <row r="1124" spans="1:14" x14ac:dyDescent="0.25">
      <c r="A1124" s="3" t="s">
        <v>1135</v>
      </c>
      <c r="B1124" s="4">
        <v>-3.21</v>
      </c>
      <c r="C1124" s="4">
        <v>0.81</v>
      </c>
      <c r="D1124" s="4">
        <v>-5.51</v>
      </c>
      <c r="E1124" s="4">
        <v>-7.1546989184399518E-3</v>
      </c>
      <c r="F1124" s="3">
        <v>1122</v>
      </c>
      <c r="G1124" s="3">
        <v>1</v>
      </c>
      <c r="H1124" s="5">
        <v>7326161.2920000004</v>
      </c>
      <c r="I1124" s="5">
        <v>9838231.2919999994</v>
      </c>
      <c r="J1124" s="5">
        <v>2848320</v>
      </c>
      <c r="K1124" s="5">
        <v>336250</v>
      </c>
      <c r="L1124" s="5">
        <v>4744860</v>
      </c>
      <c r="M1124" s="5">
        <v>-3065700</v>
      </c>
      <c r="N1124" s="5">
        <v>-4335320</v>
      </c>
    </row>
    <row r="1125" spans="1:14" x14ac:dyDescent="0.25">
      <c r="A1125" s="3" t="s">
        <v>1136</v>
      </c>
      <c r="B1125" s="4">
        <v>-3.93</v>
      </c>
      <c r="C1125" s="4">
        <v>0.32</v>
      </c>
      <c r="D1125" s="4">
        <v>-0.5</v>
      </c>
      <c r="E1125" s="4">
        <v>-7.1584205366283784E-3</v>
      </c>
      <c r="F1125" s="3">
        <v>1123</v>
      </c>
      <c r="G1125" s="3">
        <v>1</v>
      </c>
      <c r="H1125" s="5">
        <v>9996916.8800000008</v>
      </c>
      <c r="I1125" s="5">
        <v>20951916.879999999</v>
      </c>
      <c r="J1125" s="5">
        <v>12927000</v>
      </c>
      <c r="K1125" s="5">
        <v>1972000</v>
      </c>
      <c r="L1125" s="5">
        <v>124737000</v>
      </c>
      <c r="M1125" s="5">
        <v>-5325000</v>
      </c>
      <c r="N1125" s="5">
        <v>-10856000</v>
      </c>
    </row>
    <row r="1126" spans="1:14" x14ac:dyDescent="0.25">
      <c r="A1126" s="3" t="s">
        <v>1137</v>
      </c>
      <c r="B1126" s="4">
        <v>0</v>
      </c>
      <c r="C1126" s="4">
        <v>1.35</v>
      </c>
      <c r="D1126" s="4">
        <v>-3.32</v>
      </c>
      <c r="E1126" s="4">
        <v>-7.158722347947297E-3</v>
      </c>
      <c r="F1126" s="3">
        <v>1124</v>
      </c>
      <c r="G1126" s="3">
        <v>1</v>
      </c>
      <c r="H1126" s="5">
        <v>1187.0002999999999</v>
      </c>
      <c r="I1126" s="5">
        <v>-72.999700000000303</v>
      </c>
      <c r="J1126" s="5">
        <v>128740</v>
      </c>
      <c r="K1126" s="5">
        <v>130000</v>
      </c>
      <c r="L1126" s="5">
        <v>0</v>
      </c>
      <c r="M1126" s="5">
        <v>-226270</v>
      </c>
      <c r="N1126" s="5">
        <v>-451930</v>
      </c>
    </row>
    <row r="1127" spans="1:14" x14ac:dyDescent="0.25">
      <c r="A1127" s="3" t="s">
        <v>1138</v>
      </c>
      <c r="B1127" s="4">
        <v>-0.82</v>
      </c>
      <c r="C1127" s="4">
        <v>1.02</v>
      </c>
      <c r="D1127" s="4">
        <v>-1.04</v>
      </c>
      <c r="E1127" s="4">
        <v>-7.1648784525927224E-3</v>
      </c>
      <c r="F1127" s="3">
        <v>1125</v>
      </c>
      <c r="G1127" s="3">
        <v>1</v>
      </c>
      <c r="H1127" s="5">
        <v>2690.640226</v>
      </c>
      <c r="I1127" s="5">
        <v>979880.64022599999</v>
      </c>
      <c r="J1127" s="5">
        <v>1056540</v>
      </c>
      <c r="K1127" s="5">
        <v>79350</v>
      </c>
      <c r="L1127" s="5">
        <v>60450</v>
      </c>
      <c r="M1127" s="5">
        <v>-1191160</v>
      </c>
      <c r="N1127" s="5">
        <v>-1332350</v>
      </c>
    </row>
    <row r="1128" spans="1:14" x14ac:dyDescent="0.25">
      <c r="A1128" s="3" t="s">
        <v>1139</v>
      </c>
      <c r="B1128" s="4">
        <v>-5.81</v>
      </c>
      <c r="C1128" s="4">
        <v>-0.12</v>
      </c>
      <c r="D1128" s="4">
        <v>-0.08</v>
      </c>
      <c r="E1128" s="4">
        <v>-7.1851494579587231E-3</v>
      </c>
      <c r="F1128" s="3">
        <v>1126</v>
      </c>
      <c r="G1128" s="3">
        <v>1</v>
      </c>
      <c r="H1128" s="5">
        <v>263298865.19999999</v>
      </c>
      <c r="I1128" s="5">
        <v>120816865.2</v>
      </c>
      <c r="J1128" s="5">
        <v>0</v>
      </c>
      <c r="K1128" s="5">
        <v>142482000</v>
      </c>
      <c r="L1128" s="5">
        <v>174885000</v>
      </c>
      <c r="M1128" s="5">
        <v>-20794000</v>
      </c>
      <c r="N1128" s="5">
        <v>-33643000</v>
      </c>
    </row>
    <row r="1129" spans="1:14" x14ac:dyDescent="0.25">
      <c r="A1129" s="3" t="s">
        <v>1140</v>
      </c>
      <c r="B1129" s="4">
        <v>-5.27</v>
      </c>
      <c r="C1129" s="4">
        <v>-0.01</v>
      </c>
      <c r="D1129" s="4">
        <v>-0.01</v>
      </c>
      <c r="E1129" s="4">
        <v>-7.1880337023993279E-3</v>
      </c>
      <c r="F1129" s="3">
        <v>1127</v>
      </c>
      <c r="G1129" s="3">
        <v>1</v>
      </c>
      <c r="H1129" s="5">
        <v>61794535.5</v>
      </c>
      <c r="I1129" s="5">
        <v>38712535.5</v>
      </c>
      <c r="J1129" s="5">
        <v>0</v>
      </c>
      <c r="K1129" s="5">
        <v>23082000</v>
      </c>
      <c r="L1129" s="5">
        <v>1951000</v>
      </c>
      <c r="M1129" s="5">
        <v>-7339000</v>
      </c>
      <c r="N1129" s="5">
        <v>-1091000</v>
      </c>
    </row>
    <row r="1130" spans="1:14" x14ac:dyDescent="0.25">
      <c r="A1130" s="3" t="s">
        <v>1141</v>
      </c>
      <c r="B1130" s="4">
        <v>-0.02</v>
      </c>
      <c r="C1130" s="4">
        <v>1.25</v>
      </c>
      <c r="D1130" s="4">
        <v>-2.0699999999999998</v>
      </c>
      <c r="E1130" s="4">
        <v>-7.1941516845094883E-3</v>
      </c>
      <c r="F1130" s="3">
        <v>1128</v>
      </c>
      <c r="G1130" s="3">
        <v>1</v>
      </c>
      <c r="H1130" s="5">
        <v>8914.8042000000005</v>
      </c>
      <c r="I1130" s="5">
        <v>-4348085.1957999999</v>
      </c>
      <c r="J1130" s="5">
        <v>519000</v>
      </c>
      <c r="K1130" s="5">
        <v>4876000</v>
      </c>
      <c r="L1130" s="5">
        <v>3091000</v>
      </c>
      <c r="M1130" s="5">
        <v>197494000</v>
      </c>
      <c r="N1130" s="5">
        <v>-30371000</v>
      </c>
    </row>
    <row r="1131" spans="1:14" x14ac:dyDescent="0.25">
      <c r="A1131" s="3" t="s">
        <v>1142</v>
      </c>
      <c r="B1131" s="4">
        <v>-13.17</v>
      </c>
      <c r="C1131" s="4">
        <v>2.0499999999999998</v>
      </c>
      <c r="D1131" s="4">
        <v>-56.26</v>
      </c>
      <c r="E1131" s="4">
        <v>-7.1972526552003049E-3</v>
      </c>
      <c r="F1131" s="3">
        <v>1129</v>
      </c>
      <c r="G1131" s="3">
        <v>1</v>
      </c>
      <c r="H1131" s="5">
        <v>19626418</v>
      </c>
      <c r="I1131" s="5">
        <v>19876418</v>
      </c>
      <c r="J1131" s="5">
        <v>269000</v>
      </c>
      <c r="K1131" s="5">
        <v>19000</v>
      </c>
      <c r="L1131" s="5">
        <v>0</v>
      </c>
      <c r="M1131" s="5">
        <v>-1509000</v>
      </c>
      <c r="N1131" s="5">
        <v>-1519000</v>
      </c>
    </row>
    <row r="1132" spans="1:14" x14ac:dyDescent="0.25">
      <c r="A1132" s="3" t="s">
        <v>1143</v>
      </c>
      <c r="B1132" s="4">
        <v>-0.37</v>
      </c>
      <c r="C1132" s="4">
        <v>1.1000000000000001</v>
      </c>
      <c r="D1132" s="4">
        <v>-0.97</v>
      </c>
      <c r="E1132" s="4">
        <v>-7.1987406668030021E-3</v>
      </c>
      <c r="F1132" s="3">
        <v>1130</v>
      </c>
      <c r="G1132" s="3">
        <v>1</v>
      </c>
      <c r="H1132" s="5">
        <v>33750.000399999997</v>
      </c>
      <c r="I1132" s="5">
        <v>33750.000399999997</v>
      </c>
      <c r="J1132" s="5">
        <v>0</v>
      </c>
      <c r="K1132" s="5">
        <v>0</v>
      </c>
      <c r="L1132" s="5">
        <v>159080</v>
      </c>
      <c r="M1132" s="5">
        <v>-91750</v>
      </c>
      <c r="N1132" s="5">
        <v>-84610</v>
      </c>
    </row>
    <row r="1133" spans="1:14" x14ac:dyDescent="0.25">
      <c r="A1133" s="3" t="s">
        <v>1144</v>
      </c>
      <c r="B1133" s="4">
        <v>-7.26</v>
      </c>
      <c r="C1133" s="4">
        <v>-0.42</v>
      </c>
      <c r="D1133" s="4">
        <v>-0.32</v>
      </c>
      <c r="E1133" s="4">
        <v>-7.200819480176375E-3</v>
      </c>
      <c r="F1133" s="3">
        <v>1131</v>
      </c>
      <c r="G1133" s="3">
        <v>1</v>
      </c>
      <c r="H1133" s="5">
        <v>77140612.079999998</v>
      </c>
      <c r="I1133" s="5">
        <v>59055612.079999998</v>
      </c>
      <c r="J1133" s="5">
        <v>0</v>
      </c>
      <c r="K1133" s="5">
        <v>18085000</v>
      </c>
      <c r="L1133" s="5">
        <v>41095000</v>
      </c>
      <c r="M1133" s="5">
        <v>-8132000</v>
      </c>
      <c r="N1133" s="5">
        <v>-8067000</v>
      </c>
    </row>
    <row r="1134" spans="1:14" x14ac:dyDescent="0.25">
      <c r="A1134" s="3" t="s">
        <v>1145</v>
      </c>
      <c r="B1134" s="4">
        <v>-6.42</v>
      </c>
      <c r="C1134" s="4">
        <v>-0.25</v>
      </c>
      <c r="D1134" s="4">
        <v>-0.19</v>
      </c>
      <c r="E1134" s="4">
        <v>-7.2044440939775158E-3</v>
      </c>
      <c r="F1134" s="3">
        <v>1132</v>
      </c>
      <c r="G1134" s="3">
        <v>1</v>
      </c>
      <c r="H1134" s="5">
        <v>43459952.305</v>
      </c>
      <c r="I1134" s="5">
        <v>39722952.305</v>
      </c>
      <c r="J1134" s="5">
        <v>1268000</v>
      </c>
      <c r="K1134" s="5">
        <v>5005000</v>
      </c>
      <c r="L1134" s="5">
        <v>30154000</v>
      </c>
      <c r="M1134" s="5">
        <v>-6190000</v>
      </c>
      <c r="N1134" s="5">
        <v>-5820000</v>
      </c>
    </row>
    <row r="1135" spans="1:14" x14ac:dyDescent="0.25">
      <c r="A1135" s="3" t="s">
        <v>1146</v>
      </c>
      <c r="B1135" s="4">
        <v>-4.3899999999999997</v>
      </c>
      <c r="C1135" s="4">
        <v>0.21</v>
      </c>
      <c r="D1135" s="4">
        <v>-0.62</v>
      </c>
      <c r="E1135" s="4">
        <v>-7.2146950706519237E-3</v>
      </c>
      <c r="F1135" s="3">
        <v>1133</v>
      </c>
      <c r="G1135" s="3">
        <v>1</v>
      </c>
      <c r="H1135" s="5">
        <v>74293672.319999993</v>
      </c>
      <c r="I1135" s="5">
        <v>115431672.31999999</v>
      </c>
      <c r="J1135" s="5">
        <v>42573000</v>
      </c>
      <c r="K1135" s="5">
        <v>1435000</v>
      </c>
      <c r="L1135" s="5">
        <v>9128000</v>
      </c>
      <c r="M1135" s="5">
        <v>-26271000</v>
      </c>
      <c r="N1135" s="5">
        <v>-12379000</v>
      </c>
    </row>
    <row r="1136" spans="1:14" x14ac:dyDescent="0.25">
      <c r="A1136" s="3" t="s">
        <v>1147</v>
      </c>
      <c r="B1136" s="4">
        <v>-5.95</v>
      </c>
      <c r="C1136" s="4">
        <v>-0.16</v>
      </c>
      <c r="D1136" s="4">
        <v>-0.13</v>
      </c>
      <c r="E1136" s="4">
        <v>-7.223720139145004E-3</v>
      </c>
      <c r="F1136" s="3">
        <v>1134</v>
      </c>
      <c r="G1136" s="3">
        <v>1</v>
      </c>
      <c r="H1136" s="5">
        <v>522372419.27999997</v>
      </c>
      <c r="I1136" s="5">
        <v>402301419.27999997</v>
      </c>
      <c r="J1136" s="5">
        <v>69318000</v>
      </c>
      <c r="K1136" s="5">
        <v>189389000</v>
      </c>
      <c r="L1136" s="5">
        <v>16915000</v>
      </c>
      <c r="M1136" s="5">
        <v>-67594000</v>
      </c>
      <c r="N1136" s="5">
        <v>-78640000</v>
      </c>
    </row>
    <row r="1137" spans="1:14" x14ac:dyDescent="0.25">
      <c r="A1137" s="3" t="s">
        <v>1148</v>
      </c>
      <c r="B1137" s="4">
        <v>-7.64</v>
      </c>
      <c r="C1137" s="4">
        <v>-0.5</v>
      </c>
      <c r="D1137" s="4">
        <v>-0.46</v>
      </c>
      <c r="E1137" s="4">
        <v>-7.2237848918881749E-3</v>
      </c>
      <c r="F1137" s="3">
        <v>1135</v>
      </c>
      <c r="G1137" s="3">
        <v>1</v>
      </c>
      <c r="H1137" s="5">
        <v>1391288544.24</v>
      </c>
      <c r="I1137" s="5">
        <v>1111421974.24</v>
      </c>
      <c r="J1137" s="5">
        <v>861470</v>
      </c>
      <c r="K1137" s="5">
        <v>280728040</v>
      </c>
      <c r="L1137" s="5">
        <v>0</v>
      </c>
      <c r="M1137" s="5">
        <v>-145418610</v>
      </c>
      <c r="N1137" s="5">
        <v>-134221530</v>
      </c>
    </row>
    <row r="1138" spans="1:14" x14ac:dyDescent="0.25">
      <c r="A1138" s="3" t="s">
        <v>1149</v>
      </c>
      <c r="B1138" s="4">
        <v>-1.25</v>
      </c>
      <c r="C1138" s="4">
        <v>0.88</v>
      </c>
      <c r="D1138" s="4">
        <v>-0.78</v>
      </c>
      <c r="E1138" s="4">
        <v>-7.2530984148056529E-3</v>
      </c>
      <c r="F1138" s="3">
        <v>1136</v>
      </c>
      <c r="G1138" s="3">
        <v>1</v>
      </c>
      <c r="H1138" s="5">
        <v>75497594</v>
      </c>
      <c r="I1138" s="5">
        <v>91730594</v>
      </c>
      <c r="J1138" s="5">
        <v>41263000</v>
      </c>
      <c r="K1138" s="5">
        <v>25030000</v>
      </c>
      <c r="L1138" s="5">
        <v>128940000</v>
      </c>
      <c r="M1138" s="5">
        <v>-73280000</v>
      </c>
      <c r="N1138" s="5">
        <v>-85403000</v>
      </c>
    </row>
    <row r="1139" spans="1:14" x14ac:dyDescent="0.25">
      <c r="A1139" s="3" t="s">
        <v>1150</v>
      </c>
      <c r="B1139" s="4">
        <v>-7.72</v>
      </c>
      <c r="C1139" s="4">
        <v>-0.54</v>
      </c>
      <c r="D1139" s="4">
        <v>-0.28000000000000003</v>
      </c>
      <c r="E1139" s="4">
        <v>-7.2551231959742842E-3</v>
      </c>
      <c r="F1139" s="3">
        <v>1137</v>
      </c>
      <c r="G1139" s="3">
        <v>1</v>
      </c>
      <c r="H1139" s="5">
        <v>14508392.25</v>
      </c>
      <c r="I1139" s="5">
        <v>13943392.25</v>
      </c>
      <c r="J1139" s="5">
        <v>0</v>
      </c>
      <c r="K1139" s="5">
        <v>565000</v>
      </c>
      <c r="L1139" s="5">
        <v>4860000</v>
      </c>
      <c r="M1139" s="5">
        <v>-1805000</v>
      </c>
      <c r="N1139" s="5">
        <v>-1582000</v>
      </c>
    </row>
    <row r="1140" spans="1:14" x14ac:dyDescent="0.25">
      <c r="A1140" s="3" t="s">
        <v>1151</v>
      </c>
      <c r="B1140" s="4">
        <v>-4.6500000000000004</v>
      </c>
      <c r="C1140" s="4">
        <v>0.1</v>
      </c>
      <c r="D1140" s="4">
        <v>-0.04</v>
      </c>
      <c r="E1140" s="4">
        <v>-7.2597218581916083E-3</v>
      </c>
      <c r="F1140" s="3">
        <v>1138</v>
      </c>
      <c r="G1140" s="3">
        <v>1</v>
      </c>
      <c r="H1140" s="5">
        <v>140122.00700000001</v>
      </c>
      <c r="I1140" s="5">
        <v>62464122.006999999</v>
      </c>
      <c r="J1140" s="5">
        <v>75495000</v>
      </c>
      <c r="K1140" s="5">
        <v>13171000</v>
      </c>
      <c r="L1140" s="5">
        <v>118724000</v>
      </c>
      <c r="M1140" s="5">
        <v>-13435000</v>
      </c>
      <c r="N1140" s="5">
        <v>-6789000</v>
      </c>
    </row>
    <row r="1141" spans="1:14" x14ac:dyDescent="0.25">
      <c r="A1141" s="3" t="s">
        <v>1152</v>
      </c>
      <c r="B1141" s="4">
        <v>-5.3</v>
      </c>
      <c r="C1141" s="4">
        <v>-0.06</v>
      </c>
      <c r="D1141" s="4">
        <v>0.23</v>
      </c>
      <c r="E1141" s="4">
        <v>-7.2676374825202464E-3</v>
      </c>
      <c r="F1141" s="3">
        <v>1139</v>
      </c>
      <c r="G1141" s="3">
        <v>1</v>
      </c>
      <c r="H1141" s="5">
        <v>1738.4894999999999</v>
      </c>
      <c r="I1141" s="5">
        <v>1821068.4894999999</v>
      </c>
      <c r="J1141" s="5">
        <v>1830330</v>
      </c>
      <c r="K1141" s="5">
        <v>11000</v>
      </c>
      <c r="L1141" s="5">
        <v>2528500</v>
      </c>
      <c r="M1141" s="5">
        <v>-343480</v>
      </c>
      <c r="N1141" s="5">
        <v>345600</v>
      </c>
    </row>
    <row r="1142" spans="1:14" x14ac:dyDescent="0.25">
      <c r="A1142" s="3" t="s">
        <v>1153</v>
      </c>
      <c r="B1142" s="4">
        <v>-6.86</v>
      </c>
      <c r="C1142" s="4">
        <v>-0.36</v>
      </c>
      <c r="D1142" s="4">
        <v>-0.3</v>
      </c>
      <c r="E1142" s="4">
        <v>-7.2711680128177119E-3</v>
      </c>
      <c r="F1142" s="3">
        <v>1140</v>
      </c>
      <c r="G1142" s="3">
        <v>1</v>
      </c>
      <c r="H1142" s="5">
        <v>813453729.11000001</v>
      </c>
      <c r="I1142" s="5">
        <v>692565729.11000001</v>
      </c>
      <c r="J1142" s="5">
        <v>0</v>
      </c>
      <c r="K1142" s="5">
        <v>120888000</v>
      </c>
      <c r="L1142" s="5">
        <v>2040000</v>
      </c>
      <c r="M1142" s="5">
        <v>-100948000</v>
      </c>
      <c r="N1142" s="5">
        <v>-100185000</v>
      </c>
    </row>
    <row r="1143" spans="1:14" x14ac:dyDescent="0.25">
      <c r="A1143" s="3" t="s">
        <v>1154</v>
      </c>
      <c r="B1143" s="4">
        <v>-5.0599999999999996</v>
      </c>
      <c r="C1143" s="4">
        <v>-0.25</v>
      </c>
      <c r="D1143" s="4">
        <v>3.81</v>
      </c>
      <c r="E1143" s="4">
        <v>-7.2745654377777049E-3</v>
      </c>
      <c r="F1143" s="3">
        <v>1141</v>
      </c>
      <c r="G1143" s="3">
        <v>1</v>
      </c>
      <c r="H1143" s="5">
        <v>553287.82200000004</v>
      </c>
      <c r="I1143" s="5">
        <v>11014287.822000001</v>
      </c>
      <c r="J1143" s="5">
        <v>10545000</v>
      </c>
      <c r="K1143" s="5">
        <v>84000</v>
      </c>
      <c r="L1143" s="5">
        <v>1422000</v>
      </c>
      <c r="M1143" s="5">
        <v>-2175000</v>
      </c>
      <c r="N1143" s="5">
        <v>8148000</v>
      </c>
    </row>
    <row r="1144" spans="1:14" x14ac:dyDescent="0.25">
      <c r="A1144" s="3" t="s">
        <v>1155</v>
      </c>
      <c r="B1144" s="4">
        <v>-7.8</v>
      </c>
      <c r="C1144" s="4">
        <v>-0.56000000000000005</v>
      </c>
      <c r="D1144" s="4">
        <v>-0.45</v>
      </c>
      <c r="E1144" s="4">
        <v>-7.2961902162441798E-3</v>
      </c>
      <c r="F1144" s="3">
        <v>1142</v>
      </c>
      <c r="G1144" s="3">
        <v>1</v>
      </c>
      <c r="H1144" s="5">
        <v>792485177.38</v>
      </c>
      <c r="I1144" s="5">
        <v>803976177.38</v>
      </c>
      <c r="J1144" s="5">
        <v>26619000</v>
      </c>
      <c r="K1144" s="5">
        <v>15128000</v>
      </c>
      <c r="L1144" s="5">
        <v>0</v>
      </c>
      <c r="M1144" s="5">
        <v>-103066000</v>
      </c>
      <c r="N1144" s="5">
        <v>-95881000</v>
      </c>
    </row>
    <row r="1145" spans="1:14" x14ac:dyDescent="0.25">
      <c r="A1145" s="3" t="s">
        <v>1156</v>
      </c>
      <c r="B1145" s="4">
        <v>-8.09</v>
      </c>
      <c r="C1145" s="4">
        <v>-0.63</v>
      </c>
      <c r="D1145" s="4">
        <v>-0.45</v>
      </c>
      <c r="E1145" s="4">
        <v>-7.3189585001301391E-3</v>
      </c>
      <c r="F1145" s="3">
        <v>1143</v>
      </c>
      <c r="G1145" s="3">
        <v>1</v>
      </c>
      <c r="H1145" s="5">
        <v>292294153.80000001</v>
      </c>
      <c r="I1145" s="5">
        <v>248262153.80000001</v>
      </c>
      <c r="J1145" s="5">
        <v>0</v>
      </c>
      <c r="K1145" s="5">
        <v>44032000</v>
      </c>
      <c r="L1145" s="5">
        <v>59631000</v>
      </c>
      <c r="M1145" s="5">
        <v>-30703000</v>
      </c>
      <c r="N1145" s="5">
        <v>-72206000</v>
      </c>
    </row>
    <row r="1146" spans="1:14" x14ac:dyDescent="0.25">
      <c r="A1146" s="3" t="s">
        <v>1157</v>
      </c>
      <c r="B1146" s="4">
        <v>-8.27</v>
      </c>
      <c r="C1146" s="4">
        <v>-0.69</v>
      </c>
      <c r="D1146" s="4">
        <v>-0.13</v>
      </c>
      <c r="E1146" s="4">
        <v>-7.3191855891893073E-3</v>
      </c>
      <c r="F1146" s="3">
        <v>1144</v>
      </c>
      <c r="G1146" s="3">
        <v>1</v>
      </c>
      <c r="H1146" s="5">
        <v>110260006.45</v>
      </c>
      <c r="I1146" s="5">
        <v>151506006.44999999</v>
      </c>
      <c r="J1146" s="5">
        <v>164844000</v>
      </c>
      <c r="K1146" s="5">
        <v>123598000</v>
      </c>
      <c r="L1146" s="5">
        <v>1144990000</v>
      </c>
      <c r="M1146" s="5">
        <v>-18311000</v>
      </c>
      <c r="N1146" s="5">
        <v>-102671000</v>
      </c>
    </row>
    <row r="1147" spans="1:14" x14ac:dyDescent="0.25">
      <c r="A1147" s="3" t="s">
        <v>1158</v>
      </c>
      <c r="B1147" s="4">
        <v>-0.98</v>
      </c>
      <c r="C1147" s="4">
        <v>1.03</v>
      </c>
      <c r="D1147" s="4">
        <v>-2.61</v>
      </c>
      <c r="E1147" s="4">
        <v>-7.3398147270934463E-3</v>
      </c>
      <c r="F1147" s="3">
        <v>1145</v>
      </c>
      <c r="G1147" s="3">
        <v>1</v>
      </c>
      <c r="H1147" s="5">
        <v>55524411.25</v>
      </c>
      <c r="I1147" s="5">
        <v>70036871.25</v>
      </c>
      <c r="J1147" s="5">
        <v>29440000</v>
      </c>
      <c r="K1147" s="5">
        <v>14927540</v>
      </c>
      <c r="L1147" s="5">
        <v>0</v>
      </c>
      <c r="M1147" s="5">
        <v>-71589380</v>
      </c>
      <c r="N1147" s="5">
        <v>-75366710</v>
      </c>
    </row>
    <row r="1148" spans="1:14" x14ac:dyDescent="0.25">
      <c r="A1148" s="3" t="s">
        <v>1159</v>
      </c>
      <c r="B1148" s="4">
        <v>-14.38</v>
      </c>
      <c r="C1148" s="4">
        <v>-1.93</v>
      </c>
      <c r="D1148" s="4">
        <v>-1.33</v>
      </c>
      <c r="E1148" s="4">
        <v>-7.3518713673684771E-3</v>
      </c>
      <c r="F1148" s="3">
        <v>1146</v>
      </c>
      <c r="G1148" s="3">
        <v>1</v>
      </c>
      <c r="H1148" s="5">
        <v>223444320.96000001</v>
      </c>
      <c r="I1148" s="5">
        <v>213702320.96000001</v>
      </c>
      <c r="J1148" s="5">
        <v>79000</v>
      </c>
      <c r="K1148" s="5">
        <v>9821000</v>
      </c>
      <c r="L1148" s="5">
        <v>0</v>
      </c>
      <c r="M1148" s="5">
        <v>-14856000</v>
      </c>
      <c r="N1148" s="5">
        <v>-14438000</v>
      </c>
    </row>
    <row r="1149" spans="1:14" x14ac:dyDescent="0.25">
      <c r="A1149" s="3" t="s">
        <v>1160</v>
      </c>
      <c r="B1149" s="4">
        <v>-7.42</v>
      </c>
      <c r="C1149" s="4">
        <v>-0.5</v>
      </c>
      <c r="D1149" s="4">
        <v>-0.46</v>
      </c>
      <c r="E1149" s="4">
        <v>-7.3599474172238791E-3</v>
      </c>
      <c r="F1149" s="3">
        <v>1147</v>
      </c>
      <c r="G1149" s="3">
        <v>1</v>
      </c>
      <c r="H1149" s="5">
        <v>2973312166</v>
      </c>
      <c r="I1149" s="5">
        <v>2537863166</v>
      </c>
      <c r="J1149" s="5">
        <v>0</v>
      </c>
      <c r="K1149" s="5">
        <v>435449000</v>
      </c>
      <c r="L1149" s="5">
        <v>0</v>
      </c>
      <c r="M1149" s="5">
        <v>-342186000</v>
      </c>
      <c r="N1149" s="5">
        <v>-317418000</v>
      </c>
    </row>
    <row r="1150" spans="1:14" x14ac:dyDescent="0.25">
      <c r="A1150" s="3" t="s">
        <v>1161</v>
      </c>
      <c r="B1150" s="4">
        <v>-3.69</v>
      </c>
      <c r="C1150" s="4">
        <v>0.31</v>
      </c>
      <c r="D1150" s="4">
        <v>-0.64</v>
      </c>
      <c r="E1150" s="4">
        <v>-7.3628614524577779E-3</v>
      </c>
      <c r="F1150" s="3">
        <v>1148</v>
      </c>
      <c r="G1150" s="3">
        <v>1</v>
      </c>
      <c r="H1150" s="5">
        <v>29993.717400000001</v>
      </c>
      <c r="I1150" s="5">
        <v>7233873.7174000004</v>
      </c>
      <c r="J1150" s="5">
        <v>7576160</v>
      </c>
      <c r="K1150" s="5">
        <v>372280</v>
      </c>
      <c r="L1150" s="5">
        <v>5063420</v>
      </c>
      <c r="M1150" s="5">
        <v>-1958220</v>
      </c>
      <c r="N1150" s="5">
        <v>-2841210</v>
      </c>
    </row>
    <row r="1151" spans="1:14" x14ac:dyDescent="0.25">
      <c r="A1151" s="3" t="s">
        <v>1162</v>
      </c>
      <c r="B1151" s="4">
        <v>-5.28</v>
      </c>
      <c r="C1151" s="4">
        <v>-7.0000000000000007E-2</v>
      </c>
      <c r="D1151" s="4">
        <v>-0.06</v>
      </c>
      <c r="E1151" s="4">
        <v>-7.3648512716765254E-3</v>
      </c>
      <c r="F1151" s="3">
        <v>1149</v>
      </c>
      <c r="G1151" s="3">
        <v>1</v>
      </c>
      <c r="H1151" s="5">
        <v>25187527.079999998</v>
      </c>
      <c r="I1151" s="5">
        <v>12857527.08</v>
      </c>
      <c r="J1151" s="5">
        <v>268000</v>
      </c>
      <c r="K1151" s="5">
        <v>12598000</v>
      </c>
      <c r="L1151" s="5">
        <v>26876000</v>
      </c>
      <c r="M1151" s="5">
        <v>-2433000</v>
      </c>
      <c r="N1151" s="5">
        <v>-1898000</v>
      </c>
    </row>
    <row r="1152" spans="1:14" x14ac:dyDescent="0.25">
      <c r="A1152" s="3" t="s">
        <v>1163</v>
      </c>
      <c r="B1152" s="4">
        <v>-6.41</v>
      </c>
      <c r="C1152" s="4">
        <v>-0.3</v>
      </c>
      <c r="D1152" s="4">
        <v>-0.26</v>
      </c>
      <c r="E1152" s="4">
        <v>-7.3686045207894254E-3</v>
      </c>
      <c r="F1152" s="3">
        <v>1150</v>
      </c>
      <c r="G1152" s="3">
        <v>1</v>
      </c>
      <c r="H1152" s="5">
        <v>66846367.799999997</v>
      </c>
      <c r="I1152" s="5">
        <v>47562387.799999997</v>
      </c>
      <c r="J1152" s="5">
        <v>32000</v>
      </c>
      <c r="K1152" s="5">
        <v>19315980</v>
      </c>
      <c r="L1152" s="5">
        <v>9508370</v>
      </c>
      <c r="M1152" s="5">
        <v>-7423300</v>
      </c>
      <c r="N1152" s="5">
        <v>-11242400</v>
      </c>
    </row>
    <row r="1153" spans="1:14" x14ac:dyDescent="0.25">
      <c r="A1153" s="3" t="s">
        <v>1164</v>
      </c>
      <c r="B1153" s="4">
        <v>-0.46</v>
      </c>
      <c r="C1153" s="4">
        <v>1.22</v>
      </c>
      <c r="D1153" s="4">
        <v>-3.98</v>
      </c>
      <c r="E1153" s="4">
        <v>-7.3769515311850747E-3</v>
      </c>
      <c r="F1153" s="3">
        <v>1151</v>
      </c>
      <c r="G1153" s="3">
        <v>1</v>
      </c>
      <c r="H1153" s="5">
        <v>452.27019999999999</v>
      </c>
      <c r="I1153" s="5">
        <v>30501452.270199999</v>
      </c>
      <c r="J1153" s="5">
        <v>45712000</v>
      </c>
      <c r="K1153" s="5">
        <v>15211000</v>
      </c>
      <c r="L1153" s="5">
        <v>4000</v>
      </c>
      <c r="M1153" s="5">
        <v>-66443000</v>
      </c>
      <c r="N1153" s="5">
        <v>-124115000</v>
      </c>
    </row>
    <row r="1154" spans="1:14" x14ac:dyDescent="0.25">
      <c r="A1154" s="3" t="s">
        <v>1165</v>
      </c>
      <c r="B1154" s="4">
        <v>-6.58</v>
      </c>
      <c r="C1154" s="4">
        <v>-0.34</v>
      </c>
      <c r="D1154" s="4">
        <v>-0.28000000000000003</v>
      </c>
      <c r="E1154" s="4">
        <v>-7.3828205051519533E-3</v>
      </c>
      <c r="F1154" s="3">
        <v>1152</v>
      </c>
      <c r="G1154" s="3">
        <v>1</v>
      </c>
      <c r="H1154" s="5">
        <v>2215244614.7199998</v>
      </c>
      <c r="I1154" s="5">
        <v>2050886614.72</v>
      </c>
      <c r="J1154" s="5">
        <v>0</v>
      </c>
      <c r="K1154" s="5">
        <v>164358000</v>
      </c>
      <c r="L1154" s="5">
        <v>389056000</v>
      </c>
      <c r="M1154" s="5">
        <v>-311817000</v>
      </c>
      <c r="N1154" s="5">
        <v>-288702000</v>
      </c>
    </row>
    <row r="1155" spans="1:14" x14ac:dyDescent="0.25">
      <c r="A1155" s="3" t="s">
        <v>1166</v>
      </c>
      <c r="B1155" s="4">
        <v>-5.08</v>
      </c>
      <c r="C1155" s="4">
        <v>-0.04</v>
      </c>
      <c r="D1155" s="4">
        <v>-0.03</v>
      </c>
      <c r="E1155" s="4">
        <v>-7.3961674848421859E-3</v>
      </c>
      <c r="F1155" s="3">
        <v>1153</v>
      </c>
      <c r="G1155" s="3">
        <v>1</v>
      </c>
      <c r="H1155" s="5">
        <v>262389037.19999999</v>
      </c>
      <c r="I1155" s="5">
        <v>165033037.19999999</v>
      </c>
      <c r="J1155" s="5">
        <v>4960000</v>
      </c>
      <c r="K1155" s="5">
        <v>102316000</v>
      </c>
      <c r="L1155" s="5">
        <v>198772000</v>
      </c>
      <c r="M1155" s="5">
        <v>-32487000</v>
      </c>
      <c r="N1155" s="5">
        <v>-18900000</v>
      </c>
    </row>
    <row r="1156" spans="1:14" x14ac:dyDescent="0.25">
      <c r="A1156" s="3" t="s">
        <v>1167</v>
      </c>
      <c r="B1156" s="4">
        <v>-4.72</v>
      </c>
      <c r="C1156" s="4">
        <v>0.03</v>
      </c>
      <c r="D1156" s="4">
        <v>0.03</v>
      </c>
      <c r="E1156" s="4">
        <v>-7.4051494813707312E-3</v>
      </c>
      <c r="F1156" s="3">
        <v>1154</v>
      </c>
      <c r="G1156" s="3">
        <v>1</v>
      </c>
      <c r="H1156" s="5">
        <v>21592261.68</v>
      </c>
      <c r="I1156" s="5">
        <v>-230947738.31999999</v>
      </c>
      <c r="J1156" s="5">
        <v>0</v>
      </c>
      <c r="K1156" s="5">
        <v>252540000</v>
      </c>
      <c r="L1156" s="5">
        <v>1363384000</v>
      </c>
      <c r="M1156" s="5">
        <v>48884000</v>
      </c>
      <c r="N1156" s="5">
        <v>39685000</v>
      </c>
    </row>
    <row r="1157" spans="1:14" x14ac:dyDescent="0.25">
      <c r="A1157" s="3" t="s">
        <v>1168</v>
      </c>
      <c r="B1157" s="4">
        <v>-4.1500000000000004</v>
      </c>
      <c r="C1157" s="4">
        <v>0.17</v>
      </c>
      <c r="D1157" s="4">
        <v>-0.27</v>
      </c>
      <c r="E1157" s="4">
        <v>-7.4112945052269112E-3</v>
      </c>
      <c r="F1157" s="3">
        <v>1155</v>
      </c>
      <c r="G1157" s="3">
        <v>1</v>
      </c>
      <c r="H1157" s="5">
        <v>3364365.69</v>
      </c>
      <c r="I1157" s="5">
        <v>6078765.6899999985</v>
      </c>
      <c r="J1157" s="5">
        <v>3389000</v>
      </c>
      <c r="K1157" s="5">
        <v>674600</v>
      </c>
      <c r="L1157" s="5">
        <v>20215720</v>
      </c>
      <c r="M1157" s="5">
        <v>-1463330</v>
      </c>
      <c r="N1157" s="5">
        <v>-1202920</v>
      </c>
    </row>
    <row r="1158" spans="1:14" x14ac:dyDescent="0.25">
      <c r="A1158" s="3" t="s">
        <v>1169</v>
      </c>
      <c r="B1158" s="4">
        <v>-9.14</v>
      </c>
      <c r="C1158" s="4">
        <v>-0.89</v>
      </c>
      <c r="D1158" s="4">
        <v>-0.42</v>
      </c>
      <c r="E1158" s="4">
        <v>-7.4145386045803962E-3</v>
      </c>
      <c r="F1158" s="3">
        <v>1156</v>
      </c>
      <c r="G1158" s="3">
        <v>1</v>
      </c>
      <c r="H1158" s="5">
        <v>340261915.14999998</v>
      </c>
      <c r="I1158" s="5">
        <v>340777675.14999998</v>
      </c>
      <c r="J1158" s="5">
        <v>22208170</v>
      </c>
      <c r="K1158" s="5">
        <v>21692410</v>
      </c>
      <c r="L1158" s="5">
        <v>74674030</v>
      </c>
      <c r="M1158" s="5">
        <v>-37269510</v>
      </c>
      <c r="N1158" s="5">
        <v>-64794620</v>
      </c>
    </row>
    <row r="1159" spans="1:14" x14ac:dyDescent="0.25">
      <c r="A1159" s="3" t="s">
        <v>1170</v>
      </c>
      <c r="B1159" s="4">
        <v>-1.84</v>
      </c>
      <c r="C1159" s="4">
        <v>0.79</v>
      </c>
      <c r="D1159" s="4">
        <v>-2.2400000000000002</v>
      </c>
      <c r="E1159" s="4">
        <v>-7.4296156221240629E-3</v>
      </c>
      <c r="F1159" s="3">
        <v>1157</v>
      </c>
      <c r="G1159" s="3">
        <v>1</v>
      </c>
      <c r="H1159" s="5">
        <v>8124.0207760000003</v>
      </c>
      <c r="I1159" s="5">
        <v>3684454.0207759999</v>
      </c>
      <c r="J1159" s="5">
        <v>3723260</v>
      </c>
      <c r="K1159" s="5">
        <v>46930</v>
      </c>
      <c r="L1159" s="5">
        <v>8701120</v>
      </c>
      <c r="M1159" s="5">
        <v>-1999210</v>
      </c>
      <c r="N1159" s="5">
        <v>-5028890</v>
      </c>
    </row>
    <row r="1160" spans="1:14" x14ac:dyDescent="0.25">
      <c r="A1160" s="3" t="s">
        <v>1171</v>
      </c>
      <c r="B1160" s="4">
        <v>-5.56</v>
      </c>
      <c r="C1160" s="4">
        <v>-0.15</v>
      </c>
      <c r="D1160" s="4">
        <v>-0.12</v>
      </c>
      <c r="E1160" s="4">
        <v>-7.4342765277390591E-3</v>
      </c>
      <c r="F1160" s="3">
        <v>1158</v>
      </c>
      <c r="G1160" s="3">
        <v>1</v>
      </c>
      <c r="H1160" s="5">
        <v>1401526361.97</v>
      </c>
      <c r="I1160" s="5">
        <v>1245201361.97</v>
      </c>
      <c r="J1160" s="5">
        <v>0</v>
      </c>
      <c r="K1160" s="5">
        <v>156325000</v>
      </c>
      <c r="L1160" s="5">
        <v>28833000</v>
      </c>
      <c r="M1160" s="5">
        <v>-223917000</v>
      </c>
      <c r="N1160" s="5">
        <v>-162857000</v>
      </c>
    </row>
    <row r="1161" spans="1:14" x14ac:dyDescent="0.25">
      <c r="A1161" s="3" t="s">
        <v>1172</v>
      </c>
      <c r="B1161" s="4">
        <v>-6.01</v>
      </c>
      <c r="C1161" s="4">
        <v>-0.35</v>
      </c>
      <c r="D1161" s="4">
        <v>1.43</v>
      </c>
      <c r="E1161" s="4">
        <v>-7.434635292146323E-3</v>
      </c>
      <c r="F1161" s="3">
        <v>1159</v>
      </c>
      <c r="G1161" s="3">
        <v>1</v>
      </c>
      <c r="H1161" s="5">
        <v>8837.5838000000003</v>
      </c>
      <c r="I1161" s="5">
        <v>1125387.5837999999</v>
      </c>
      <c r="J1161" s="5">
        <v>1135260</v>
      </c>
      <c r="K1161" s="5">
        <v>18710</v>
      </c>
      <c r="L1161" s="5">
        <v>50560</v>
      </c>
      <c r="M1161" s="5">
        <v>-187300</v>
      </c>
      <c r="N1161" s="5">
        <v>667010</v>
      </c>
    </row>
    <row r="1162" spans="1:14" x14ac:dyDescent="0.25">
      <c r="A1162" s="3" t="s">
        <v>1173</v>
      </c>
      <c r="B1162" s="4">
        <v>-10.38</v>
      </c>
      <c r="C1162" s="4">
        <v>-1.17</v>
      </c>
      <c r="D1162" s="4">
        <v>-0.31</v>
      </c>
      <c r="E1162" s="4">
        <v>-7.4348788021950506E-3</v>
      </c>
      <c r="F1162" s="3">
        <v>1160</v>
      </c>
      <c r="G1162" s="3">
        <v>1</v>
      </c>
      <c r="H1162" s="5">
        <v>57848646.100000001</v>
      </c>
      <c r="I1162" s="5">
        <v>83988646.099999994</v>
      </c>
      <c r="J1162" s="5">
        <v>35579000</v>
      </c>
      <c r="K1162" s="5">
        <v>9439000</v>
      </c>
      <c r="L1162" s="5">
        <v>254623000</v>
      </c>
      <c r="M1162" s="5">
        <v>-8093000</v>
      </c>
      <c r="N1162" s="5">
        <v>-29277000</v>
      </c>
    </row>
    <row r="1163" spans="1:14" x14ac:dyDescent="0.25">
      <c r="A1163" s="3" t="s">
        <v>1174</v>
      </c>
      <c r="B1163" s="4">
        <v>-1.98</v>
      </c>
      <c r="C1163" s="4">
        <v>0.65</v>
      </c>
      <c r="D1163" s="4">
        <v>-0.63</v>
      </c>
      <c r="E1163" s="4">
        <v>-7.4369039615889421E-3</v>
      </c>
      <c r="F1163" s="3">
        <v>1161</v>
      </c>
      <c r="G1163" s="3">
        <v>1</v>
      </c>
      <c r="H1163" s="5">
        <v>4549969.7879999997</v>
      </c>
      <c r="I1163" s="5">
        <v>4487659.7879999997</v>
      </c>
      <c r="J1163" s="5">
        <v>0</v>
      </c>
      <c r="K1163" s="5">
        <v>62310</v>
      </c>
      <c r="L1163" s="5">
        <v>3824300</v>
      </c>
      <c r="M1163" s="5">
        <v>-2266910</v>
      </c>
      <c r="N1163" s="5">
        <v>-2768340</v>
      </c>
    </row>
    <row r="1164" spans="1:14" x14ac:dyDescent="0.25">
      <c r="A1164" s="3" t="s">
        <v>1175</v>
      </c>
      <c r="B1164" s="4">
        <v>-12.84</v>
      </c>
      <c r="C1164" s="4">
        <v>-1.66</v>
      </c>
      <c r="D1164" s="4">
        <v>-0.88</v>
      </c>
      <c r="E1164" s="4">
        <v>-7.4380754593402756E-3</v>
      </c>
      <c r="F1164" s="3">
        <v>1162</v>
      </c>
      <c r="G1164" s="3">
        <v>1</v>
      </c>
      <c r="H1164" s="5">
        <v>157559351.58000001</v>
      </c>
      <c r="I1164" s="5">
        <v>164395551.58000001</v>
      </c>
      <c r="J1164" s="5">
        <v>11030040</v>
      </c>
      <c r="K1164" s="5">
        <v>4193840</v>
      </c>
      <c r="L1164" s="5">
        <v>11611440</v>
      </c>
      <c r="M1164" s="5">
        <v>-12803230</v>
      </c>
      <c r="N1164" s="5">
        <v>-76237230</v>
      </c>
    </row>
    <row r="1165" spans="1:14" x14ac:dyDescent="0.25">
      <c r="A1165" s="3" t="s">
        <v>1176</v>
      </c>
      <c r="B1165" s="4">
        <v>-2.2999999999999998</v>
      </c>
      <c r="C1165" s="4">
        <v>0.55000000000000004</v>
      </c>
      <c r="D1165" s="4">
        <v>-0.2</v>
      </c>
      <c r="E1165" s="4">
        <v>-7.4448373065942944E-3</v>
      </c>
      <c r="F1165" s="3">
        <v>1163</v>
      </c>
      <c r="G1165" s="3">
        <v>1</v>
      </c>
      <c r="H1165" s="5">
        <v>7044752055</v>
      </c>
      <c r="I1165" s="5">
        <v>12697004055</v>
      </c>
      <c r="J1165" s="5">
        <v>13435079000</v>
      </c>
      <c r="K1165" s="5">
        <v>7782827000</v>
      </c>
      <c r="L1165" s="5">
        <v>75912651000</v>
      </c>
      <c r="M1165" s="5">
        <v>-5525463000</v>
      </c>
      <c r="N1165" s="5">
        <v>-6423570000</v>
      </c>
    </row>
    <row r="1166" spans="1:14" x14ac:dyDescent="0.25">
      <c r="A1166" s="3" t="s">
        <v>1177</v>
      </c>
      <c r="B1166" s="4">
        <v>-8.58</v>
      </c>
      <c r="C1166" s="4">
        <v>-0.8</v>
      </c>
      <c r="D1166" s="4">
        <v>-0.13</v>
      </c>
      <c r="E1166" s="4">
        <v>-7.4451498897389473E-3</v>
      </c>
      <c r="F1166" s="3">
        <v>1164</v>
      </c>
      <c r="G1166" s="3">
        <v>1</v>
      </c>
      <c r="H1166" s="5">
        <v>2680.3044</v>
      </c>
      <c r="I1166" s="5">
        <v>75235690.304399997</v>
      </c>
      <c r="J1166" s="5">
        <v>76402380</v>
      </c>
      <c r="K1166" s="5">
        <v>1169370</v>
      </c>
      <c r="L1166" s="5">
        <v>60881380</v>
      </c>
      <c r="M1166" s="5">
        <v>-8773000</v>
      </c>
      <c r="N1166" s="5">
        <v>-18181090</v>
      </c>
    </row>
    <row r="1167" spans="1:14" x14ac:dyDescent="0.25">
      <c r="A1167" s="3" t="s">
        <v>1178</v>
      </c>
      <c r="B1167" s="4">
        <v>-6.71</v>
      </c>
      <c r="C1167" s="4">
        <v>-0.39</v>
      </c>
      <c r="D1167" s="4">
        <v>-0.28000000000000003</v>
      </c>
      <c r="E1167" s="4">
        <v>-7.4468288661622348E-3</v>
      </c>
      <c r="F1167" s="3">
        <v>1165</v>
      </c>
      <c r="G1167" s="3">
        <v>1</v>
      </c>
      <c r="H1167" s="5">
        <v>163455735.66</v>
      </c>
      <c r="I1167" s="5">
        <v>148239735.66</v>
      </c>
      <c r="J1167" s="5">
        <v>4390000</v>
      </c>
      <c r="K1167" s="5">
        <v>19606000</v>
      </c>
      <c r="L1167" s="5">
        <v>59680000</v>
      </c>
      <c r="M1167" s="5">
        <v>-22082000</v>
      </c>
      <c r="N1167" s="5">
        <v>-39404000</v>
      </c>
    </row>
    <row r="1168" spans="1:14" x14ac:dyDescent="0.25">
      <c r="A1168" s="3" t="s">
        <v>1179</v>
      </c>
      <c r="B1168" s="4">
        <v>-0.21</v>
      </c>
      <c r="C1168" s="4">
        <v>1.32</v>
      </c>
      <c r="D1168" s="4">
        <v>-5.1100000000000003</v>
      </c>
      <c r="E1168" s="4">
        <v>-7.4607256067255948E-3</v>
      </c>
      <c r="F1168" s="3">
        <v>1166</v>
      </c>
      <c r="G1168" s="3">
        <v>1</v>
      </c>
      <c r="H1168" s="5">
        <v>11203.3909</v>
      </c>
      <c r="I1168" s="5">
        <v>278203.3909</v>
      </c>
      <c r="J1168" s="5">
        <v>322000</v>
      </c>
      <c r="K1168" s="5">
        <v>55000</v>
      </c>
      <c r="L1168" s="5">
        <v>311000</v>
      </c>
      <c r="M1168" s="5">
        <v>-1343000</v>
      </c>
      <c r="N1168" s="5">
        <v>-1355000</v>
      </c>
    </row>
    <row r="1169" spans="1:14" x14ac:dyDescent="0.25">
      <c r="A1169" s="3" t="s">
        <v>1180</v>
      </c>
      <c r="B1169" s="4">
        <v>-2.94</v>
      </c>
      <c r="C1169" s="4">
        <v>0.49</v>
      </c>
      <c r="D1169" s="4">
        <v>-1.45</v>
      </c>
      <c r="E1169" s="4">
        <v>-7.4632181062563186E-3</v>
      </c>
      <c r="F1169" s="3">
        <v>1167</v>
      </c>
      <c r="G1169" s="3">
        <v>1</v>
      </c>
      <c r="H1169" s="5">
        <v>16713351.050000001</v>
      </c>
      <c r="I1169" s="5">
        <v>61988351.049999997</v>
      </c>
      <c r="J1169" s="5">
        <v>48360000</v>
      </c>
      <c r="K1169" s="5">
        <v>3085000</v>
      </c>
      <c r="L1169" s="5">
        <v>29562000</v>
      </c>
      <c r="M1169" s="5">
        <v>-21063000</v>
      </c>
      <c r="N1169" s="5">
        <v>-39757000</v>
      </c>
    </row>
    <row r="1170" spans="1:14" x14ac:dyDescent="0.25">
      <c r="A1170" s="3" t="s">
        <v>1181</v>
      </c>
      <c r="B1170" s="4">
        <v>-7.95</v>
      </c>
      <c r="C1170" s="4">
        <v>-0.64</v>
      </c>
      <c r="D1170" s="4">
        <v>-0.63</v>
      </c>
      <c r="E1170" s="4">
        <v>-7.4692234652987896E-3</v>
      </c>
      <c r="F1170" s="3">
        <v>1168</v>
      </c>
      <c r="G1170" s="3">
        <v>1</v>
      </c>
      <c r="H1170" s="5">
        <v>26628899.079999998</v>
      </c>
      <c r="I1170" s="5">
        <v>26366899.079999998</v>
      </c>
      <c r="J1170" s="5">
        <v>0</v>
      </c>
      <c r="K1170" s="5">
        <v>262000</v>
      </c>
      <c r="L1170" s="5">
        <v>1274000</v>
      </c>
      <c r="M1170" s="5">
        <v>-3315000</v>
      </c>
      <c r="N1170" s="5">
        <v>-18777000</v>
      </c>
    </row>
    <row r="1171" spans="1:14" x14ac:dyDescent="0.25">
      <c r="A1171" s="3" t="s">
        <v>1182</v>
      </c>
      <c r="B1171" s="4">
        <v>-4.7699999999999996</v>
      </c>
      <c r="C1171" s="4">
        <v>-0.01</v>
      </c>
      <c r="D1171" s="4">
        <v>0</v>
      </c>
      <c r="E1171" s="4">
        <v>-7.4955649606756932E-3</v>
      </c>
      <c r="F1171" s="3">
        <v>1169</v>
      </c>
      <c r="G1171" s="3">
        <v>1</v>
      </c>
      <c r="H1171" s="5">
        <v>352461265.83999997</v>
      </c>
      <c r="I1171" s="5">
        <v>-433913734.16000003</v>
      </c>
      <c r="J1171" s="5">
        <v>1000000</v>
      </c>
      <c r="K1171" s="5">
        <v>787375000</v>
      </c>
      <c r="L1171" s="5">
        <v>1894420000</v>
      </c>
      <c r="M1171" s="5">
        <v>90902000</v>
      </c>
      <c r="N1171" s="5">
        <v>-13534000</v>
      </c>
    </row>
    <row r="1172" spans="1:14" x14ac:dyDescent="0.25">
      <c r="A1172" s="3" t="s">
        <v>1183</v>
      </c>
      <c r="B1172" s="4">
        <v>-2.08</v>
      </c>
      <c r="C1172" s="4">
        <v>0.6</v>
      </c>
      <c r="D1172" s="4">
        <v>-0.51</v>
      </c>
      <c r="E1172" s="4">
        <v>-7.4963316207603886E-3</v>
      </c>
      <c r="F1172" s="3">
        <v>1170</v>
      </c>
      <c r="G1172" s="3">
        <v>1</v>
      </c>
      <c r="H1172" s="5">
        <v>217.78702000000001</v>
      </c>
      <c r="I1172" s="5">
        <v>32732667.787020002</v>
      </c>
      <c r="J1172" s="5">
        <v>34643600</v>
      </c>
      <c r="K1172" s="5">
        <v>1911150</v>
      </c>
      <c r="L1172" s="5">
        <v>52696720</v>
      </c>
      <c r="M1172" s="5">
        <v>-15724420</v>
      </c>
      <c r="N1172" s="5">
        <v>-15596370</v>
      </c>
    </row>
    <row r="1173" spans="1:14" x14ac:dyDescent="0.25">
      <c r="A1173" s="3" t="s">
        <v>1184</v>
      </c>
      <c r="B1173" s="4">
        <v>-0.67</v>
      </c>
      <c r="C1173" s="4">
        <v>1.56</v>
      </c>
      <c r="D1173" s="4">
        <v>-10.37</v>
      </c>
      <c r="E1173" s="4">
        <v>-7.4972435560811254E-3</v>
      </c>
      <c r="F1173" s="3">
        <v>1171</v>
      </c>
      <c r="G1173" s="3">
        <v>1</v>
      </c>
      <c r="H1173" s="5">
        <v>90033.595199999996</v>
      </c>
      <c r="I1173" s="5">
        <v>5768083.5952000003</v>
      </c>
      <c r="J1173" s="5">
        <v>5778370</v>
      </c>
      <c r="K1173" s="5">
        <v>100320</v>
      </c>
      <c r="L1173" s="5">
        <v>1497780</v>
      </c>
      <c r="M1173" s="5">
        <v>-8555660</v>
      </c>
      <c r="N1173" s="5">
        <v>-11101360</v>
      </c>
    </row>
    <row r="1174" spans="1:14" x14ac:dyDescent="0.25">
      <c r="A1174" s="3" t="s">
        <v>1185</v>
      </c>
      <c r="B1174" s="4">
        <v>-8.5299999999999994</v>
      </c>
      <c r="C1174" s="4">
        <v>0.05</v>
      </c>
      <c r="D1174" s="4">
        <v>-13.04</v>
      </c>
      <c r="E1174" s="4">
        <v>-7.5105126335554759E-3</v>
      </c>
      <c r="F1174" s="3">
        <v>1172</v>
      </c>
      <c r="G1174" s="3">
        <v>1</v>
      </c>
      <c r="H1174" s="5">
        <v>999553.74</v>
      </c>
      <c r="I1174" s="5">
        <v>997173.74</v>
      </c>
      <c r="J1174" s="5">
        <v>0</v>
      </c>
      <c r="K1174" s="5">
        <v>2380</v>
      </c>
      <c r="L1174" s="5">
        <v>0</v>
      </c>
      <c r="M1174" s="5">
        <v>-116890</v>
      </c>
      <c r="N1174" s="5">
        <v>-116930</v>
      </c>
    </row>
    <row r="1175" spans="1:14" x14ac:dyDescent="0.25">
      <c r="A1175" s="3" t="s">
        <v>1186</v>
      </c>
      <c r="B1175" s="4">
        <v>-5.67</v>
      </c>
      <c r="C1175" s="4">
        <v>-0.2</v>
      </c>
      <c r="D1175" s="4">
        <v>-0.2</v>
      </c>
      <c r="E1175" s="4">
        <v>-7.5260955127635426E-3</v>
      </c>
      <c r="F1175" s="3">
        <v>1173</v>
      </c>
      <c r="G1175" s="3">
        <v>1</v>
      </c>
      <c r="H1175" s="5">
        <v>373010225.30000001</v>
      </c>
      <c r="I1175" s="5">
        <v>350447225.30000001</v>
      </c>
      <c r="J1175" s="5">
        <v>0</v>
      </c>
      <c r="K1175" s="5">
        <v>22563000</v>
      </c>
      <c r="L1175" s="5">
        <v>0</v>
      </c>
      <c r="M1175" s="5">
        <v>-61787000</v>
      </c>
      <c r="N1175" s="5">
        <v>-49588000</v>
      </c>
    </row>
    <row r="1176" spans="1:14" x14ac:dyDescent="0.25">
      <c r="A1176" s="3" t="s">
        <v>1187</v>
      </c>
      <c r="B1176" s="4">
        <v>-3.7</v>
      </c>
      <c r="C1176" s="4">
        <v>0.2</v>
      </c>
      <c r="D1176" s="4">
        <v>0.11</v>
      </c>
      <c r="E1176" s="4">
        <v>-7.5298249306067992E-3</v>
      </c>
      <c r="F1176" s="3">
        <v>1174</v>
      </c>
      <c r="G1176" s="3">
        <v>1</v>
      </c>
      <c r="H1176" s="5">
        <v>15154963</v>
      </c>
      <c r="I1176" s="5">
        <v>-201000037</v>
      </c>
      <c r="J1176" s="5">
        <v>202436000</v>
      </c>
      <c r="K1176" s="5">
        <v>418591000</v>
      </c>
      <c r="L1176" s="5">
        <v>1006071000</v>
      </c>
      <c r="M1176" s="5">
        <v>54287000</v>
      </c>
      <c r="N1176" s="5">
        <v>106131000</v>
      </c>
    </row>
    <row r="1177" spans="1:14" x14ac:dyDescent="0.25">
      <c r="A1177" s="3" t="s">
        <v>1188</v>
      </c>
      <c r="B1177" s="4">
        <v>-4.4000000000000004</v>
      </c>
      <c r="C1177" s="4">
        <v>0.14000000000000001</v>
      </c>
      <c r="D1177" s="4">
        <v>-1.32</v>
      </c>
      <c r="E1177" s="4">
        <v>-7.5457929744814651E-3</v>
      </c>
      <c r="F1177" s="3">
        <v>1175</v>
      </c>
      <c r="G1177" s="3">
        <v>1</v>
      </c>
      <c r="H1177" s="5">
        <v>42029.4</v>
      </c>
      <c r="I1177" s="5">
        <v>167139.4</v>
      </c>
      <c r="J1177" s="5">
        <v>125590</v>
      </c>
      <c r="K1177" s="5">
        <v>480</v>
      </c>
      <c r="L1177" s="5">
        <v>0</v>
      </c>
      <c r="M1177" s="5">
        <v>-37960</v>
      </c>
      <c r="N1177" s="5">
        <v>-42300</v>
      </c>
    </row>
    <row r="1178" spans="1:14" x14ac:dyDescent="0.25">
      <c r="A1178" s="3" t="s">
        <v>1189</v>
      </c>
      <c r="B1178" s="4">
        <v>-1.36</v>
      </c>
      <c r="C1178" s="4">
        <v>1</v>
      </c>
      <c r="D1178" s="4">
        <v>-4.4800000000000004</v>
      </c>
      <c r="E1178" s="4">
        <v>-7.5520337016414746E-3</v>
      </c>
      <c r="F1178" s="3">
        <v>1176</v>
      </c>
      <c r="G1178" s="3">
        <v>1</v>
      </c>
      <c r="H1178" s="5">
        <v>5898.3271000000004</v>
      </c>
      <c r="I1178" s="5">
        <v>22248.327099999999</v>
      </c>
      <c r="J1178" s="5">
        <v>20000</v>
      </c>
      <c r="K1178" s="5">
        <v>3650</v>
      </c>
      <c r="L1178" s="5">
        <v>0</v>
      </c>
      <c r="M1178" s="5">
        <v>-16350</v>
      </c>
      <c r="N1178" s="5">
        <v>-16350</v>
      </c>
    </row>
    <row r="1179" spans="1:14" x14ac:dyDescent="0.25">
      <c r="A1179" s="3" t="s">
        <v>1190</v>
      </c>
      <c r="B1179" s="4">
        <v>14.16</v>
      </c>
      <c r="C1179" s="4">
        <v>4.0199999999999996</v>
      </c>
      <c r="D1179" s="4">
        <v>7.0000000000000007E-2</v>
      </c>
      <c r="E1179" s="4">
        <v>-7.5541045323741941E-3</v>
      </c>
      <c r="F1179" s="3">
        <v>1177</v>
      </c>
      <c r="G1179" s="3">
        <v>1</v>
      </c>
      <c r="H1179" s="5">
        <v>2412822602.77</v>
      </c>
      <c r="I1179" s="5">
        <v>4282835602.77</v>
      </c>
      <c r="J1179" s="5">
        <v>1875397000</v>
      </c>
      <c r="K1179" s="5">
        <v>5384000</v>
      </c>
      <c r="L1179" s="5">
        <v>940636000</v>
      </c>
      <c r="M1179" s="5">
        <v>302429000</v>
      </c>
      <c r="N1179" s="5">
        <v>142685000</v>
      </c>
    </row>
    <row r="1180" spans="1:14" x14ac:dyDescent="0.25">
      <c r="A1180" s="3" t="s">
        <v>1191</v>
      </c>
      <c r="B1180" s="4">
        <v>-1.38</v>
      </c>
      <c r="C1180" s="4">
        <v>1.27</v>
      </c>
      <c r="D1180" s="4">
        <v>-8.61</v>
      </c>
      <c r="E1180" s="4">
        <v>-7.5562158773668769E-3</v>
      </c>
      <c r="F1180" s="3">
        <v>1178</v>
      </c>
      <c r="G1180" s="3">
        <v>1</v>
      </c>
      <c r="H1180" s="5">
        <v>3300174.14</v>
      </c>
      <c r="I1180" s="5">
        <v>15477434.140000001</v>
      </c>
      <c r="J1180" s="5">
        <v>12192610</v>
      </c>
      <c r="K1180" s="5">
        <v>15350</v>
      </c>
      <c r="L1180" s="5">
        <v>4155210</v>
      </c>
      <c r="M1180" s="5">
        <v>-11205930</v>
      </c>
      <c r="N1180" s="5">
        <v>-23756550</v>
      </c>
    </row>
    <row r="1181" spans="1:14" x14ac:dyDescent="0.25">
      <c r="A1181" s="3" t="s">
        <v>1192</v>
      </c>
      <c r="B1181" s="4">
        <v>-6.11</v>
      </c>
      <c r="C1181" s="4">
        <v>-0.3</v>
      </c>
      <c r="D1181" s="4">
        <v>-0.28000000000000003</v>
      </c>
      <c r="E1181" s="4">
        <v>-7.558138744856762E-3</v>
      </c>
      <c r="F1181" s="3">
        <v>1179</v>
      </c>
      <c r="G1181" s="3">
        <v>1</v>
      </c>
      <c r="H1181" s="5">
        <v>712208362.27999997</v>
      </c>
      <c r="I1181" s="5">
        <v>681598362.27999997</v>
      </c>
      <c r="J1181" s="5">
        <v>0</v>
      </c>
      <c r="K1181" s="5">
        <v>30610000</v>
      </c>
      <c r="L1181" s="5">
        <v>0</v>
      </c>
      <c r="M1181" s="5">
        <v>-111558000</v>
      </c>
      <c r="N1181" s="5">
        <v>-94260000</v>
      </c>
    </row>
    <row r="1182" spans="1:14" x14ac:dyDescent="0.25">
      <c r="A1182" s="3" t="s">
        <v>1193</v>
      </c>
      <c r="B1182" s="4">
        <v>-5.43</v>
      </c>
      <c r="C1182" s="4">
        <v>-0.17</v>
      </c>
      <c r="D1182" s="4">
        <v>-0.13</v>
      </c>
      <c r="E1182" s="4">
        <v>-7.574452442407488E-3</v>
      </c>
      <c r="F1182" s="3">
        <v>1180</v>
      </c>
      <c r="G1182" s="3">
        <v>1</v>
      </c>
      <c r="H1182" s="5">
        <v>42257753.700000003</v>
      </c>
      <c r="I1182" s="5">
        <v>30030373.699999999</v>
      </c>
      <c r="J1182" s="5">
        <v>0</v>
      </c>
      <c r="K1182" s="5">
        <v>12227380</v>
      </c>
      <c r="L1182" s="5">
        <v>3329260</v>
      </c>
      <c r="M1182" s="5">
        <v>-5532920</v>
      </c>
      <c r="N1182" s="5">
        <v>-5969350</v>
      </c>
    </row>
    <row r="1183" spans="1:14" x14ac:dyDescent="0.25">
      <c r="A1183" s="3" t="s">
        <v>1194</v>
      </c>
      <c r="B1183" s="4">
        <v>-7.11</v>
      </c>
      <c r="C1183" s="4">
        <v>-0.54</v>
      </c>
      <c r="D1183" s="4">
        <v>0.01</v>
      </c>
      <c r="E1183" s="4">
        <v>-7.5767229727483386E-3</v>
      </c>
      <c r="F1183" s="3">
        <v>1181</v>
      </c>
      <c r="G1183" s="3">
        <v>1</v>
      </c>
      <c r="H1183" s="5">
        <v>164466.6972</v>
      </c>
      <c r="I1183" s="5">
        <v>-1450593.3027999999</v>
      </c>
      <c r="J1183" s="5">
        <v>2504030</v>
      </c>
      <c r="K1183" s="5">
        <v>4119090</v>
      </c>
      <c r="L1183" s="5">
        <v>30318820</v>
      </c>
      <c r="M1183" s="5">
        <v>203980</v>
      </c>
      <c r="N1183" s="5">
        <v>63570</v>
      </c>
    </row>
    <row r="1184" spans="1:14" x14ac:dyDescent="0.25">
      <c r="A1184" s="3" t="s">
        <v>1195</v>
      </c>
      <c r="B1184" s="4">
        <v>-10.86</v>
      </c>
      <c r="C1184" s="4">
        <v>-1.28</v>
      </c>
      <c r="D1184" s="4">
        <v>-0.94</v>
      </c>
      <c r="E1184" s="4">
        <v>-7.5771552802772436E-3</v>
      </c>
      <c r="F1184" s="3">
        <v>1182</v>
      </c>
      <c r="G1184" s="3">
        <v>1</v>
      </c>
      <c r="H1184" s="5">
        <v>1073086994.5599999</v>
      </c>
      <c r="I1184" s="5">
        <v>1079078994.5599999</v>
      </c>
      <c r="J1184" s="5">
        <v>23497000</v>
      </c>
      <c r="K1184" s="5">
        <v>17505000</v>
      </c>
      <c r="L1184" s="5">
        <v>308000</v>
      </c>
      <c r="M1184" s="5">
        <v>-99318000</v>
      </c>
      <c r="N1184" s="5">
        <v>-149269000</v>
      </c>
    </row>
    <row r="1185" spans="1:14" x14ac:dyDescent="0.25">
      <c r="A1185" s="3" t="s">
        <v>1196</v>
      </c>
      <c r="B1185" s="4">
        <v>-5.96</v>
      </c>
      <c r="C1185" s="4">
        <v>0.14000000000000001</v>
      </c>
      <c r="D1185" s="4">
        <v>-6.51</v>
      </c>
      <c r="E1185" s="4">
        <v>-7.5814416794629247E-3</v>
      </c>
      <c r="F1185" s="3">
        <v>1183</v>
      </c>
      <c r="G1185" s="3">
        <v>1</v>
      </c>
      <c r="H1185" s="5">
        <v>3765911.24</v>
      </c>
      <c r="I1185" s="5">
        <v>5243411.24</v>
      </c>
      <c r="J1185" s="5">
        <v>1592520</v>
      </c>
      <c r="K1185" s="5">
        <v>115020</v>
      </c>
      <c r="L1185" s="5">
        <v>0</v>
      </c>
      <c r="M1185" s="5">
        <v>-879660</v>
      </c>
      <c r="N1185" s="5">
        <v>-921980</v>
      </c>
    </row>
    <row r="1186" spans="1:14" x14ac:dyDescent="0.25">
      <c r="A1186" s="3" t="s">
        <v>1197</v>
      </c>
      <c r="B1186" s="4">
        <v>-0.8</v>
      </c>
      <c r="C1186" s="4">
        <v>0.87</v>
      </c>
      <c r="D1186" s="4">
        <v>-0.9</v>
      </c>
      <c r="E1186" s="4">
        <v>-7.583654597118664E-3</v>
      </c>
      <c r="F1186" s="3">
        <v>1184</v>
      </c>
      <c r="G1186" s="3">
        <v>1</v>
      </c>
      <c r="H1186" s="5">
        <v>256140.74</v>
      </c>
      <c r="I1186" s="5">
        <v>235109140.74000001</v>
      </c>
      <c r="J1186" s="5">
        <v>278028000</v>
      </c>
      <c r="K1186" s="5">
        <v>43175000</v>
      </c>
      <c r="L1186" s="5">
        <v>1109669000</v>
      </c>
      <c r="M1186" s="5">
        <v>-293636000</v>
      </c>
      <c r="N1186" s="5">
        <v>-221449000</v>
      </c>
    </row>
    <row r="1187" spans="1:14" x14ac:dyDescent="0.25">
      <c r="A1187" s="3" t="s">
        <v>1198</v>
      </c>
      <c r="B1187" s="4">
        <v>-4.1399999999999997</v>
      </c>
      <c r="C1187" s="4">
        <v>0.28000000000000003</v>
      </c>
      <c r="D1187" s="4">
        <v>-2.8</v>
      </c>
      <c r="E1187" s="4">
        <v>-7.5876977578739329E-3</v>
      </c>
      <c r="F1187" s="3">
        <v>1185</v>
      </c>
      <c r="G1187" s="3">
        <v>1</v>
      </c>
      <c r="H1187" s="5">
        <v>28474.374500000002</v>
      </c>
      <c r="I1187" s="5">
        <v>27312304.374499999</v>
      </c>
      <c r="J1187" s="5">
        <v>27978070</v>
      </c>
      <c r="K1187" s="5">
        <v>694240</v>
      </c>
      <c r="L1187" s="5">
        <v>1155540</v>
      </c>
      <c r="M1187" s="5">
        <v>-6594150</v>
      </c>
      <c r="N1187" s="5">
        <v>-28301870</v>
      </c>
    </row>
    <row r="1188" spans="1:14" x14ac:dyDescent="0.25">
      <c r="A1188" s="3" t="s">
        <v>1199</v>
      </c>
      <c r="B1188" s="4">
        <v>-5.59</v>
      </c>
      <c r="C1188" s="4">
        <v>-0.21</v>
      </c>
      <c r="D1188" s="4">
        <v>-0.2</v>
      </c>
      <c r="E1188" s="4">
        <v>-7.6045027653546234E-3</v>
      </c>
      <c r="F1188" s="3">
        <v>1186</v>
      </c>
      <c r="G1188" s="3">
        <v>1</v>
      </c>
      <c r="H1188" s="5">
        <v>304665414.83999997</v>
      </c>
      <c r="I1188" s="5">
        <v>282722414.83999997</v>
      </c>
      <c r="J1188" s="5">
        <v>0</v>
      </c>
      <c r="K1188" s="5">
        <v>21943000</v>
      </c>
      <c r="L1188" s="5">
        <v>0</v>
      </c>
      <c r="M1188" s="5">
        <v>-50594000</v>
      </c>
      <c r="N1188" s="5">
        <v>-42258000</v>
      </c>
    </row>
    <row r="1189" spans="1:14" x14ac:dyDescent="0.25">
      <c r="A1189" s="3" t="s">
        <v>1200</v>
      </c>
      <c r="B1189" s="4">
        <v>0.11</v>
      </c>
      <c r="C1189" s="4">
        <v>1.1200000000000001</v>
      </c>
      <c r="D1189" s="4">
        <v>-1.89</v>
      </c>
      <c r="E1189" s="4">
        <v>-7.6155057713643438E-3</v>
      </c>
      <c r="F1189" s="3">
        <v>1187</v>
      </c>
      <c r="G1189" s="3">
        <v>1</v>
      </c>
      <c r="H1189" s="5">
        <v>371319</v>
      </c>
      <c r="I1189" s="5">
        <v>-388421</v>
      </c>
      <c r="J1189" s="5">
        <v>0</v>
      </c>
      <c r="K1189" s="5">
        <v>759740</v>
      </c>
      <c r="L1189" s="5">
        <v>0</v>
      </c>
      <c r="M1189" s="5">
        <v>-3617430</v>
      </c>
      <c r="N1189" s="5">
        <v>-1589690</v>
      </c>
    </row>
    <row r="1190" spans="1:14" x14ac:dyDescent="0.25">
      <c r="A1190" s="3" t="s">
        <v>1201</v>
      </c>
      <c r="B1190" s="4">
        <v>-1.3</v>
      </c>
      <c r="C1190" s="4">
        <v>1.01</v>
      </c>
      <c r="D1190" s="4">
        <v>-4.78</v>
      </c>
      <c r="E1190" s="4">
        <v>-7.6181461261346593E-3</v>
      </c>
      <c r="F1190" s="3">
        <v>1188</v>
      </c>
      <c r="G1190" s="3">
        <v>1</v>
      </c>
      <c r="H1190" s="5">
        <v>1211226.06</v>
      </c>
      <c r="I1190" s="5">
        <v>12954516.060000001</v>
      </c>
      <c r="J1190" s="5">
        <v>12820570</v>
      </c>
      <c r="K1190" s="5">
        <v>1077280</v>
      </c>
      <c r="L1190" s="5">
        <v>9105890</v>
      </c>
      <c r="M1190" s="5">
        <v>-9967100</v>
      </c>
      <c r="N1190" s="5">
        <v>-25622300</v>
      </c>
    </row>
    <row r="1191" spans="1:14" x14ac:dyDescent="0.25">
      <c r="A1191" s="3" t="s">
        <v>1202</v>
      </c>
      <c r="B1191" s="4">
        <v>0.1</v>
      </c>
      <c r="C1191" s="4">
        <v>0.93</v>
      </c>
      <c r="D1191" s="4">
        <v>0.85</v>
      </c>
      <c r="E1191" s="4">
        <v>-7.6297418167053637E-3</v>
      </c>
      <c r="F1191" s="3">
        <v>1189</v>
      </c>
      <c r="G1191" s="3">
        <v>1</v>
      </c>
      <c r="H1191" s="5">
        <v>2629.2523190000002</v>
      </c>
      <c r="I1191" s="5">
        <v>-75980.747680999979</v>
      </c>
      <c r="J1191" s="5">
        <v>282330</v>
      </c>
      <c r="K1191" s="5">
        <v>360940</v>
      </c>
      <c r="L1191" s="5">
        <v>0</v>
      </c>
      <c r="M1191" s="5">
        <v>-751290</v>
      </c>
      <c r="N1191" s="5">
        <v>10758560</v>
      </c>
    </row>
    <row r="1192" spans="1:14" x14ac:dyDescent="0.25">
      <c r="A1192" s="3" t="s">
        <v>1203</v>
      </c>
      <c r="B1192" s="4">
        <v>-4.68</v>
      </c>
      <c r="C1192" s="4">
        <v>-0.04</v>
      </c>
      <c r="D1192" s="4">
        <v>-0.03</v>
      </c>
      <c r="E1192" s="4">
        <v>-7.6437357127252838E-3</v>
      </c>
      <c r="F1192" s="3">
        <v>1190</v>
      </c>
      <c r="G1192" s="3">
        <v>1</v>
      </c>
      <c r="H1192" s="5">
        <v>583490.95819999999</v>
      </c>
      <c r="I1192" s="5">
        <v>807070.95819999999</v>
      </c>
      <c r="J1192" s="5">
        <v>252380</v>
      </c>
      <c r="K1192" s="5">
        <v>28800</v>
      </c>
      <c r="L1192" s="5">
        <v>0</v>
      </c>
      <c r="M1192" s="5">
        <v>-172610</v>
      </c>
      <c r="N1192" s="5">
        <v>-212620</v>
      </c>
    </row>
    <row r="1193" spans="1:14" x14ac:dyDescent="0.25">
      <c r="A1193" s="3" t="s">
        <v>1204</v>
      </c>
      <c r="B1193" s="4">
        <v>-10.06</v>
      </c>
      <c r="C1193" s="4">
        <v>-1.1599999999999999</v>
      </c>
      <c r="D1193" s="4">
        <v>-0.61</v>
      </c>
      <c r="E1193" s="4">
        <v>-7.6619105748122491E-3</v>
      </c>
      <c r="F1193" s="3">
        <v>1191</v>
      </c>
      <c r="G1193" s="3">
        <v>1</v>
      </c>
      <c r="H1193" s="5">
        <v>10957622.1073</v>
      </c>
      <c r="I1193" s="5">
        <v>10023622.1073</v>
      </c>
      <c r="J1193" s="5">
        <v>322000</v>
      </c>
      <c r="K1193" s="5">
        <v>1256000</v>
      </c>
      <c r="L1193" s="5">
        <v>108000</v>
      </c>
      <c r="M1193" s="5">
        <v>-996000</v>
      </c>
      <c r="N1193" s="5">
        <v>-985000</v>
      </c>
    </row>
    <row r="1194" spans="1:14" x14ac:dyDescent="0.25">
      <c r="A1194" s="3" t="s">
        <v>1205</v>
      </c>
      <c r="B1194" s="4">
        <v>-9.77</v>
      </c>
      <c r="C1194" s="4">
        <v>-1.1100000000000001</v>
      </c>
      <c r="D1194" s="4">
        <v>-0.43</v>
      </c>
      <c r="E1194" s="4">
        <v>-7.6622070265601003E-3</v>
      </c>
      <c r="F1194" s="3">
        <v>1192</v>
      </c>
      <c r="G1194" s="3">
        <v>1</v>
      </c>
      <c r="H1194" s="5">
        <v>1448947069.4400001</v>
      </c>
      <c r="I1194" s="5">
        <v>1524592069.4400001</v>
      </c>
      <c r="J1194" s="5">
        <v>132011000</v>
      </c>
      <c r="K1194" s="5">
        <v>56366000</v>
      </c>
      <c r="L1194" s="5">
        <v>0</v>
      </c>
      <c r="M1194" s="5">
        <v>-156122000</v>
      </c>
      <c r="N1194" s="5">
        <v>-138168000</v>
      </c>
    </row>
    <row r="1195" spans="1:14" x14ac:dyDescent="0.25">
      <c r="A1195" s="3" t="s">
        <v>1206</v>
      </c>
      <c r="B1195" s="4">
        <v>-3.55</v>
      </c>
      <c r="C1195" s="4">
        <v>1.6</v>
      </c>
      <c r="D1195" s="4">
        <v>-21.08</v>
      </c>
      <c r="E1195" s="4">
        <v>-7.6651653517737757E-3</v>
      </c>
      <c r="F1195" s="3">
        <v>1193</v>
      </c>
      <c r="G1195" s="3">
        <v>1</v>
      </c>
      <c r="H1195" s="5">
        <v>19960479.585000001</v>
      </c>
      <c r="I1195" s="5">
        <v>23146479.585000001</v>
      </c>
      <c r="J1195" s="5">
        <v>3500000</v>
      </c>
      <c r="K1195" s="5">
        <v>314000</v>
      </c>
      <c r="L1195" s="5">
        <v>0</v>
      </c>
      <c r="M1195" s="5">
        <v>-6517000</v>
      </c>
      <c r="N1195" s="5">
        <v>-6620000</v>
      </c>
    </row>
    <row r="1196" spans="1:14" x14ac:dyDescent="0.25">
      <c r="A1196" s="3" t="s">
        <v>1207</v>
      </c>
      <c r="B1196" s="4">
        <v>-6.42</v>
      </c>
      <c r="C1196" s="4">
        <v>-0.4</v>
      </c>
      <c r="D1196" s="4">
        <v>-0.36</v>
      </c>
      <c r="E1196" s="4">
        <v>-7.670641651011988E-3</v>
      </c>
      <c r="F1196" s="3">
        <v>1194</v>
      </c>
      <c r="G1196" s="3">
        <v>1</v>
      </c>
      <c r="H1196" s="5">
        <v>1994195050.98</v>
      </c>
      <c r="I1196" s="5">
        <v>1915183050.98</v>
      </c>
      <c r="J1196" s="5">
        <v>20582000</v>
      </c>
      <c r="K1196" s="5">
        <v>99594000</v>
      </c>
      <c r="L1196" s="5">
        <v>302000</v>
      </c>
      <c r="M1196" s="5">
        <v>-298495000</v>
      </c>
      <c r="N1196" s="5">
        <v>-269949000</v>
      </c>
    </row>
    <row r="1197" spans="1:14" x14ac:dyDescent="0.25">
      <c r="A1197" s="3" t="s">
        <v>1208</v>
      </c>
      <c r="B1197" s="4">
        <v>-7.52</v>
      </c>
      <c r="C1197" s="4">
        <v>-0.64</v>
      </c>
      <c r="D1197" s="4">
        <v>-0.4</v>
      </c>
      <c r="E1197" s="4">
        <v>-7.6909916989904813E-3</v>
      </c>
      <c r="F1197" s="3">
        <v>1195</v>
      </c>
      <c r="G1197" s="3">
        <v>1</v>
      </c>
      <c r="H1197" s="5">
        <v>28414391.129999999</v>
      </c>
      <c r="I1197" s="5">
        <v>27922001.129999999</v>
      </c>
      <c r="J1197" s="5">
        <v>653440</v>
      </c>
      <c r="K1197" s="5">
        <v>1145830</v>
      </c>
      <c r="L1197" s="5">
        <v>10886040</v>
      </c>
      <c r="M1197" s="5">
        <v>-3711490</v>
      </c>
      <c r="N1197" s="5">
        <v>-4335470</v>
      </c>
    </row>
    <row r="1198" spans="1:14" x14ac:dyDescent="0.25">
      <c r="A1198" s="3" t="s">
        <v>1209</v>
      </c>
      <c r="B1198" s="4">
        <v>-4.42</v>
      </c>
      <c r="C1198" s="4">
        <v>-0.01</v>
      </c>
      <c r="D1198" s="4">
        <v>-0.01</v>
      </c>
      <c r="E1198" s="4">
        <v>-7.7141161866509083E-3</v>
      </c>
      <c r="F1198" s="3">
        <v>1196</v>
      </c>
      <c r="G1198" s="3">
        <v>1</v>
      </c>
      <c r="H1198" s="5">
        <v>6553.9736999999996</v>
      </c>
      <c r="I1198" s="5">
        <v>5113323.9737</v>
      </c>
      <c r="J1198" s="5">
        <v>5154020</v>
      </c>
      <c r="K1198" s="5">
        <v>47250</v>
      </c>
      <c r="L1198" s="5">
        <v>111580</v>
      </c>
      <c r="M1198" s="5">
        <v>-1155920</v>
      </c>
      <c r="N1198" s="5">
        <v>-408770</v>
      </c>
    </row>
    <row r="1199" spans="1:14" x14ac:dyDescent="0.25">
      <c r="A1199" s="3" t="s">
        <v>1210</v>
      </c>
      <c r="B1199" s="4">
        <v>-0.23</v>
      </c>
      <c r="C1199" s="4">
        <v>1.01</v>
      </c>
      <c r="D1199" s="4">
        <v>-1.91</v>
      </c>
      <c r="E1199" s="4">
        <v>-7.7267605079777597E-3</v>
      </c>
      <c r="F1199" s="3">
        <v>1197</v>
      </c>
      <c r="G1199" s="3">
        <v>1</v>
      </c>
      <c r="H1199" s="5">
        <v>6228.6572999999999</v>
      </c>
      <c r="I1199" s="5">
        <v>241308.65729999999</v>
      </c>
      <c r="J1199" s="5">
        <v>235960</v>
      </c>
      <c r="K1199" s="5">
        <v>880</v>
      </c>
      <c r="L1199" s="5">
        <v>1481070</v>
      </c>
      <c r="M1199" s="5">
        <v>-1043430</v>
      </c>
      <c r="N1199" s="5">
        <v>-1196320</v>
      </c>
    </row>
    <row r="1200" spans="1:14" x14ac:dyDescent="0.25">
      <c r="A1200" s="3" t="s">
        <v>1211</v>
      </c>
      <c r="B1200" s="4">
        <v>-0.89</v>
      </c>
      <c r="C1200" s="4">
        <v>0.71</v>
      </c>
      <c r="D1200" s="4">
        <v>0.43</v>
      </c>
      <c r="E1200" s="4">
        <v>-7.7336889232680183E-3</v>
      </c>
      <c r="F1200" s="3">
        <v>1198</v>
      </c>
      <c r="G1200" s="3">
        <v>1</v>
      </c>
      <c r="H1200" s="5">
        <v>1354.04</v>
      </c>
      <c r="I1200" s="5">
        <v>-5326695.96</v>
      </c>
      <c r="J1200" s="5">
        <v>2978380</v>
      </c>
      <c r="K1200" s="5">
        <v>8306430</v>
      </c>
      <c r="L1200" s="5">
        <v>25475960</v>
      </c>
      <c r="M1200" s="5">
        <v>5979200</v>
      </c>
      <c r="N1200" s="5">
        <v>11461630</v>
      </c>
    </row>
    <row r="1201" spans="1:14" x14ac:dyDescent="0.25">
      <c r="A1201" s="3" t="s">
        <v>1212</v>
      </c>
      <c r="B1201" s="4">
        <v>-6.58</v>
      </c>
      <c r="C1201" s="4">
        <v>-0.47</v>
      </c>
      <c r="D1201" s="4">
        <v>-0.19</v>
      </c>
      <c r="E1201" s="4">
        <v>-7.7410761571423559E-3</v>
      </c>
      <c r="F1201" s="3">
        <v>1199</v>
      </c>
      <c r="G1201" s="3">
        <v>1</v>
      </c>
      <c r="H1201" s="5">
        <v>54214398</v>
      </c>
      <c r="I1201" s="5">
        <v>203766398</v>
      </c>
      <c r="J1201" s="5">
        <v>235675000</v>
      </c>
      <c r="K1201" s="5">
        <v>86123000</v>
      </c>
      <c r="L1201" s="5">
        <v>50015000</v>
      </c>
      <c r="M1201" s="5">
        <v>-30983000</v>
      </c>
      <c r="N1201" s="5">
        <v>-179721000</v>
      </c>
    </row>
    <row r="1202" spans="1:14" x14ac:dyDescent="0.25">
      <c r="A1202" s="3" t="s">
        <v>1213</v>
      </c>
      <c r="B1202" s="4">
        <v>-7.41</v>
      </c>
      <c r="C1202" s="4">
        <v>-0.63</v>
      </c>
      <c r="D1202" s="4">
        <v>-0.46</v>
      </c>
      <c r="E1202" s="4">
        <v>-7.7417535141089122E-3</v>
      </c>
      <c r="F1202" s="3">
        <v>1200</v>
      </c>
      <c r="G1202" s="3">
        <v>1</v>
      </c>
      <c r="H1202" s="5">
        <v>60918659.549999997</v>
      </c>
      <c r="I1202" s="5">
        <v>52047859.549999997</v>
      </c>
      <c r="J1202" s="5">
        <v>0</v>
      </c>
      <c r="K1202" s="5">
        <v>8870800</v>
      </c>
      <c r="L1202" s="5">
        <v>36184000</v>
      </c>
      <c r="M1202" s="5">
        <v>-7019400</v>
      </c>
      <c r="N1202" s="5">
        <v>-8883400</v>
      </c>
    </row>
    <row r="1203" spans="1:14" x14ac:dyDescent="0.25">
      <c r="A1203" s="3" t="s">
        <v>1214</v>
      </c>
      <c r="B1203" s="4">
        <v>8.65</v>
      </c>
      <c r="C1203" s="4">
        <v>2.78</v>
      </c>
      <c r="D1203" s="4">
        <v>-0.04</v>
      </c>
      <c r="E1203" s="4">
        <v>-7.7478787554298711E-3</v>
      </c>
      <c r="F1203" s="3">
        <v>1201</v>
      </c>
      <c r="G1203" s="3">
        <v>1</v>
      </c>
      <c r="H1203" s="5">
        <v>2080.8955000000001</v>
      </c>
      <c r="I1203" s="5">
        <v>982585080.89549994</v>
      </c>
      <c r="J1203" s="5">
        <v>989319000</v>
      </c>
      <c r="K1203" s="5">
        <v>6736000</v>
      </c>
      <c r="L1203" s="5">
        <v>2674351000</v>
      </c>
      <c r="M1203" s="5">
        <v>113646000</v>
      </c>
      <c r="N1203" s="5">
        <v>-63419000</v>
      </c>
    </row>
    <row r="1204" spans="1:14" x14ac:dyDescent="0.25">
      <c r="A1204" s="3" t="s">
        <v>1215</v>
      </c>
      <c r="B1204" s="4">
        <v>-6.44</v>
      </c>
      <c r="C1204" s="4">
        <v>-0.44</v>
      </c>
      <c r="D1204" s="4">
        <v>-0.23</v>
      </c>
      <c r="E1204" s="4">
        <v>-7.7487603221680877E-3</v>
      </c>
      <c r="F1204" s="3">
        <v>1202</v>
      </c>
      <c r="G1204" s="3">
        <v>1</v>
      </c>
      <c r="H1204" s="5">
        <v>1455190086.21</v>
      </c>
      <c r="I1204" s="5">
        <v>1307864086.21</v>
      </c>
      <c r="J1204" s="5">
        <v>0</v>
      </c>
      <c r="K1204" s="5">
        <v>147326000</v>
      </c>
      <c r="L1204" s="5">
        <v>207539000</v>
      </c>
      <c r="M1204" s="5">
        <v>-203137000</v>
      </c>
      <c r="N1204" s="5">
        <v>-187123000</v>
      </c>
    </row>
    <row r="1205" spans="1:14" x14ac:dyDescent="0.25">
      <c r="A1205" s="3" t="s">
        <v>1216</v>
      </c>
      <c r="B1205" s="4">
        <v>-0.24</v>
      </c>
      <c r="C1205" s="4">
        <v>0.82</v>
      </c>
      <c r="D1205" s="4">
        <v>0.74</v>
      </c>
      <c r="E1205" s="4">
        <v>-7.7583577925163308E-3</v>
      </c>
      <c r="F1205" s="3">
        <v>1203</v>
      </c>
      <c r="G1205" s="3">
        <v>1</v>
      </c>
      <c r="H1205" s="5">
        <v>2000</v>
      </c>
      <c r="I1205" s="5">
        <v>-148270</v>
      </c>
      <c r="J1205" s="5">
        <v>0</v>
      </c>
      <c r="K1205" s="5">
        <v>150270</v>
      </c>
      <c r="L1205" s="5">
        <v>1079540</v>
      </c>
      <c r="M1205" s="5">
        <v>621350</v>
      </c>
      <c r="N1205" s="5">
        <v>621040</v>
      </c>
    </row>
    <row r="1206" spans="1:14" x14ac:dyDescent="0.25">
      <c r="A1206" s="3" t="s">
        <v>1217</v>
      </c>
      <c r="B1206" s="4">
        <v>-6.08</v>
      </c>
      <c r="C1206" s="4">
        <v>-0.37</v>
      </c>
      <c r="D1206" s="4">
        <v>-0.3</v>
      </c>
      <c r="E1206" s="4">
        <v>-7.7828196642042106E-3</v>
      </c>
      <c r="F1206" s="3">
        <v>1204</v>
      </c>
      <c r="G1206" s="3">
        <v>1</v>
      </c>
      <c r="H1206" s="5">
        <v>91095234.900000006</v>
      </c>
      <c r="I1206" s="5">
        <v>71606234.900000006</v>
      </c>
      <c r="J1206" s="5">
        <v>0</v>
      </c>
      <c r="K1206" s="5">
        <v>19489000</v>
      </c>
      <c r="L1206" s="5">
        <v>11538000</v>
      </c>
      <c r="M1206" s="5">
        <v>-11781000</v>
      </c>
      <c r="N1206" s="5">
        <v>-10580000</v>
      </c>
    </row>
    <row r="1207" spans="1:14" x14ac:dyDescent="0.25">
      <c r="A1207" s="3" t="s">
        <v>1218</v>
      </c>
      <c r="B1207" s="4">
        <v>-7.61</v>
      </c>
      <c r="C1207" s="4">
        <v>-0.69</v>
      </c>
      <c r="D1207" s="4">
        <v>-0.42</v>
      </c>
      <c r="E1207" s="4">
        <v>-7.7836149359440856E-3</v>
      </c>
      <c r="F1207" s="3">
        <v>1205</v>
      </c>
      <c r="G1207" s="3">
        <v>1</v>
      </c>
      <c r="H1207" s="5">
        <v>22073714.239999998</v>
      </c>
      <c r="I1207" s="5">
        <v>19582714.239999998</v>
      </c>
      <c r="J1207" s="5">
        <v>236000</v>
      </c>
      <c r="K1207" s="5">
        <v>2727000</v>
      </c>
      <c r="L1207" s="5">
        <v>8445000</v>
      </c>
      <c r="M1207" s="5">
        <v>-2573000</v>
      </c>
      <c r="N1207" s="5">
        <v>-2720000</v>
      </c>
    </row>
    <row r="1208" spans="1:14" x14ac:dyDescent="0.25">
      <c r="A1208" s="3" t="s">
        <v>1219</v>
      </c>
      <c r="B1208" s="4">
        <v>-4.0199999999999996</v>
      </c>
      <c r="C1208" s="4">
        <v>0.06</v>
      </c>
      <c r="D1208" s="4">
        <v>-0.14000000000000001</v>
      </c>
      <c r="E1208" s="4">
        <v>-7.7845065109403803E-3</v>
      </c>
      <c r="F1208" s="3">
        <v>1206</v>
      </c>
      <c r="G1208" s="3">
        <v>1</v>
      </c>
      <c r="H1208" s="5">
        <v>794562644.70000005</v>
      </c>
      <c r="I1208" s="5">
        <v>695545644.70000005</v>
      </c>
      <c r="J1208" s="5">
        <v>103000</v>
      </c>
      <c r="K1208" s="5">
        <v>99120000</v>
      </c>
      <c r="L1208" s="5">
        <v>76000</v>
      </c>
      <c r="M1208" s="5">
        <v>-172920000</v>
      </c>
      <c r="N1208" s="5">
        <v>-61186000</v>
      </c>
    </row>
    <row r="1209" spans="1:14" x14ac:dyDescent="0.25">
      <c r="A1209" s="3" t="s">
        <v>1220</v>
      </c>
      <c r="B1209" s="4">
        <v>-2.14</v>
      </c>
      <c r="C1209" s="4">
        <v>0.63</v>
      </c>
      <c r="D1209" s="4">
        <v>-2.73</v>
      </c>
      <c r="E1209" s="4">
        <v>-7.8007594657408513E-3</v>
      </c>
      <c r="F1209" s="3">
        <v>1207</v>
      </c>
      <c r="G1209" s="3">
        <v>1</v>
      </c>
      <c r="H1209" s="5">
        <v>2487534.6800000002</v>
      </c>
      <c r="I1209" s="5">
        <v>55133534.68</v>
      </c>
      <c r="J1209" s="5">
        <v>52752000</v>
      </c>
      <c r="K1209" s="5">
        <v>106000</v>
      </c>
      <c r="L1209" s="5">
        <v>0</v>
      </c>
      <c r="M1209" s="5">
        <v>-25766000</v>
      </c>
      <c r="N1209" s="5">
        <v>-44286000</v>
      </c>
    </row>
    <row r="1210" spans="1:14" x14ac:dyDescent="0.25">
      <c r="A1210" s="3" t="s">
        <v>1221</v>
      </c>
      <c r="B1210" s="4">
        <v>7.95</v>
      </c>
      <c r="C1210" s="4">
        <v>2.61</v>
      </c>
      <c r="D1210" s="4">
        <v>-0.04</v>
      </c>
      <c r="E1210" s="4">
        <v>-7.8058256758802404E-3</v>
      </c>
      <c r="F1210" s="3">
        <v>1208</v>
      </c>
      <c r="G1210" s="3">
        <v>1</v>
      </c>
      <c r="H1210" s="5">
        <v>25051868</v>
      </c>
      <c r="I1210" s="5">
        <v>461396868</v>
      </c>
      <c r="J1210" s="5">
        <v>445943000</v>
      </c>
      <c r="K1210" s="5">
        <v>9598000</v>
      </c>
      <c r="L1210" s="5">
        <v>611380000</v>
      </c>
      <c r="M1210" s="5">
        <v>58036000</v>
      </c>
      <c r="N1210" s="5">
        <v>-25845000</v>
      </c>
    </row>
    <row r="1211" spans="1:14" x14ac:dyDescent="0.25">
      <c r="A1211" s="3" t="s">
        <v>1222</v>
      </c>
      <c r="B1211" s="4">
        <v>-6.44</v>
      </c>
      <c r="C1211" s="4">
        <v>-0.46</v>
      </c>
      <c r="D1211" s="4">
        <v>-0.25</v>
      </c>
      <c r="E1211" s="4">
        <v>-7.8104055893520163E-3</v>
      </c>
      <c r="F1211" s="3">
        <v>1209</v>
      </c>
      <c r="G1211" s="3">
        <v>1</v>
      </c>
      <c r="H1211" s="5">
        <v>128610700.68000001</v>
      </c>
      <c r="I1211" s="5">
        <v>132410700.68000001</v>
      </c>
      <c r="J1211" s="5">
        <v>3800110</v>
      </c>
      <c r="K1211" s="5">
        <v>110</v>
      </c>
      <c r="L1211" s="5">
        <v>0</v>
      </c>
      <c r="M1211" s="5">
        <v>-20572750</v>
      </c>
      <c r="N1211" s="5">
        <v>-21148750</v>
      </c>
    </row>
    <row r="1212" spans="1:14" x14ac:dyDescent="0.25">
      <c r="A1212" s="3" t="s">
        <v>1223</v>
      </c>
      <c r="B1212" s="4">
        <v>-2.4300000000000002</v>
      </c>
      <c r="C1212" s="4">
        <v>0.41</v>
      </c>
      <c r="D1212" s="4">
        <v>-0.46</v>
      </c>
      <c r="E1212" s="4">
        <v>-7.8190428217498539E-3</v>
      </c>
      <c r="F1212" s="3">
        <v>1210</v>
      </c>
      <c r="G1212" s="3">
        <v>1</v>
      </c>
      <c r="H1212" s="5">
        <v>91392695.359999999</v>
      </c>
      <c r="I1212" s="5">
        <v>289789695.36000001</v>
      </c>
      <c r="J1212" s="5">
        <v>260873000</v>
      </c>
      <c r="K1212" s="5">
        <v>62476000</v>
      </c>
      <c r="L1212" s="5">
        <v>145237000</v>
      </c>
      <c r="M1212" s="5">
        <v>-119103000</v>
      </c>
      <c r="N1212" s="5">
        <v>-76422000</v>
      </c>
    </row>
    <row r="1213" spans="1:14" x14ac:dyDescent="0.25">
      <c r="A1213" s="3" t="s">
        <v>1224</v>
      </c>
      <c r="B1213" s="4">
        <v>-5.62</v>
      </c>
      <c r="C1213" s="4">
        <v>-0.28999999999999998</v>
      </c>
      <c r="D1213" s="4">
        <v>-0.22</v>
      </c>
      <c r="E1213" s="4">
        <v>-7.8209420575340617E-3</v>
      </c>
      <c r="F1213" s="3">
        <v>1211</v>
      </c>
      <c r="G1213" s="3">
        <v>1</v>
      </c>
      <c r="H1213" s="5">
        <v>3762205.38</v>
      </c>
      <c r="I1213" s="5">
        <v>3322205.38</v>
      </c>
      <c r="J1213" s="5">
        <v>22000</v>
      </c>
      <c r="K1213" s="5">
        <v>462000</v>
      </c>
      <c r="L1213" s="5">
        <v>8820000</v>
      </c>
      <c r="M1213" s="5">
        <v>-591000</v>
      </c>
      <c r="N1213" s="5">
        <v>-860000</v>
      </c>
    </row>
    <row r="1214" spans="1:14" x14ac:dyDescent="0.25">
      <c r="A1214" s="3" t="s">
        <v>1225</v>
      </c>
      <c r="B1214" s="4">
        <v>-1.69</v>
      </c>
      <c r="C1214" s="4">
        <v>0.64</v>
      </c>
      <c r="D1214" s="4">
        <v>-1.55</v>
      </c>
      <c r="E1214" s="4">
        <v>-7.8227549789491868E-3</v>
      </c>
      <c r="F1214" s="3">
        <v>1212</v>
      </c>
      <c r="G1214" s="3">
        <v>1</v>
      </c>
      <c r="H1214" s="5">
        <v>36543049.859999999</v>
      </c>
      <c r="I1214" s="5">
        <v>109197049.86</v>
      </c>
      <c r="J1214" s="5">
        <v>102508000</v>
      </c>
      <c r="K1214" s="5">
        <v>29854000</v>
      </c>
      <c r="L1214" s="5">
        <v>2266000</v>
      </c>
      <c r="M1214" s="5">
        <v>-64495000</v>
      </c>
      <c r="N1214" s="5">
        <v>-59599000</v>
      </c>
    </row>
    <row r="1215" spans="1:14" x14ac:dyDescent="0.25">
      <c r="A1215" s="3" t="s">
        <v>1226</v>
      </c>
      <c r="B1215" s="4">
        <v>-4.78</v>
      </c>
      <c r="C1215" s="4">
        <v>-0.12</v>
      </c>
      <c r="D1215" s="4">
        <v>-0.09</v>
      </c>
      <c r="E1215" s="4">
        <v>-7.8245666713352043E-3</v>
      </c>
      <c r="F1215" s="3">
        <v>1213</v>
      </c>
      <c r="G1215" s="3">
        <v>1</v>
      </c>
      <c r="H1215" s="5">
        <v>3148772.4405999999</v>
      </c>
      <c r="I1215" s="5">
        <v>14383922.4406</v>
      </c>
      <c r="J1215" s="5">
        <v>14707310</v>
      </c>
      <c r="K1215" s="5">
        <v>3472160</v>
      </c>
      <c r="L1215" s="5">
        <v>21134430</v>
      </c>
      <c r="M1215" s="5">
        <v>-3010410</v>
      </c>
      <c r="N1215" s="5">
        <v>-7284790</v>
      </c>
    </row>
    <row r="1216" spans="1:14" x14ac:dyDescent="0.25">
      <c r="A1216" s="3" t="s">
        <v>1227</v>
      </c>
      <c r="B1216" s="4">
        <v>-0.55000000000000004</v>
      </c>
      <c r="C1216" s="4">
        <v>1.1100000000000001</v>
      </c>
      <c r="D1216" s="4">
        <v>-5.01</v>
      </c>
      <c r="E1216" s="4">
        <v>-7.8377680945535197E-3</v>
      </c>
      <c r="F1216" s="3">
        <v>1214</v>
      </c>
      <c r="G1216" s="3">
        <v>1</v>
      </c>
      <c r="H1216" s="5">
        <v>3192</v>
      </c>
      <c r="I1216" s="5">
        <v>30882</v>
      </c>
      <c r="J1216" s="5">
        <v>31000</v>
      </c>
      <c r="K1216" s="5">
        <v>3310</v>
      </c>
      <c r="L1216" s="5">
        <v>0</v>
      </c>
      <c r="M1216" s="5">
        <v>-56300</v>
      </c>
      <c r="N1216" s="5">
        <v>-58710</v>
      </c>
    </row>
    <row r="1217" spans="1:14" x14ac:dyDescent="0.25">
      <c r="A1217" s="3" t="s">
        <v>1228</v>
      </c>
      <c r="B1217" s="4">
        <v>-4.41</v>
      </c>
      <c r="C1217" s="4">
        <v>-0.05</v>
      </c>
      <c r="D1217" s="4">
        <v>-0.02</v>
      </c>
      <c r="E1217" s="4">
        <v>-7.8378088469833254E-3</v>
      </c>
      <c r="F1217" s="3">
        <v>1215</v>
      </c>
      <c r="G1217" s="3">
        <v>1</v>
      </c>
      <c r="H1217" s="5">
        <v>5303.2322000000004</v>
      </c>
      <c r="I1217" s="5">
        <v>13756303.2322</v>
      </c>
      <c r="J1217" s="5">
        <v>25816000</v>
      </c>
      <c r="K1217" s="5">
        <v>12065000</v>
      </c>
      <c r="L1217" s="5">
        <v>116399000</v>
      </c>
      <c r="M1217" s="5">
        <v>-3119000</v>
      </c>
      <c r="N1217" s="5">
        <v>-3396000</v>
      </c>
    </row>
    <row r="1218" spans="1:14" x14ac:dyDescent="0.25">
      <c r="A1218" s="3" t="s">
        <v>1229</v>
      </c>
      <c r="B1218" s="4">
        <v>-3.18</v>
      </c>
      <c r="C1218" s="4">
        <v>0.23</v>
      </c>
      <c r="D1218" s="4">
        <v>-0.32</v>
      </c>
      <c r="E1218" s="4">
        <v>-7.8479309486442043E-3</v>
      </c>
      <c r="F1218" s="3">
        <v>1216</v>
      </c>
      <c r="G1218" s="3">
        <v>1</v>
      </c>
      <c r="H1218" s="5">
        <v>3808626.64</v>
      </c>
      <c r="I1218" s="5">
        <v>12925626.640000001</v>
      </c>
      <c r="J1218" s="5">
        <v>11056000</v>
      </c>
      <c r="K1218" s="5">
        <v>1939000</v>
      </c>
      <c r="L1218" s="5">
        <v>62864000</v>
      </c>
      <c r="M1218" s="5">
        <v>-4064000</v>
      </c>
      <c r="N1218" s="5">
        <v>-8676000</v>
      </c>
    </row>
    <row r="1219" spans="1:14" x14ac:dyDescent="0.25">
      <c r="A1219" s="3" t="s">
        <v>1230</v>
      </c>
      <c r="B1219" s="4">
        <v>-5.12</v>
      </c>
      <c r="C1219" s="4">
        <v>-0.2</v>
      </c>
      <c r="D1219" s="4">
        <v>-0.11</v>
      </c>
      <c r="E1219" s="4">
        <v>-7.8491405869052493E-3</v>
      </c>
      <c r="F1219" s="3">
        <v>1217</v>
      </c>
      <c r="G1219" s="3">
        <v>1</v>
      </c>
      <c r="H1219" s="5">
        <v>61.701497000000003</v>
      </c>
      <c r="I1219" s="5">
        <v>5350941.7014969997</v>
      </c>
      <c r="J1219" s="5">
        <v>5399700</v>
      </c>
      <c r="K1219" s="5">
        <v>48820</v>
      </c>
      <c r="L1219" s="5">
        <v>3954150</v>
      </c>
      <c r="M1219" s="5">
        <v>-1045180</v>
      </c>
      <c r="N1219" s="5">
        <v>-3130890</v>
      </c>
    </row>
    <row r="1220" spans="1:14" x14ac:dyDescent="0.25">
      <c r="A1220" s="3" t="s">
        <v>1231</v>
      </c>
      <c r="B1220" s="4">
        <v>-4.4400000000000004</v>
      </c>
      <c r="C1220" s="4">
        <v>-0.06</v>
      </c>
      <c r="D1220" s="4">
        <v>-0.05</v>
      </c>
      <c r="E1220" s="4">
        <v>-7.8539219166390666E-3</v>
      </c>
      <c r="F1220" s="3">
        <v>1218</v>
      </c>
      <c r="G1220" s="3">
        <v>1</v>
      </c>
      <c r="H1220" s="5">
        <v>12375769.68</v>
      </c>
      <c r="I1220" s="5">
        <v>5608409.6799999997</v>
      </c>
      <c r="J1220" s="5">
        <v>0</v>
      </c>
      <c r="K1220" s="5">
        <v>6767360</v>
      </c>
      <c r="L1220" s="5">
        <v>9509280</v>
      </c>
      <c r="M1220" s="5">
        <v>-1264280</v>
      </c>
      <c r="N1220" s="5">
        <v>-777620</v>
      </c>
    </row>
    <row r="1221" spans="1:14" x14ac:dyDescent="0.25">
      <c r="A1221" s="3" t="s">
        <v>1232</v>
      </c>
      <c r="B1221" s="4">
        <v>-3.89</v>
      </c>
      <c r="C1221" s="4">
        <v>0.05</v>
      </c>
      <c r="D1221" s="4">
        <v>0.04</v>
      </c>
      <c r="E1221" s="4">
        <v>-7.8591373136217349E-3</v>
      </c>
      <c r="F1221" s="3">
        <v>1219</v>
      </c>
      <c r="G1221" s="3">
        <v>1</v>
      </c>
      <c r="H1221" s="5">
        <v>739213040.75999999</v>
      </c>
      <c r="I1221" s="5">
        <v>-3083125959.2399998</v>
      </c>
      <c r="J1221" s="5">
        <v>0</v>
      </c>
      <c r="K1221" s="5">
        <v>3822339000</v>
      </c>
      <c r="L1221" s="5">
        <v>2600982000</v>
      </c>
      <c r="M1221" s="5">
        <v>791572000</v>
      </c>
      <c r="N1221" s="5">
        <v>475445000</v>
      </c>
    </row>
    <row r="1222" spans="1:14" x14ac:dyDescent="0.25">
      <c r="A1222" s="3" t="s">
        <v>1233</v>
      </c>
      <c r="B1222" s="4">
        <v>-0.82</v>
      </c>
      <c r="C1222" s="4">
        <v>0.85</v>
      </c>
      <c r="D1222" s="4">
        <v>-2.15</v>
      </c>
      <c r="E1222" s="4">
        <v>-7.8701917219416578E-3</v>
      </c>
      <c r="F1222" s="3">
        <v>1220</v>
      </c>
      <c r="G1222" s="3">
        <v>1</v>
      </c>
      <c r="H1222" s="5">
        <v>405569.41840000002</v>
      </c>
      <c r="I1222" s="5">
        <v>2114649.4183999998</v>
      </c>
      <c r="J1222" s="5">
        <v>1853250</v>
      </c>
      <c r="K1222" s="5">
        <v>144170</v>
      </c>
      <c r="L1222" s="5">
        <v>4297120</v>
      </c>
      <c r="M1222" s="5">
        <v>-2587560</v>
      </c>
      <c r="N1222" s="5">
        <v>-5298200</v>
      </c>
    </row>
    <row r="1223" spans="1:14" x14ac:dyDescent="0.25">
      <c r="A1223" s="3" t="s">
        <v>1234</v>
      </c>
      <c r="B1223" s="4">
        <v>-0.12</v>
      </c>
      <c r="C1223" s="4">
        <v>2.4900000000000002</v>
      </c>
      <c r="D1223" s="4">
        <v>-24.6</v>
      </c>
      <c r="E1223" s="4">
        <v>-7.8955492368666461E-3</v>
      </c>
      <c r="F1223" s="3">
        <v>1221</v>
      </c>
      <c r="G1223" s="3">
        <v>1</v>
      </c>
      <c r="H1223" s="5">
        <v>29674.818299999999</v>
      </c>
      <c r="I1223" s="5">
        <v>22174.818299999999</v>
      </c>
      <c r="J1223" s="5">
        <v>0</v>
      </c>
      <c r="K1223" s="5">
        <v>7500</v>
      </c>
      <c r="L1223" s="5">
        <v>488660</v>
      </c>
      <c r="M1223" s="5">
        <v>-184470</v>
      </c>
      <c r="N1223" s="5">
        <v>-184470</v>
      </c>
    </row>
    <row r="1224" spans="1:14" x14ac:dyDescent="0.25">
      <c r="A1224" s="3" t="s">
        <v>1235</v>
      </c>
      <c r="B1224" s="4">
        <v>-1.04</v>
      </c>
      <c r="C1224" s="4">
        <v>1.01</v>
      </c>
      <c r="D1224" s="4">
        <v>-5.4</v>
      </c>
      <c r="E1224" s="4">
        <v>-7.8986651220640369E-3</v>
      </c>
      <c r="F1224" s="3">
        <v>1222</v>
      </c>
      <c r="G1224" s="3">
        <v>1</v>
      </c>
      <c r="H1224" s="5">
        <v>11099.674199999999</v>
      </c>
      <c r="I1224" s="5">
        <v>26349909.674199998</v>
      </c>
      <c r="J1224" s="5">
        <v>27836180</v>
      </c>
      <c r="K1224" s="5">
        <v>1497370</v>
      </c>
      <c r="L1224" s="5">
        <v>9008240</v>
      </c>
      <c r="M1224" s="5">
        <v>-25380470</v>
      </c>
      <c r="N1224" s="5">
        <v>-28918810</v>
      </c>
    </row>
    <row r="1225" spans="1:14" x14ac:dyDescent="0.25">
      <c r="A1225" s="3" t="s">
        <v>1236</v>
      </c>
      <c r="B1225" s="4">
        <v>-6.24</v>
      </c>
      <c r="C1225" s="4">
        <v>-0.45</v>
      </c>
      <c r="D1225" s="4">
        <v>-0.22</v>
      </c>
      <c r="E1225" s="4">
        <v>-7.8995090165465895E-3</v>
      </c>
      <c r="F1225" s="3">
        <v>1223</v>
      </c>
      <c r="G1225" s="3">
        <v>1</v>
      </c>
      <c r="H1225" s="5">
        <v>344407593.11000001</v>
      </c>
      <c r="I1225" s="5">
        <v>313559593.11000001</v>
      </c>
      <c r="J1225" s="5">
        <v>5427000</v>
      </c>
      <c r="K1225" s="5">
        <v>36275000</v>
      </c>
      <c r="L1225" s="5">
        <v>27309000</v>
      </c>
      <c r="M1225" s="5">
        <v>-50216000</v>
      </c>
      <c r="N1225" s="5">
        <v>-50916000</v>
      </c>
    </row>
    <row r="1226" spans="1:14" x14ac:dyDescent="0.25">
      <c r="A1226" s="3" t="s">
        <v>1237</v>
      </c>
      <c r="B1226" s="4">
        <v>-6</v>
      </c>
      <c r="C1226" s="4">
        <v>-0.4</v>
      </c>
      <c r="D1226" s="4">
        <v>-0.21</v>
      </c>
      <c r="E1226" s="4">
        <v>-7.901652891626653E-3</v>
      </c>
      <c r="F1226" s="3">
        <v>1224</v>
      </c>
      <c r="G1226" s="3">
        <v>1</v>
      </c>
      <c r="H1226" s="5">
        <v>88582791.620000005</v>
      </c>
      <c r="I1226" s="5">
        <v>70809771.620000005</v>
      </c>
      <c r="J1226" s="5">
        <v>9000880</v>
      </c>
      <c r="K1226" s="5">
        <v>26773900</v>
      </c>
      <c r="L1226" s="5">
        <v>42203660</v>
      </c>
      <c r="M1226" s="5">
        <v>-11798010</v>
      </c>
      <c r="N1226" s="5">
        <v>-11940540</v>
      </c>
    </row>
    <row r="1227" spans="1:14" x14ac:dyDescent="0.25">
      <c r="A1227" s="3" t="s">
        <v>1238</v>
      </c>
      <c r="B1227" s="4">
        <v>-0.87</v>
      </c>
      <c r="C1227" s="4">
        <v>0.92</v>
      </c>
      <c r="D1227" s="4">
        <v>-3.53</v>
      </c>
      <c r="E1227" s="4">
        <v>-7.9031961120508767E-3</v>
      </c>
      <c r="F1227" s="3">
        <v>1225</v>
      </c>
      <c r="G1227" s="3">
        <v>1</v>
      </c>
      <c r="H1227" s="5">
        <v>333929.42920000001</v>
      </c>
      <c r="I1227" s="5">
        <v>1789829.4291999999</v>
      </c>
      <c r="J1227" s="5">
        <v>1543600</v>
      </c>
      <c r="K1227" s="5">
        <v>87700</v>
      </c>
      <c r="L1227" s="5">
        <v>1348810</v>
      </c>
      <c r="M1227" s="5">
        <v>-2060380</v>
      </c>
      <c r="N1227" s="5">
        <v>-2641250</v>
      </c>
    </row>
    <row r="1228" spans="1:14" x14ac:dyDescent="0.25">
      <c r="A1228" s="3" t="s">
        <v>1239</v>
      </c>
      <c r="B1228" s="4">
        <v>-0.67</v>
      </c>
      <c r="C1228" s="4">
        <v>0.7</v>
      </c>
      <c r="D1228" s="4">
        <v>0.38</v>
      </c>
      <c r="E1228" s="4">
        <v>-7.9083901885057054E-3</v>
      </c>
      <c r="F1228" s="3">
        <v>1226</v>
      </c>
      <c r="G1228" s="3">
        <v>1</v>
      </c>
      <c r="H1228" s="5">
        <v>2777109865.96</v>
      </c>
      <c r="I1228" s="5">
        <v>-1977673134.04</v>
      </c>
      <c r="J1228" s="5">
        <v>0</v>
      </c>
      <c r="K1228" s="5">
        <v>4754783000</v>
      </c>
      <c r="L1228" s="5">
        <v>12405582000</v>
      </c>
      <c r="M1228" s="5">
        <v>2947503000</v>
      </c>
      <c r="N1228" s="5">
        <v>2516114000</v>
      </c>
    </row>
    <row r="1229" spans="1:14" x14ac:dyDescent="0.25">
      <c r="A1229" s="3" t="s">
        <v>1240</v>
      </c>
      <c r="B1229" s="4">
        <v>-4.4800000000000004</v>
      </c>
      <c r="C1229" s="4">
        <v>-0.09</v>
      </c>
      <c r="D1229" s="4">
        <v>-0.02</v>
      </c>
      <c r="E1229" s="4">
        <v>-7.9100588351616145E-3</v>
      </c>
      <c r="F1229" s="3">
        <v>1227</v>
      </c>
      <c r="G1229" s="3">
        <v>1</v>
      </c>
      <c r="H1229" s="5">
        <v>220985190.06999999</v>
      </c>
      <c r="I1229" s="5">
        <v>45173190.069999993</v>
      </c>
      <c r="J1229" s="5">
        <v>240719000</v>
      </c>
      <c r="K1229" s="5">
        <v>416531000</v>
      </c>
      <c r="L1229" s="5">
        <v>325068000</v>
      </c>
      <c r="M1229" s="5">
        <v>-10076000</v>
      </c>
      <c r="N1229" s="5">
        <v>-15571000</v>
      </c>
    </row>
    <row r="1230" spans="1:14" x14ac:dyDescent="0.25">
      <c r="A1230" s="3" t="s">
        <v>1241</v>
      </c>
      <c r="B1230" s="4">
        <v>-0.73</v>
      </c>
      <c r="C1230" s="4">
        <v>0.76</v>
      </c>
      <c r="D1230" s="4">
        <v>-0.74</v>
      </c>
      <c r="E1230" s="4">
        <v>-7.9139442889171532E-3</v>
      </c>
      <c r="F1230" s="3">
        <v>1228</v>
      </c>
      <c r="G1230" s="3">
        <v>1</v>
      </c>
      <c r="H1230" s="5">
        <v>293.51928099999998</v>
      </c>
      <c r="I1230" s="5">
        <v>40172293.519281</v>
      </c>
      <c r="J1230" s="5">
        <v>55315000</v>
      </c>
      <c r="K1230" s="5">
        <v>15143000</v>
      </c>
      <c r="L1230" s="5">
        <v>26135000</v>
      </c>
      <c r="M1230" s="5">
        <v>-54726000</v>
      </c>
      <c r="N1230" s="5">
        <v>-34480000</v>
      </c>
    </row>
    <row r="1231" spans="1:14" x14ac:dyDescent="0.25">
      <c r="A1231" s="3" t="s">
        <v>1242</v>
      </c>
      <c r="B1231" s="4">
        <v>7.06</v>
      </c>
      <c r="C1231" s="4">
        <v>2.38</v>
      </c>
      <c r="D1231" s="4">
        <v>-0.05</v>
      </c>
      <c r="E1231" s="4">
        <v>-7.9214683567503871E-3</v>
      </c>
      <c r="F1231" s="3">
        <v>1229</v>
      </c>
      <c r="G1231" s="3">
        <v>1</v>
      </c>
      <c r="H1231" s="5">
        <v>1661864634</v>
      </c>
      <c r="I1231" s="5">
        <v>3011264634</v>
      </c>
      <c r="J1231" s="5">
        <v>1605800000</v>
      </c>
      <c r="K1231" s="5">
        <v>256400000</v>
      </c>
      <c r="L1231" s="5">
        <v>1478400000</v>
      </c>
      <c r="M1231" s="5">
        <v>426500000</v>
      </c>
      <c r="N1231" s="5">
        <v>-114400000</v>
      </c>
    </row>
    <row r="1232" spans="1:14" x14ac:dyDescent="0.25">
      <c r="A1232" s="3" t="s">
        <v>1243</v>
      </c>
      <c r="B1232" s="4">
        <v>-3.88</v>
      </c>
      <c r="C1232" s="4">
        <v>0.03</v>
      </c>
      <c r="D1232" s="4">
        <v>0.03</v>
      </c>
      <c r="E1232" s="4">
        <v>-7.9250427599252375E-3</v>
      </c>
      <c r="F1232" s="3">
        <v>1230</v>
      </c>
      <c r="G1232" s="3">
        <v>1</v>
      </c>
      <c r="H1232" s="5">
        <v>9921095.5800000001</v>
      </c>
      <c r="I1232" s="5">
        <v>5067725.58</v>
      </c>
      <c r="J1232" s="5">
        <v>0</v>
      </c>
      <c r="K1232" s="5">
        <v>4853370</v>
      </c>
      <c r="L1232" s="5">
        <v>47145180</v>
      </c>
      <c r="M1232" s="5">
        <v>-1307250</v>
      </c>
      <c r="N1232" s="5">
        <v>721750</v>
      </c>
    </row>
    <row r="1233" spans="1:14" x14ac:dyDescent="0.25">
      <c r="A1233" s="3" t="s">
        <v>1244</v>
      </c>
      <c r="B1233" s="4">
        <v>-3.13</v>
      </c>
      <c r="C1233" s="4">
        <v>0.2</v>
      </c>
      <c r="D1233" s="4">
        <v>-0.18</v>
      </c>
      <c r="E1233" s="4">
        <v>-7.938551426087884E-3</v>
      </c>
      <c r="F1233" s="3">
        <v>1231</v>
      </c>
      <c r="G1233" s="3">
        <v>1</v>
      </c>
      <c r="H1233" s="5">
        <v>920563.65500000003</v>
      </c>
      <c r="I1233" s="5">
        <v>819913.65500000003</v>
      </c>
      <c r="J1233" s="5">
        <v>0</v>
      </c>
      <c r="K1233" s="5">
        <v>100650</v>
      </c>
      <c r="L1233" s="5">
        <v>502550</v>
      </c>
      <c r="M1233" s="5">
        <v>-261730</v>
      </c>
      <c r="N1233" s="5">
        <v>-288160</v>
      </c>
    </row>
    <row r="1234" spans="1:14" x14ac:dyDescent="0.25">
      <c r="A1234" s="3" t="s">
        <v>1245</v>
      </c>
      <c r="B1234" s="4">
        <v>-0.56999999999999995</v>
      </c>
      <c r="C1234" s="4">
        <v>0.72</v>
      </c>
      <c r="D1234" s="4">
        <v>0.23</v>
      </c>
      <c r="E1234" s="4">
        <v>-7.9414304301101551E-3</v>
      </c>
      <c r="F1234" s="3">
        <v>1232</v>
      </c>
      <c r="G1234" s="3">
        <v>1</v>
      </c>
      <c r="H1234" s="5">
        <v>7243500</v>
      </c>
      <c r="I1234" s="5">
        <v>-5577100</v>
      </c>
      <c r="J1234" s="5">
        <v>0</v>
      </c>
      <c r="K1234" s="5">
        <v>12820600</v>
      </c>
      <c r="L1234" s="5">
        <v>87679100</v>
      </c>
      <c r="M1234" s="5">
        <v>9718440</v>
      </c>
      <c r="N1234" s="5">
        <v>7461450</v>
      </c>
    </row>
    <row r="1235" spans="1:14" x14ac:dyDescent="0.25">
      <c r="A1235" s="3" t="s">
        <v>1246</v>
      </c>
      <c r="B1235" s="4">
        <v>-0.33</v>
      </c>
      <c r="C1235" s="4">
        <v>0.77</v>
      </c>
      <c r="D1235" s="4">
        <v>0.14000000000000001</v>
      </c>
      <c r="E1235" s="4">
        <v>-7.9628645709652751E-3</v>
      </c>
      <c r="F1235" s="3">
        <v>1233</v>
      </c>
      <c r="G1235" s="3">
        <v>1</v>
      </c>
      <c r="H1235" s="5">
        <v>7392064.5</v>
      </c>
      <c r="I1235" s="5">
        <v>8264064.5</v>
      </c>
      <c r="J1235" s="5">
        <v>1636000</v>
      </c>
      <c r="K1235" s="5">
        <v>764000</v>
      </c>
      <c r="L1235" s="5">
        <v>31154000</v>
      </c>
      <c r="M1235" s="5">
        <v>-24861000</v>
      </c>
      <c r="N1235" s="5">
        <v>7932000</v>
      </c>
    </row>
    <row r="1236" spans="1:14" x14ac:dyDescent="0.25">
      <c r="A1236" s="3" t="s">
        <v>1247</v>
      </c>
      <c r="B1236" s="4">
        <v>-4.8899999999999997</v>
      </c>
      <c r="C1236" s="4">
        <v>-0.19</v>
      </c>
      <c r="D1236" s="4">
        <v>-0.13</v>
      </c>
      <c r="E1236" s="4">
        <v>-7.9664567640785854E-3</v>
      </c>
      <c r="F1236" s="3">
        <v>1234</v>
      </c>
      <c r="G1236" s="3">
        <v>1</v>
      </c>
      <c r="H1236" s="5">
        <v>130487792.40000001</v>
      </c>
      <c r="I1236" s="5">
        <v>104523792.40000001</v>
      </c>
      <c r="J1236" s="5">
        <v>0</v>
      </c>
      <c r="K1236" s="5">
        <v>25964000</v>
      </c>
      <c r="L1236" s="5">
        <v>88257000</v>
      </c>
      <c r="M1236" s="5">
        <v>-21394000</v>
      </c>
      <c r="N1236" s="5">
        <v>-18633000</v>
      </c>
    </row>
    <row r="1237" spans="1:14" x14ac:dyDescent="0.25">
      <c r="A1237" s="3" t="s">
        <v>1248</v>
      </c>
      <c r="B1237" s="4">
        <v>-1</v>
      </c>
      <c r="C1237" s="4">
        <v>0.7</v>
      </c>
      <c r="D1237" s="4">
        <v>-1</v>
      </c>
      <c r="E1237" s="4">
        <v>-7.9703520681979612E-3</v>
      </c>
      <c r="F1237" s="3">
        <v>1235</v>
      </c>
      <c r="G1237" s="3">
        <v>1</v>
      </c>
      <c r="H1237" s="5">
        <v>117578558.52</v>
      </c>
      <c r="I1237" s="5">
        <v>115129558.52</v>
      </c>
      <c r="J1237" s="5">
        <v>37988000</v>
      </c>
      <c r="K1237" s="5">
        <v>40437000</v>
      </c>
      <c r="L1237" s="5">
        <v>103463000</v>
      </c>
      <c r="M1237" s="5">
        <v>-115486000</v>
      </c>
      <c r="N1237" s="5">
        <v>-227212000</v>
      </c>
    </row>
    <row r="1238" spans="1:14" x14ac:dyDescent="0.25">
      <c r="A1238" s="3" t="s">
        <v>1249</v>
      </c>
      <c r="B1238" s="4">
        <v>-4.3</v>
      </c>
      <c r="C1238" s="4">
        <v>-0.08</v>
      </c>
      <c r="D1238" s="4">
        <v>-0.05</v>
      </c>
      <c r="E1238" s="4">
        <v>-7.998358010427066E-3</v>
      </c>
      <c r="F1238" s="3">
        <v>1236</v>
      </c>
      <c r="G1238" s="3">
        <v>1</v>
      </c>
      <c r="H1238" s="5">
        <v>75829538.189999998</v>
      </c>
      <c r="I1238" s="5">
        <v>161051538.19</v>
      </c>
      <c r="J1238" s="5">
        <v>107886000</v>
      </c>
      <c r="K1238" s="5">
        <v>22664000</v>
      </c>
      <c r="L1238" s="5">
        <v>571344000</v>
      </c>
      <c r="M1238" s="5">
        <v>-37448000</v>
      </c>
      <c r="N1238" s="5">
        <v>-20348000</v>
      </c>
    </row>
    <row r="1239" spans="1:14" x14ac:dyDescent="0.25">
      <c r="A1239" s="3" t="s">
        <v>1250</v>
      </c>
      <c r="B1239" s="4">
        <v>-9.93</v>
      </c>
      <c r="C1239" s="4">
        <v>-1.22</v>
      </c>
      <c r="D1239" s="4">
        <v>-1.05</v>
      </c>
      <c r="E1239" s="4">
        <v>-8.0006090603712641E-3</v>
      </c>
      <c r="F1239" s="3">
        <v>1237</v>
      </c>
      <c r="G1239" s="3">
        <v>1</v>
      </c>
      <c r="H1239" s="5">
        <v>1686740490.3599999</v>
      </c>
      <c r="I1239" s="5">
        <v>1657300490.3599999</v>
      </c>
      <c r="J1239" s="5">
        <v>6283000</v>
      </c>
      <c r="K1239" s="5">
        <v>35723000</v>
      </c>
      <c r="L1239" s="5">
        <v>7873000</v>
      </c>
      <c r="M1239" s="5">
        <v>-166857000</v>
      </c>
      <c r="N1239" s="5">
        <v>-567939000</v>
      </c>
    </row>
    <row r="1240" spans="1:14" x14ac:dyDescent="0.25">
      <c r="A1240" s="3" t="s">
        <v>1251</v>
      </c>
      <c r="B1240" s="4">
        <v>-3.96</v>
      </c>
      <c r="C1240" s="4">
        <v>0.16</v>
      </c>
      <c r="D1240" s="4">
        <v>-2.61</v>
      </c>
      <c r="E1240" s="4">
        <v>-8.009175239622213E-3</v>
      </c>
      <c r="F1240" s="3">
        <v>1238</v>
      </c>
      <c r="G1240" s="3">
        <v>1</v>
      </c>
      <c r="H1240" s="5">
        <v>2651045.8546000002</v>
      </c>
      <c r="I1240" s="5">
        <v>2457615.8546000002</v>
      </c>
      <c r="J1240" s="5">
        <v>0</v>
      </c>
      <c r="K1240" s="5">
        <v>193430</v>
      </c>
      <c r="L1240" s="5">
        <v>125200</v>
      </c>
      <c r="M1240" s="5">
        <v>-620810</v>
      </c>
      <c r="N1240" s="5">
        <v>-585330</v>
      </c>
    </row>
    <row r="1241" spans="1:14" x14ac:dyDescent="0.25">
      <c r="A1241" s="3" t="s">
        <v>1252</v>
      </c>
      <c r="B1241" s="4">
        <v>-1.18</v>
      </c>
      <c r="C1241" s="4">
        <v>0.56999999999999995</v>
      </c>
      <c r="D1241" s="4">
        <v>0.16</v>
      </c>
      <c r="E1241" s="4">
        <v>-8.0107961738478395E-3</v>
      </c>
      <c r="F1241" s="3">
        <v>1239</v>
      </c>
      <c r="G1241" s="3">
        <v>1</v>
      </c>
      <c r="H1241" s="5">
        <v>79359737.519999996</v>
      </c>
      <c r="I1241" s="5">
        <v>-386329262.48000002</v>
      </c>
      <c r="J1241" s="5">
        <v>41540000</v>
      </c>
      <c r="K1241" s="5">
        <v>507229000</v>
      </c>
      <c r="L1241" s="5">
        <v>1990204000</v>
      </c>
      <c r="M1241" s="5">
        <v>327372000</v>
      </c>
      <c r="N1241" s="5">
        <v>342082000</v>
      </c>
    </row>
    <row r="1242" spans="1:14" x14ac:dyDescent="0.25">
      <c r="A1242" s="3" t="s">
        <v>1253</v>
      </c>
      <c r="B1242" s="4">
        <v>-6.16</v>
      </c>
      <c r="C1242" s="4">
        <v>-0.47</v>
      </c>
      <c r="D1242" s="4">
        <v>-0.28999999999999998</v>
      </c>
      <c r="E1242" s="4">
        <v>-8.0203130621946672E-3</v>
      </c>
      <c r="F1242" s="3">
        <v>1240</v>
      </c>
      <c r="G1242" s="3">
        <v>1</v>
      </c>
      <c r="H1242" s="5">
        <v>32787479.25</v>
      </c>
      <c r="I1242" s="5">
        <v>32908219.25</v>
      </c>
      <c r="J1242" s="5">
        <v>1894480</v>
      </c>
      <c r="K1242" s="5">
        <v>1773740</v>
      </c>
      <c r="L1242" s="5">
        <v>19091270</v>
      </c>
      <c r="M1242" s="5">
        <v>-5338850</v>
      </c>
      <c r="N1242" s="5">
        <v>-5780250</v>
      </c>
    </row>
    <row r="1243" spans="1:14" x14ac:dyDescent="0.25">
      <c r="A1243" s="3" t="s">
        <v>1254</v>
      </c>
      <c r="B1243" s="4">
        <v>-4.58</v>
      </c>
      <c r="C1243" s="4">
        <v>0.1</v>
      </c>
      <c r="D1243" s="4">
        <v>-3.82</v>
      </c>
      <c r="E1243" s="4">
        <v>-8.0322183443683696E-3</v>
      </c>
      <c r="F1243" s="3">
        <v>1241</v>
      </c>
      <c r="G1243" s="3">
        <v>1</v>
      </c>
      <c r="H1243" s="5">
        <v>18190.345000000001</v>
      </c>
      <c r="I1243" s="5">
        <v>4129650.3450000002</v>
      </c>
      <c r="J1243" s="5">
        <v>4112500</v>
      </c>
      <c r="K1243" s="5">
        <v>1040</v>
      </c>
      <c r="L1243" s="5">
        <v>100300</v>
      </c>
      <c r="M1243" s="5">
        <v>-901620</v>
      </c>
      <c r="N1243" s="5">
        <v>-1202350</v>
      </c>
    </row>
    <row r="1244" spans="1:14" x14ac:dyDescent="0.25">
      <c r="A1244" s="3" t="s">
        <v>1255</v>
      </c>
      <c r="B1244" s="4">
        <v>-5.66</v>
      </c>
      <c r="C1244" s="4">
        <v>-0.37</v>
      </c>
      <c r="D1244" s="4">
        <v>-0.28999999999999998</v>
      </c>
      <c r="E1244" s="4">
        <v>-8.0408372769039567E-3</v>
      </c>
      <c r="F1244" s="3">
        <v>1242</v>
      </c>
      <c r="G1244" s="3">
        <v>1</v>
      </c>
      <c r="H1244" s="5">
        <v>1262419930.675</v>
      </c>
      <c r="I1244" s="5">
        <v>1152422930.675</v>
      </c>
      <c r="J1244" s="5">
        <v>0</v>
      </c>
      <c r="K1244" s="5">
        <v>109997000</v>
      </c>
      <c r="L1244" s="5">
        <v>54549000</v>
      </c>
      <c r="M1244" s="5">
        <v>-203709000</v>
      </c>
      <c r="N1244" s="5">
        <v>-193569000</v>
      </c>
    </row>
    <row r="1245" spans="1:14" x14ac:dyDescent="0.25">
      <c r="A1245" s="3" t="s">
        <v>1256</v>
      </c>
      <c r="B1245" s="4">
        <v>-4.8499999999999996</v>
      </c>
      <c r="C1245" s="4">
        <v>-0.21</v>
      </c>
      <c r="D1245" s="4">
        <v>-0.12</v>
      </c>
      <c r="E1245" s="4">
        <v>-8.047071774318305E-3</v>
      </c>
      <c r="F1245" s="3">
        <v>1243</v>
      </c>
      <c r="G1245" s="3">
        <v>1</v>
      </c>
      <c r="H1245" s="5">
        <v>199828482.09999999</v>
      </c>
      <c r="I1245" s="5">
        <v>86033482.099999994</v>
      </c>
      <c r="J1245" s="5">
        <v>0</v>
      </c>
      <c r="K1245" s="5">
        <v>113795000</v>
      </c>
      <c r="L1245" s="5">
        <v>335705000</v>
      </c>
      <c r="M1245" s="5">
        <v>-17728000</v>
      </c>
      <c r="N1245" s="5">
        <v>-35888000</v>
      </c>
    </row>
    <row r="1246" spans="1:14" x14ac:dyDescent="0.25">
      <c r="A1246" s="3" t="s">
        <v>1257</v>
      </c>
      <c r="B1246" s="4">
        <v>-3.13</v>
      </c>
      <c r="C1246" s="4">
        <v>0.23</v>
      </c>
      <c r="D1246" s="4">
        <v>-1.22</v>
      </c>
      <c r="E1246" s="4">
        <v>-8.0524893691051192E-3</v>
      </c>
      <c r="F1246" s="3">
        <v>1244</v>
      </c>
      <c r="G1246" s="3">
        <v>1</v>
      </c>
      <c r="H1246" s="5">
        <v>484790.66499999998</v>
      </c>
      <c r="I1246" s="5">
        <v>2637790.665</v>
      </c>
      <c r="J1246" s="5">
        <v>2249000</v>
      </c>
      <c r="K1246" s="5">
        <v>96000</v>
      </c>
      <c r="L1246" s="5">
        <v>0</v>
      </c>
      <c r="M1246" s="5">
        <v>-842000</v>
      </c>
      <c r="N1246" s="5">
        <v>-683000</v>
      </c>
    </row>
    <row r="1247" spans="1:14" x14ac:dyDescent="0.25">
      <c r="A1247" s="3" t="s">
        <v>1258</v>
      </c>
      <c r="B1247" s="4">
        <v>-7.32</v>
      </c>
      <c r="C1247" s="4">
        <v>-0.72</v>
      </c>
      <c r="D1247" s="4">
        <v>-0.45</v>
      </c>
      <c r="E1247" s="4">
        <v>-8.0555698019352251E-3</v>
      </c>
      <c r="F1247" s="3">
        <v>1245</v>
      </c>
      <c r="G1247" s="3">
        <v>1</v>
      </c>
      <c r="H1247" s="5">
        <v>17700222.550000001</v>
      </c>
      <c r="I1247" s="5">
        <v>15602272.550000001</v>
      </c>
      <c r="J1247" s="5">
        <v>0</v>
      </c>
      <c r="K1247" s="5">
        <v>2097950</v>
      </c>
      <c r="L1247" s="5">
        <v>6563410</v>
      </c>
      <c r="M1247" s="5">
        <v>-2131130</v>
      </c>
      <c r="N1247" s="5">
        <v>-2293650</v>
      </c>
    </row>
    <row r="1248" spans="1:14" x14ac:dyDescent="0.25">
      <c r="A1248" s="3" t="s">
        <v>1259</v>
      </c>
      <c r="B1248" s="4">
        <v>0.1</v>
      </c>
      <c r="C1248" s="4">
        <v>1.06</v>
      </c>
      <c r="D1248" s="4">
        <v>-3.43</v>
      </c>
      <c r="E1248" s="4">
        <v>-8.0797483006899186E-3</v>
      </c>
      <c r="F1248" s="3">
        <v>1246</v>
      </c>
      <c r="G1248" s="3">
        <v>1</v>
      </c>
      <c r="H1248" s="5">
        <v>16880.4067</v>
      </c>
      <c r="I1248" s="5">
        <v>-129699.59329999999</v>
      </c>
      <c r="J1248" s="5">
        <v>3950</v>
      </c>
      <c r="K1248" s="5">
        <v>150530</v>
      </c>
      <c r="L1248" s="5">
        <v>0</v>
      </c>
      <c r="M1248" s="5">
        <v>-1273530</v>
      </c>
      <c r="N1248" s="5">
        <v>-1489470</v>
      </c>
    </row>
    <row r="1249" spans="1:14" x14ac:dyDescent="0.25">
      <c r="A1249" s="3" t="s">
        <v>1260</v>
      </c>
      <c r="B1249" s="4">
        <v>-0.25</v>
      </c>
      <c r="C1249" s="4">
        <v>0.71</v>
      </c>
      <c r="D1249" s="4">
        <v>0.66</v>
      </c>
      <c r="E1249" s="4">
        <v>-8.0854304765983417E-3</v>
      </c>
      <c r="F1249" s="3">
        <v>1247</v>
      </c>
      <c r="G1249" s="3">
        <v>1</v>
      </c>
      <c r="H1249" s="5">
        <v>251690.53700000001</v>
      </c>
      <c r="I1249" s="5">
        <v>-1518309.463</v>
      </c>
      <c r="J1249" s="5">
        <v>0</v>
      </c>
      <c r="K1249" s="5">
        <v>1770000</v>
      </c>
      <c r="L1249" s="5">
        <v>0</v>
      </c>
      <c r="M1249" s="5">
        <v>6152000</v>
      </c>
      <c r="N1249" s="5">
        <v>4085000</v>
      </c>
    </row>
    <row r="1250" spans="1:14" x14ac:dyDescent="0.25">
      <c r="A1250" s="3" t="s">
        <v>1261</v>
      </c>
      <c r="B1250" s="4">
        <v>-0.03</v>
      </c>
      <c r="C1250" s="4">
        <v>0.75</v>
      </c>
      <c r="D1250" s="4">
        <v>0.74</v>
      </c>
      <c r="E1250" s="4">
        <v>-8.0905863612561607E-3</v>
      </c>
      <c r="F1250" s="3">
        <v>1248</v>
      </c>
      <c r="G1250" s="3">
        <v>1</v>
      </c>
      <c r="H1250" s="5">
        <v>7.85</v>
      </c>
      <c r="I1250" s="5">
        <v>-176842.15</v>
      </c>
      <c r="J1250" s="5">
        <v>0</v>
      </c>
      <c r="K1250" s="5">
        <v>176850</v>
      </c>
      <c r="L1250" s="5">
        <v>7059350</v>
      </c>
      <c r="M1250" s="5">
        <v>7047760</v>
      </c>
      <c r="N1250" s="5">
        <v>5845860</v>
      </c>
    </row>
    <row r="1251" spans="1:14" x14ac:dyDescent="0.25">
      <c r="A1251" s="3" t="s">
        <v>1262</v>
      </c>
      <c r="B1251" s="4">
        <v>-3.56</v>
      </c>
      <c r="C1251" s="4">
        <v>0.04</v>
      </c>
      <c r="D1251" s="4">
        <v>0.02</v>
      </c>
      <c r="E1251" s="4">
        <v>-8.0961327617947616E-3</v>
      </c>
      <c r="F1251" s="3">
        <v>1249</v>
      </c>
      <c r="G1251" s="3">
        <v>1</v>
      </c>
      <c r="H1251" s="5">
        <v>210007125.38999999</v>
      </c>
      <c r="I1251" s="5">
        <v>-660100874.61000001</v>
      </c>
      <c r="J1251" s="5">
        <v>156080000</v>
      </c>
      <c r="K1251" s="5">
        <v>1026188000</v>
      </c>
      <c r="L1251" s="5">
        <v>2118982000</v>
      </c>
      <c r="M1251" s="5">
        <v>185312000</v>
      </c>
      <c r="N1251" s="5">
        <v>63414000</v>
      </c>
    </row>
    <row r="1252" spans="1:14" x14ac:dyDescent="0.25">
      <c r="A1252" s="3" t="s">
        <v>1263</v>
      </c>
      <c r="B1252" s="4">
        <v>-7.62</v>
      </c>
      <c r="C1252" s="4">
        <v>-0.81</v>
      </c>
      <c r="D1252" s="4">
        <v>-0.28999999999999998</v>
      </c>
      <c r="E1252" s="4">
        <v>-8.0990716689129279E-3</v>
      </c>
      <c r="F1252" s="3">
        <v>1250</v>
      </c>
      <c r="G1252" s="3">
        <v>1</v>
      </c>
      <c r="H1252" s="5">
        <v>55300658.770900004</v>
      </c>
      <c r="I1252" s="5">
        <v>61256118.770900004</v>
      </c>
      <c r="J1252" s="5">
        <v>6186020</v>
      </c>
      <c r="K1252" s="5">
        <v>230560</v>
      </c>
      <c r="L1252" s="5">
        <v>47381920</v>
      </c>
      <c r="M1252" s="5">
        <v>-8043690</v>
      </c>
      <c r="N1252" s="5">
        <v>-12407130</v>
      </c>
    </row>
    <row r="1253" spans="1:14" x14ac:dyDescent="0.25">
      <c r="A1253" s="3" t="s">
        <v>1264</v>
      </c>
      <c r="B1253" s="4">
        <v>-1.41</v>
      </c>
      <c r="C1253" s="4">
        <v>0.51</v>
      </c>
      <c r="D1253" s="4">
        <v>-0.2</v>
      </c>
      <c r="E1253" s="4">
        <v>-8.1112510416920178E-3</v>
      </c>
      <c r="F1253" s="3">
        <v>1251</v>
      </c>
      <c r="G1253" s="3">
        <v>1</v>
      </c>
      <c r="H1253" s="5">
        <v>9063075.5610000007</v>
      </c>
      <c r="I1253" s="5">
        <v>206513075.56099999</v>
      </c>
      <c r="J1253" s="5">
        <v>218236000</v>
      </c>
      <c r="K1253" s="5">
        <v>20786000</v>
      </c>
      <c r="L1253" s="5">
        <v>621272000</v>
      </c>
      <c r="M1253" s="5">
        <v>-146085000</v>
      </c>
      <c r="N1253" s="5">
        <v>-224087000</v>
      </c>
    </row>
    <row r="1254" spans="1:14" x14ac:dyDescent="0.25">
      <c r="A1254" s="3" t="s">
        <v>1265</v>
      </c>
      <c r="B1254" s="4">
        <v>-2.54</v>
      </c>
      <c r="C1254" s="4">
        <v>0.26</v>
      </c>
      <c r="D1254" s="4">
        <v>-0.1</v>
      </c>
      <c r="E1254" s="4">
        <v>-8.114920707508657E-3</v>
      </c>
      <c r="F1254" s="3">
        <v>1252</v>
      </c>
      <c r="G1254" s="3">
        <v>1</v>
      </c>
      <c r="H1254" s="5">
        <v>5373284.4299999997</v>
      </c>
      <c r="I1254" s="5">
        <v>96826284.430000007</v>
      </c>
      <c r="J1254" s="5">
        <v>95160000</v>
      </c>
      <c r="K1254" s="5">
        <v>3707000</v>
      </c>
      <c r="L1254" s="5">
        <v>6915000</v>
      </c>
      <c r="M1254" s="5">
        <v>-38055000</v>
      </c>
      <c r="N1254" s="5">
        <v>-46895000</v>
      </c>
    </row>
    <row r="1255" spans="1:14" x14ac:dyDescent="0.25">
      <c r="A1255" s="3" t="s">
        <v>1266</v>
      </c>
      <c r="B1255" s="4">
        <v>-0.04</v>
      </c>
      <c r="C1255" s="4">
        <v>0.88</v>
      </c>
      <c r="D1255" s="4">
        <v>-1.37</v>
      </c>
      <c r="E1255" s="4">
        <v>-8.1158048722248695E-3</v>
      </c>
      <c r="F1255" s="3">
        <v>1253</v>
      </c>
      <c r="G1255" s="3">
        <v>1</v>
      </c>
      <c r="H1255" s="5">
        <v>21302571.289999999</v>
      </c>
      <c r="I1255" s="5">
        <v>1282571.2899999991</v>
      </c>
      <c r="J1255" s="5">
        <v>0</v>
      </c>
      <c r="K1255" s="5">
        <v>20020000</v>
      </c>
      <c r="L1255" s="5">
        <v>1664000</v>
      </c>
      <c r="M1255" s="5">
        <v>-28656000</v>
      </c>
      <c r="N1255" s="5">
        <v>-34352000</v>
      </c>
    </row>
    <row r="1256" spans="1:14" x14ac:dyDescent="0.25">
      <c r="A1256" s="3" t="s">
        <v>1267</v>
      </c>
      <c r="B1256" s="4">
        <v>-4.4400000000000004</v>
      </c>
      <c r="C1256" s="4">
        <v>-0.15</v>
      </c>
      <c r="D1256" s="4">
        <v>-0.11</v>
      </c>
      <c r="E1256" s="4">
        <v>-8.1255385392342266E-3</v>
      </c>
      <c r="F1256" s="3">
        <v>1254</v>
      </c>
      <c r="G1256" s="3">
        <v>1</v>
      </c>
      <c r="H1256" s="5">
        <v>97163802.579999998</v>
      </c>
      <c r="I1256" s="5">
        <v>144711972.58000001</v>
      </c>
      <c r="J1256" s="5">
        <v>84856040</v>
      </c>
      <c r="K1256" s="5">
        <v>37307870</v>
      </c>
      <c r="L1256" s="5">
        <v>127569610</v>
      </c>
      <c r="M1256" s="5">
        <v>-32625680</v>
      </c>
      <c r="N1256" s="5">
        <v>-50495660</v>
      </c>
    </row>
    <row r="1257" spans="1:14" x14ac:dyDescent="0.25">
      <c r="A1257" s="3" t="s">
        <v>1268</v>
      </c>
      <c r="B1257" s="4">
        <v>-0.44</v>
      </c>
      <c r="C1257" s="4">
        <v>1.89</v>
      </c>
      <c r="D1257" s="4">
        <v>-17.87</v>
      </c>
      <c r="E1257" s="4">
        <v>-8.1328761887661961E-3</v>
      </c>
      <c r="F1257" s="3">
        <v>1255</v>
      </c>
      <c r="G1257" s="3">
        <v>1</v>
      </c>
      <c r="H1257" s="5">
        <v>592.46400000000006</v>
      </c>
      <c r="I1257" s="5">
        <v>306132.46399999998</v>
      </c>
      <c r="J1257" s="5">
        <v>330200</v>
      </c>
      <c r="K1257" s="5">
        <v>24660</v>
      </c>
      <c r="L1257" s="5">
        <v>0</v>
      </c>
      <c r="M1257" s="5">
        <v>-690690</v>
      </c>
      <c r="N1257" s="5">
        <v>-690690</v>
      </c>
    </row>
    <row r="1258" spans="1:14" x14ac:dyDescent="0.25">
      <c r="A1258" s="3" t="s">
        <v>1269</v>
      </c>
      <c r="B1258" s="4">
        <v>-0.59</v>
      </c>
      <c r="C1258" s="4">
        <v>0.67</v>
      </c>
      <c r="D1258" s="4">
        <v>-0.18</v>
      </c>
      <c r="E1258" s="4">
        <v>-8.1526101434660301E-3</v>
      </c>
      <c r="F1258" s="3">
        <v>1256</v>
      </c>
      <c r="G1258" s="3">
        <v>1</v>
      </c>
      <c r="H1258" s="5">
        <v>24802283.68</v>
      </c>
      <c r="I1258" s="5">
        <v>13853933.68</v>
      </c>
      <c r="J1258" s="5">
        <v>4749820</v>
      </c>
      <c r="K1258" s="5">
        <v>15698170</v>
      </c>
      <c r="L1258" s="5">
        <v>9780</v>
      </c>
      <c r="M1258" s="5">
        <v>-23409160</v>
      </c>
      <c r="N1258" s="5">
        <v>-4053600</v>
      </c>
    </row>
    <row r="1259" spans="1:14" x14ac:dyDescent="0.25">
      <c r="A1259" s="3" t="s">
        <v>1270</v>
      </c>
      <c r="B1259" s="4">
        <v>-0.42</v>
      </c>
      <c r="C1259" s="4">
        <v>0.8</v>
      </c>
      <c r="D1259" s="4">
        <v>-1.61</v>
      </c>
      <c r="E1259" s="4">
        <v>-8.1580605497117292E-3</v>
      </c>
      <c r="F1259" s="3">
        <v>1257</v>
      </c>
      <c r="G1259" s="3">
        <v>1</v>
      </c>
      <c r="H1259" s="5">
        <v>17282.080099999999</v>
      </c>
      <c r="I1259" s="5">
        <v>363322.08010000002</v>
      </c>
      <c r="J1259" s="5">
        <v>620350</v>
      </c>
      <c r="K1259" s="5">
        <v>274310</v>
      </c>
      <c r="L1259" s="5">
        <v>777110</v>
      </c>
      <c r="M1259" s="5">
        <v>-873060</v>
      </c>
      <c r="N1259" s="5">
        <v>-899940</v>
      </c>
    </row>
    <row r="1260" spans="1:14" x14ac:dyDescent="0.25">
      <c r="A1260" s="3" t="s">
        <v>1271</v>
      </c>
      <c r="B1260" s="4">
        <v>-3.07</v>
      </c>
      <c r="C1260" s="4">
        <v>0.41</v>
      </c>
      <c r="D1260" s="4">
        <v>-4.29</v>
      </c>
      <c r="E1260" s="4">
        <v>-8.1617508363216445E-3</v>
      </c>
      <c r="F1260" s="3">
        <v>1258</v>
      </c>
      <c r="G1260" s="3">
        <v>1</v>
      </c>
      <c r="H1260" s="5">
        <v>322.23003799999998</v>
      </c>
      <c r="I1260" s="5">
        <v>16249972.230038</v>
      </c>
      <c r="J1260" s="5">
        <v>16378010</v>
      </c>
      <c r="K1260" s="5">
        <v>128360</v>
      </c>
      <c r="L1260" s="5">
        <v>1675160</v>
      </c>
      <c r="M1260" s="5">
        <v>-5301420</v>
      </c>
      <c r="N1260" s="5">
        <v>-7048820</v>
      </c>
    </row>
    <row r="1261" spans="1:14" x14ac:dyDescent="0.25">
      <c r="A1261" s="3" t="s">
        <v>1272</v>
      </c>
      <c r="B1261" s="4">
        <v>-1.6</v>
      </c>
      <c r="C1261" s="4">
        <v>0.47</v>
      </c>
      <c r="D1261" s="4">
        <v>-0.5</v>
      </c>
      <c r="E1261" s="4">
        <v>-8.1671013588305533E-3</v>
      </c>
      <c r="F1261" s="3">
        <v>1259</v>
      </c>
      <c r="G1261" s="3">
        <v>1</v>
      </c>
      <c r="H1261" s="5">
        <v>7951963098.3999996</v>
      </c>
      <c r="I1261" s="5">
        <v>60911567963098.398</v>
      </c>
      <c r="J1261" s="5">
        <v>61986976000000</v>
      </c>
      <c r="K1261" s="5">
        <v>1083360000000</v>
      </c>
      <c r="L1261" s="5">
        <v>44019015000000</v>
      </c>
      <c r="M1261" s="5">
        <v>-38076292000000</v>
      </c>
      <c r="N1261" s="5">
        <v>-77265364000000</v>
      </c>
    </row>
    <row r="1262" spans="1:14" x14ac:dyDescent="0.25">
      <c r="A1262" s="3" t="s">
        <v>1273</v>
      </c>
      <c r="B1262" s="4">
        <v>-1.07</v>
      </c>
      <c r="C1262" s="4">
        <v>0.74</v>
      </c>
      <c r="D1262" s="4">
        <v>-2.85</v>
      </c>
      <c r="E1262" s="4">
        <v>-8.168323117099174E-3</v>
      </c>
      <c r="F1262" s="3">
        <v>1260</v>
      </c>
      <c r="G1262" s="3">
        <v>1</v>
      </c>
      <c r="H1262" s="5">
        <v>309512.27500000002</v>
      </c>
      <c r="I1262" s="5">
        <v>16627512.275</v>
      </c>
      <c r="J1262" s="5">
        <v>16463000</v>
      </c>
      <c r="K1262" s="5">
        <v>145000</v>
      </c>
      <c r="L1262" s="5">
        <v>4402000</v>
      </c>
      <c r="M1262" s="5">
        <v>-15596000</v>
      </c>
      <c r="N1262" s="5">
        <v>-29147000</v>
      </c>
    </row>
    <row r="1263" spans="1:14" x14ac:dyDescent="0.25">
      <c r="A1263" s="3" t="s">
        <v>1274</v>
      </c>
      <c r="B1263" s="4">
        <v>-2.9</v>
      </c>
      <c r="C1263" s="4">
        <v>0.24</v>
      </c>
      <c r="D1263" s="4">
        <v>-1.25</v>
      </c>
      <c r="E1263" s="4">
        <v>-8.1717345728559605E-3</v>
      </c>
      <c r="F1263" s="3">
        <v>1261</v>
      </c>
      <c r="G1263" s="3">
        <v>1</v>
      </c>
      <c r="H1263" s="5">
        <v>30.185727</v>
      </c>
      <c r="I1263" s="5">
        <v>5212080.1857270002</v>
      </c>
      <c r="J1263" s="5">
        <v>5294690</v>
      </c>
      <c r="K1263" s="5">
        <v>82640</v>
      </c>
      <c r="L1263" s="5">
        <v>5260940</v>
      </c>
      <c r="M1263" s="5">
        <v>-1799100</v>
      </c>
      <c r="N1263" s="5">
        <v>-3043810</v>
      </c>
    </row>
    <row r="1264" spans="1:14" x14ac:dyDescent="0.25">
      <c r="A1264" s="3" t="s">
        <v>1275</v>
      </c>
      <c r="B1264" s="4">
        <v>-2.2799999999999998</v>
      </c>
      <c r="C1264" s="4">
        <v>0.44</v>
      </c>
      <c r="D1264" s="4">
        <v>-2.2799999999999998</v>
      </c>
      <c r="E1264" s="4">
        <v>-8.176282923268708E-3</v>
      </c>
      <c r="F1264" s="3">
        <v>1262</v>
      </c>
      <c r="G1264" s="3">
        <v>1</v>
      </c>
      <c r="H1264" s="5">
        <v>4253.6869999999999</v>
      </c>
      <c r="I1264" s="5">
        <v>10999093.687000001</v>
      </c>
      <c r="J1264" s="5">
        <v>11781350</v>
      </c>
      <c r="K1264" s="5">
        <v>786510</v>
      </c>
      <c r="L1264" s="5">
        <v>3341250</v>
      </c>
      <c r="M1264" s="5">
        <v>-4817200</v>
      </c>
      <c r="N1264" s="5">
        <v>-5479250</v>
      </c>
    </row>
    <row r="1265" spans="1:14" x14ac:dyDescent="0.25">
      <c r="A1265" s="3" t="s">
        <v>1276</v>
      </c>
      <c r="B1265" s="4">
        <v>-4.88</v>
      </c>
      <c r="C1265" s="4">
        <v>-0.26</v>
      </c>
      <c r="D1265" s="4">
        <v>-0.17</v>
      </c>
      <c r="E1265" s="4">
        <v>-8.1826173251868927E-3</v>
      </c>
      <c r="F1265" s="3">
        <v>1263</v>
      </c>
      <c r="G1265" s="3">
        <v>1</v>
      </c>
      <c r="H1265" s="5">
        <v>225915588.59999999</v>
      </c>
      <c r="I1265" s="5">
        <v>210982588.59999999</v>
      </c>
      <c r="J1265" s="5">
        <v>0</v>
      </c>
      <c r="K1265" s="5">
        <v>14933000</v>
      </c>
      <c r="L1265" s="5">
        <v>148081000</v>
      </c>
      <c r="M1265" s="5">
        <v>-43201000</v>
      </c>
      <c r="N1265" s="5">
        <v>-42156000</v>
      </c>
    </row>
    <row r="1266" spans="1:14" x14ac:dyDescent="0.25">
      <c r="A1266" s="3" t="s">
        <v>1277</v>
      </c>
      <c r="B1266" s="4">
        <v>-4.41</v>
      </c>
      <c r="C1266" s="4">
        <v>0.17</v>
      </c>
      <c r="D1266" s="4">
        <v>-5.13</v>
      </c>
      <c r="E1266" s="4">
        <v>-8.1878820737707487E-3</v>
      </c>
      <c r="F1266" s="3">
        <v>1264</v>
      </c>
      <c r="G1266" s="3">
        <v>1</v>
      </c>
      <c r="H1266" s="5">
        <v>20700</v>
      </c>
      <c r="I1266" s="5">
        <v>3039630</v>
      </c>
      <c r="J1266" s="5">
        <v>3018960</v>
      </c>
      <c r="K1266" s="5">
        <v>30</v>
      </c>
      <c r="L1266" s="5">
        <v>467370</v>
      </c>
      <c r="M1266" s="5">
        <v>-688650</v>
      </c>
      <c r="N1266" s="5">
        <v>-835450</v>
      </c>
    </row>
    <row r="1267" spans="1:14" x14ac:dyDescent="0.25">
      <c r="A1267" s="3" t="s">
        <v>1278</v>
      </c>
      <c r="B1267" s="4">
        <v>-3.06</v>
      </c>
      <c r="C1267" s="4">
        <v>0.11</v>
      </c>
      <c r="D1267" s="4">
        <v>7.0000000000000007E-2</v>
      </c>
      <c r="E1267" s="4">
        <v>-8.1936926646599007E-3</v>
      </c>
      <c r="F1267" s="3">
        <v>1265</v>
      </c>
      <c r="G1267" s="3">
        <v>1</v>
      </c>
      <c r="H1267" s="5">
        <v>8751620</v>
      </c>
      <c r="I1267" s="5">
        <v>-41231490</v>
      </c>
      <c r="J1267" s="5">
        <v>2355020</v>
      </c>
      <c r="K1267" s="5">
        <v>52338130</v>
      </c>
      <c r="L1267" s="5">
        <v>182164540</v>
      </c>
      <c r="M1267" s="5">
        <v>13473280</v>
      </c>
      <c r="N1267" s="5">
        <v>10653490</v>
      </c>
    </row>
    <row r="1268" spans="1:14" x14ac:dyDescent="0.25">
      <c r="A1268" s="3" t="s">
        <v>1279</v>
      </c>
      <c r="B1268" s="4">
        <v>-10.72</v>
      </c>
      <c r="C1268" s="4">
        <v>0.45</v>
      </c>
      <c r="D1268" s="4">
        <v>-29.6</v>
      </c>
      <c r="E1268" s="4">
        <v>-8.193800317666913E-3</v>
      </c>
      <c r="F1268" s="3">
        <v>1266</v>
      </c>
      <c r="G1268" s="3">
        <v>1</v>
      </c>
      <c r="H1268" s="5">
        <v>16072267</v>
      </c>
      <c r="I1268" s="5">
        <v>16092367</v>
      </c>
      <c r="J1268" s="5">
        <v>25150</v>
      </c>
      <c r="K1268" s="5">
        <v>5050</v>
      </c>
      <c r="L1268" s="5">
        <v>0</v>
      </c>
      <c r="M1268" s="5">
        <v>-1501470</v>
      </c>
      <c r="N1268" s="5">
        <v>-1505100</v>
      </c>
    </row>
    <row r="1269" spans="1:14" x14ac:dyDescent="0.25">
      <c r="A1269" s="3" t="s">
        <v>1280</v>
      </c>
      <c r="B1269" s="4">
        <v>-26.63</v>
      </c>
      <c r="C1269" s="4">
        <v>-4.92</v>
      </c>
      <c r="D1269" s="4">
        <v>-0.28000000000000003</v>
      </c>
      <c r="E1269" s="4">
        <v>-8.2067350951334286E-3</v>
      </c>
      <c r="F1269" s="3">
        <v>1267</v>
      </c>
      <c r="G1269" s="3">
        <v>1</v>
      </c>
      <c r="H1269" s="5">
        <v>146265354.80000001</v>
      </c>
      <c r="I1269" s="5">
        <v>291936354.80000001</v>
      </c>
      <c r="J1269" s="5">
        <v>176575000</v>
      </c>
      <c r="K1269" s="5">
        <v>30904000</v>
      </c>
      <c r="L1269" s="5">
        <v>116135000</v>
      </c>
      <c r="M1269" s="5">
        <v>-10963000</v>
      </c>
      <c r="N1269" s="5">
        <v>-79397000</v>
      </c>
    </row>
    <row r="1270" spans="1:14" x14ac:dyDescent="0.25">
      <c r="A1270" s="3" t="s">
        <v>1281</v>
      </c>
      <c r="B1270" s="4">
        <v>-5.47</v>
      </c>
      <c r="C1270" s="4">
        <v>-0.39</v>
      </c>
      <c r="D1270" s="4">
        <v>-0.31</v>
      </c>
      <c r="E1270" s="4">
        <v>-8.2200774523323566E-3</v>
      </c>
      <c r="F1270" s="3">
        <v>1268</v>
      </c>
      <c r="G1270" s="3">
        <v>1</v>
      </c>
      <c r="H1270" s="5">
        <v>889081155.39499998</v>
      </c>
      <c r="I1270" s="5">
        <v>789377155.39499998</v>
      </c>
      <c r="J1270" s="5">
        <v>0</v>
      </c>
      <c r="K1270" s="5">
        <v>99704000</v>
      </c>
      <c r="L1270" s="5">
        <v>43273000</v>
      </c>
      <c r="M1270" s="5">
        <v>-144314000</v>
      </c>
      <c r="N1270" s="5">
        <v>-130870000</v>
      </c>
    </row>
    <row r="1271" spans="1:14" x14ac:dyDescent="0.25">
      <c r="A1271" s="3" t="s">
        <v>1282</v>
      </c>
      <c r="B1271" s="4">
        <v>-5.41</v>
      </c>
      <c r="C1271" s="4">
        <v>-0.38</v>
      </c>
      <c r="D1271" s="4">
        <v>-0.33</v>
      </c>
      <c r="E1271" s="4">
        <v>-8.2321771326553765E-3</v>
      </c>
      <c r="F1271" s="3">
        <v>1269</v>
      </c>
      <c r="G1271" s="3">
        <v>1</v>
      </c>
      <c r="H1271" s="5">
        <v>48032959.568400003</v>
      </c>
      <c r="I1271" s="5">
        <v>33997959.568400003</v>
      </c>
      <c r="J1271" s="5">
        <v>0</v>
      </c>
      <c r="K1271" s="5">
        <v>14035000</v>
      </c>
      <c r="L1271" s="5">
        <v>3596000</v>
      </c>
      <c r="M1271" s="5">
        <v>-6282000</v>
      </c>
      <c r="N1271" s="5">
        <v>-5299000</v>
      </c>
    </row>
    <row r="1272" spans="1:14" x14ac:dyDescent="0.25">
      <c r="A1272" s="3" t="s">
        <v>1283</v>
      </c>
      <c r="B1272" s="4">
        <v>7.81</v>
      </c>
      <c r="C1272" s="4">
        <v>2.33</v>
      </c>
      <c r="D1272" s="4">
        <v>1.49</v>
      </c>
      <c r="E1272" s="4">
        <v>-8.2330567261675799E-3</v>
      </c>
      <c r="F1272" s="3">
        <v>1270</v>
      </c>
      <c r="G1272" s="3">
        <v>1</v>
      </c>
      <c r="H1272" s="5">
        <v>45720000</v>
      </c>
      <c r="I1272" s="5">
        <v>44350620</v>
      </c>
      <c r="J1272" s="5">
        <v>0</v>
      </c>
      <c r="K1272" s="5">
        <v>1369380</v>
      </c>
      <c r="L1272" s="5">
        <v>6623430</v>
      </c>
      <c r="M1272" s="5">
        <v>5677820</v>
      </c>
      <c r="N1272" s="5">
        <v>5677820</v>
      </c>
    </row>
    <row r="1273" spans="1:14" x14ac:dyDescent="0.25">
      <c r="A1273" s="3" t="s">
        <v>1284</v>
      </c>
      <c r="B1273" s="4">
        <v>-1.98</v>
      </c>
      <c r="C1273" s="4">
        <v>0.38</v>
      </c>
      <c r="D1273" s="4">
        <v>-0.78</v>
      </c>
      <c r="E1273" s="4">
        <v>-8.2459667496418958E-3</v>
      </c>
      <c r="F1273" s="3">
        <v>1271</v>
      </c>
      <c r="G1273" s="3">
        <v>1</v>
      </c>
      <c r="H1273" s="5">
        <v>136792698.69999999</v>
      </c>
      <c r="I1273" s="5">
        <v>176041698.69999999</v>
      </c>
      <c r="J1273" s="5">
        <v>42521000</v>
      </c>
      <c r="K1273" s="5">
        <v>3272000</v>
      </c>
      <c r="L1273" s="5">
        <v>56590000</v>
      </c>
      <c r="M1273" s="5">
        <v>-88742000</v>
      </c>
      <c r="N1273" s="5">
        <v>-72807000</v>
      </c>
    </row>
    <row r="1274" spans="1:14" x14ac:dyDescent="0.25">
      <c r="A1274" s="3" t="s">
        <v>1285</v>
      </c>
      <c r="B1274" s="4">
        <v>-1.35</v>
      </c>
      <c r="C1274" s="4">
        <v>0.44</v>
      </c>
      <c r="D1274" s="4">
        <v>0.22</v>
      </c>
      <c r="E1274" s="4">
        <v>-8.2696224087204437E-3</v>
      </c>
      <c r="F1274" s="3">
        <v>1272</v>
      </c>
      <c r="G1274" s="3">
        <v>1</v>
      </c>
      <c r="H1274" s="5">
        <v>258689784.19999999</v>
      </c>
      <c r="I1274" s="5">
        <v>-560369215.79999995</v>
      </c>
      <c r="J1274" s="5">
        <v>11100000</v>
      </c>
      <c r="K1274" s="5">
        <v>830159000</v>
      </c>
      <c r="L1274" s="5">
        <v>2725592000</v>
      </c>
      <c r="M1274" s="5">
        <v>415858000</v>
      </c>
      <c r="N1274" s="5">
        <v>358730000</v>
      </c>
    </row>
    <row r="1275" spans="1:14" x14ac:dyDescent="0.25">
      <c r="A1275" s="3" t="s">
        <v>1286</v>
      </c>
      <c r="B1275" s="4">
        <v>8.2899999999999991</v>
      </c>
      <c r="C1275" s="4">
        <v>2.5099999999999998</v>
      </c>
      <c r="D1275" s="4">
        <v>0.04</v>
      </c>
      <c r="E1275" s="4">
        <v>-8.2897625271054036E-3</v>
      </c>
      <c r="F1275" s="3">
        <v>1273</v>
      </c>
      <c r="G1275" s="3">
        <v>1</v>
      </c>
      <c r="H1275" s="5">
        <v>2792965492.1500001</v>
      </c>
      <c r="I1275" s="5">
        <v>3415965492.1500001</v>
      </c>
      <c r="J1275" s="5">
        <v>983000000</v>
      </c>
      <c r="K1275" s="5">
        <v>360000000</v>
      </c>
      <c r="L1275" s="5">
        <v>5053000000</v>
      </c>
      <c r="M1275" s="5">
        <v>412000000</v>
      </c>
      <c r="N1275" s="5">
        <v>173000000</v>
      </c>
    </row>
    <row r="1276" spans="1:14" x14ac:dyDescent="0.25">
      <c r="A1276" s="3" t="s">
        <v>1287</v>
      </c>
      <c r="B1276" s="4">
        <v>4.3099999999999996</v>
      </c>
      <c r="C1276" s="4">
        <v>1.66</v>
      </c>
      <c r="D1276" s="4">
        <v>-0.08</v>
      </c>
      <c r="E1276" s="4">
        <v>-8.3055635748275815E-3</v>
      </c>
      <c r="F1276" s="3">
        <v>1274</v>
      </c>
      <c r="G1276" s="3">
        <v>1</v>
      </c>
      <c r="H1276" s="5">
        <v>289261108.5</v>
      </c>
      <c r="I1276" s="5">
        <v>573481108.5</v>
      </c>
      <c r="J1276" s="5">
        <v>393223000</v>
      </c>
      <c r="K1276" s="5">
        <v>109003000</v>
      </c>
      <c r="L1276" s="5">
        <v>525261000</v>
      </c>
      <c r="M1276" s="5">
        <v>133205000</v>
      </c>
      <c r="N1276" s="5">
        <v>-87145000</v>
      </c>
    </row>
    <row r="1277" spans="1:14" x14ac:dyDescent="0.25">
      <c r="A1277" s="3" t="s">
        <v>1288</v>
      </c>
      <c r="B1277" s="4">
        <v>-0.11</v>
      </c>
      <c r="C1277" s="4">
        <v>0.82</v>
      </c>
      <c r="D1277" s="4">
        <v>-1.7</v>
      </c>
      <c r="E1277" s="4">
        <v>-8.3094999514897686E-3</v>
      </c>
      <c r="F1277" s="3">
        <v>1275</v>
      </c>
      <c r="G1277" s="3">
        <v>1</v>
      </c>
      <c r="H1277" s="5">
        <v>172350000</v>
      </c>
      <c r="I1277" s="5">
        <v>60338000</v>
      </c>
      <c r="J1277" s="5">
        <v>0</v>
      </c>
      <c r="K1277" s="5">
        <v>112012000</v>
      </c>
      <c r="L1277" s="5">
        <v>675561000</v>
      </c>
      <c r="M1277" s="5">
        <v>-531282000</v>
      </c>
      <c r="N1277" s="5">
        <v>-534685000</v>
      </c>
    </row>
    <row r="1278" spans="1:14" x14ac:dyDescent="0.25">
      <c r="A1278" s="3" t="s">
        <v>1289</v>
      </c>
      <c r="B1278" s="4">
        <v>-3.98</v>
      </c>
      <c r="C1278" s="4">
        <v>-0.12</v>
      </c>
      <c r="D1278" s="4">
        <v>-0.09</v>
      </c>
      <c r="E1278" s="4">
        <v>-8.3197031271014001E-3</v>
      </c>
      <c r="F1278" s="3">
        <v>1276</v>
      </c>
      <c r="G1278" s="3">
        <v>1</v>
      </c>
      <c r="H1278" s="5">
        <v>240228780.55000001</v>
      </c>
      <c r="I1278" s="5">
        <v>183519780.55000001</v>
      </c>
      <c r="J1278" s="5">
        <v>0</v>
      </c>
      <c r="K1278" s="5">
        <v>56709000</v>
      </c>
      <c r="L1278" s="5">
        <v>137421000</v>
      </c>
      <c r="M1278" s="5">
        <v>-46153000</v>
      </c>
      <c r="N1278" s="5">
        <v>-38531000</v>
      </c>
    </row>
    <row r="1279" spans="1:14" x14ac:dyDescent="0.25">
      <c r="A1279" s="3" t="s">
        <v>1290</v>
      </c>
      <c r="B1279" s="4">
        <v>-6.53</v>
      </c>
      <c r="C1279" s="4">
        <v>-0.65</v>
      </c>
      <c r="D1279" s="4">
        <v>-0.41</v>
      </c>
      <c r="E1279" s="4">
        <v>-8.3345456965931118E-3</v>
      </c>
      <c r="F1279" s="3">
        <v>1277</v>
      </c>
      <c r="G1279" s="3">
        <v>1</v>
      </c>
      <c r="H1279" s="5">
        <v>1003536419.37</v>
      </c>
      <c r="I1279" s="5">
        <v>934006419.37</v>
      </c>
      <c r="J1279" s="5">
        <v>0</v>
      </c>
      <c r="K1279" s="5">
        <v>69530000</v>
      </c>
      <c r="L1279" s="5">
        <v>42069000</v>
      </c>
      <c r="M1279" s="5">
        <v>-143095000</v>
      </c>
      <c r="N1279" s="5">
        <v>-130302000</v>
      </c>
    </row>
    <row r="1280" spans="1:14" x14ac:dyDescent="0.25">
      <c r="A1280" s="3" t="s">
        <v>1291</v>
      </c>
      <c r="B1280" s="4">
        <v>-1.03</v>
      </c>
      <c r="C1280" s="4">
        <v>0.48</v>
      </c>
      <c r="D1280" s="4">
        <v>0.31</v>
      </c>
      <c r="E1280" s="4">
        <v>-8.3347413237715336E-3</v>
      </c>
      <c r="F1280" s="3">
        <v>1278</v>
      </c>
      <c r="G1280" s="3">
        <v>1</v>
      </c>
      <c r="H1280" s="5">
        <v>1008444096.37</v>
      </c>
      <c r="I1280" s="5">
        <v>-896229903.63</v>
      </c>
      <c r="J1280" s="5">
        <v>0</v>
      </c>
      <c r="K1280" s="5">
        <v>1904674000</v>
      </c>
      <c r="L1280" s="5">
        <v>3284525000</v>
      </c>
      <c r="M1280" s="5">
        <v>873554000</v>
      </c>
      <c r="N1280" s="5">
        <v>865846000</v>
      </c>
    </row>
    <row r="1281" spans="1:14" x14ac:dyDescent="0.25">
      <c r="A1281" s="3" t="s">
        <v>1292</v>
      </c>
      <c r="B1281" s="4">
        <v>-1.0900000000000001</v>
      </c>
      <c r="C1281" s="4">
        <v>0.48</v>
      </c>
      <c r="D1281" s="4">
        <v>0.1</v>
      </c>
      <c r="E1281" s="4">
        <v>-8.3381156477166964E-3</v>
      </c>
      <c r="F1281" s="3">
        <v>1279</v>
      </c>
      <c r="G1281" s="3">
        <v>1</v>
      </c>
      <c r="H1281" s="5">
        <v>352.60795400000001</v>
      </c>
      <c r="I1281" s="5">
        <v>373722352.60795403</v>
      </c>
      <c r="J1281" s="5">
        <v>1107943000</v>
      </c>
      <c r="K1281" s="5">
        <v>734221000</v>
      </c>
      <c r="L1281" s="5">
        <v>2316680000</v>
      </c>
      <c r="M1281" s="5">
        <v>-343571000</v>
      </c>
      <c r="N1281" s="5">
        <v>359287000</v>
      </c>
    </row>
    <row r="1282" spans="1:14" x14ac:dyDescent="0.25">
      <c r="A1282" s="3" t="s">
        <v>1293</v>
      </c>
      <c r="B1282" s="4">
        <v>-3.39</v>
      </c>
      <c r="C1282" s="4">
        <v>0.09</v>
      </c>
      <c r="D1282" s="4">
        <v>-1.57</v>
      </c>
      <c r="E1282" s="4">
        <v>-8.3635964493962208E-3</v>
      </c>
      <c r="F1282" s="3">
        <v>1280</v>
      </c>
      <c r="G1282" s="3">
        <v>1</v>
      </c>
      <c r="H1282" s="5">
        <v>366451.4</v>
      </c>
      <c r="I1282" s="5">
        <v>926021.39999999991</v>
      </c>
      <c r="J1282" s="5">
        <v>706620</v>
      </c>
      <c r="K1282" s="5">
        <v>147050</v>
      </c>
      <c r="L1282" s="5">
        <v>265570</v>
      </c>
      <c r="M1282" s="5">
        <v>-273140</v>
      </c>
      <c r="N1282" s="5">
        <v>-278610</v>
      </c>
    </row>
    <row r="1283" spans="1:14" x14ac:dyDescent="0.25">
      <c r="A1283" s="3" t="s">
        <v>1294</v>
      </c>
      <c r="B1283" s="4">
        <v>-4.4400000000000004</v>
      </c>
      <c r="C1283" s="4">
        <v>0.18</v>
      </c>
      <c r="D1283" s="4">
        <v>-6.41</v>
      </c>
      <c r="E1283" s="4">
        <v>-8.3873362515858082E-3</v>
      </c>
      <c r="F1283" s="3">
        <v>1281</v>
      </c>
      <c r="G1283" s="3">
        <v>1</v>
      </c>
      <c r="H1283" s="5">
        <v>65.076161999999997</v>
      </c>
      <c r="I1283" s="5">
        <v>10950915.076161999</v>
      </c>
      <c r="J1283" s="5">
        <v>11083000</v>
      </c>
      <c r="K1283" s="5">
        <v>132150</v>
      </c>
      <c r="L1283" s="5">
        <v>0</v>
      </c>
      <c r="M1283" s="5">
        <v>-2465600</v>
      </c>
      <c r="N1283" s="5">
        <v>-3276500</v>
      </c>
    </row>
    <row r="1284" spans="1:14" x14ac:dyDescent="0.25">
      <c r="A1284" s="3" t="s">
        <v>1295</v>
      </c>
      <c r="B1284" s="4">
        <v>-3.89</v>
      </c>
      <c r="C1284" s="4">
        <v>-0.14000000000000001</v>
      </c>
      <c r="D1284" s="4">
        <v>-7.0000000000000007E-2</v>
      </c>
      <c r="E1284" s="4">
        <v>-8.4293351392490026E-3</v>
      </c>
      <c r="F1284" s="3">
        <v>1282</v>
      </c>
      <c r="G1284" s="3">
        <v>1</v>
      </c>
      <c r="H1284" s="5">
        <v>9546543.5924999993</v>
      </c>
      <c r="I1284" s="5">
        <v>12558443.592499999</v>
      </c>
      <c r="J1284" s="5">
        <v>3710140</v>
      </c>
      <c r="K1284" s="5">
        <v>698240</v>
      </c>
      <c r="L1284" s="5">
        <v>40429750</v>
      </c>
      <c r="M1284" s="5">
        <v>-3229610</v>
      </c>
      <c r="N1284" s="5">
        <v>-6187510</v>
      </c>
    </row>
    <row r="1285" spans="1:14" x14ac:dyDescent="0.25">
      <c r="A1285" s="3" t="s">
        <v>1296</v>
      </c>
      <c r="B1285" s="4">
        <v>-0.03</v>
      </c>
      <c r="C1285" s="4">
        <v>1.23</v>
      </c>
      <c r="D1285" s="4">
        <v>-8.26</v>
      </c>
      <c r="E1285" s="4">
        <v>-8.4398171443174595E-3</v>
      </c>
      <c r="F1285" s="3">
        <v>1283</v>
      </c>
      <c r="G1285" s="3">
        <v>1</v>
      </c>
      <c r="H1285" s="5">
        <v>96.050557999999995</v>
      </c>
      <c r="I1285" s="5">
        <v>22826.050557999999</v>
      </c>
      <c r="J1285" s="5">
        <v>72610</v>
      </c>
      <c r="K1285" s="5">
        <v>49880</v>
      </c>
      <c r="L1285" s="5">
        <v>0</v>
      </c>
      <c r="M1285" s="5">
        <v>-757370</v>
      </c>
      <c r="N1285" s="5">
        <v>-1916320</v>
      </c>
    </row>
    <row r="1286" spans="1:14" x14ac:dyDescent="0.25">
      <c r="A1286" s="3" t="s">
        <v>1297</v>
      </c>
      <c r="B1286" s="4">
        <v>-0.78</v>
      </c>
      <c r="C1286" s="4">
        <v>0.49</v>
      </c>
      <c r="D1286" s="4">
        <v>0.17</v>
      </c>
      <c r="E1286" s="4">
        <v>-8.4875842312690953E-3</v>
      </c>
      <c r="F1286" s="3">
        <v>1284</v>
      </c>
      <c r="G1286" s="3">
        <v>1</v>
      </c>
      <c r="H1286" s="5">
        <v>15713840</v>
      </c>
      <c r="I1286" s="5">
        <v>152713840</v>
      </c>
      <c r="J1286" s="5">
        <v>210000000</v>
      </c>
      <c r="K1286" s="5">
        <v>73000000</v>
      </c>
      <c r="L1286" s="5">
        <v>1556000000</v>
      </c>
      <c r="M1286" s="5">
        <v>-196000000</v>
      </c>
      <c r="N1286" s="5">
        <v>198000000</v>
      </c>
    </row>
    <row r="1287" spans="1:14" x14ac:dyDescent="0.25">
      <c r="A1287" s="3" t="s">
        <v>1298</v>
      </c>
      <c r="B1287" s="4">
        <v>-4.54</v>
      </c>
      <c r="C1287" s="4">
        <v>-0.28999999999999998</v>
      </c>
      <c r="D1287" s="4">
        <v>-0.28000000000000003</v>
      </c>
      <c r="E1287" s="4">
        <v>-8.5009504322834627E-3</v>
      </c>
      <c r="F1287" s="3">
        <v>1285</v>
      </c>
      <c r="G1287" s="3">
        <v>1</v>
      </c>
      <c r="H1287" s="5">
        <v>322802660.88</v>
      </c>
      <c r="I1287" s="5">
        <v>246962660.88</v>
      </c>
      <c r="J1287" s="5">
        <v>0</v>
      </c>
      <c r="K1287" s="5">
        <v>75840000</v>
      </c>
      <c r="L1287" s="5">
        <v>0</v>
      </c>
      <c r="M1287" s="5">
        <v>-54454000</v>
      </c>
      <c r="N1287" s="5">
        <v>-45567000</v>
      </c>
    </row>
    <row r="1288" spans="1:14" x14ac:dyDescent="0.25">
      <c r="A1288" s="3" t="s">
        <v>1299</v>
      </c>
      <c r="B1288" s="4">
        <v>-4.74</v>
      </c>
      <c r="C1288" s="4">
        <v>-0.34</v>
      </c>
      <c r="D1288" s="4">
        <v>-0.25</v>
      </c>
      <c r="E1288" s="4">
        <v>-8.5158472736816867E-3</v>
      </c>
      <c r="F1288" s="3">
        <v>1286</v>
      </c>
      <c r="G1288" s="3">
        <v>1</v>
      </c>
      <c r="H1288" s="5">
        <v>66383470.188000001</v>
      </c>
      <c r="I1288" s="5">
        <v>79073440.187999994</v>
      </c>
      <c r="J1288" s="5">
        <v>14304900</v>
      </c>
      <c r="K1288" s="5">
        <v>1614930</v>
      </c>
      <c r="L1288" s="5">
        <v>7912720</v>
      </c>
      <c r="M1288" s="5">
        <v>-16676500</v>
      </c>
      <c r="N1288" s="5">
        <v>-24882080</v>
      </c>
    </row>
    <row r="1289" spans="1:14" x14ac:dyDescent="0.25">
      <c r="A1289" s="3" t="s">
        <v>1300</v>
      </c>
      <c r="B1289" s="4">
        <v>-0.28999999999999998</v>
      </c>
      <c r="C1289" s="4">
        <v>1.06</v>
      </c>
      <c r="D1289" s="4">
        <v>-7.04</v>
      </c>
      <c r="E1289" s="4">
        <v>-8.5347478729835176E-3</v>
      </c>
      <c r="F1289" s="3">
        <v>1287</v>
      </c>
      <c r="G1289" s="3">
        <v>1</v>
      </c>
      <c r="H1289" s="5">
        <v>27.019257</v>
      </c>
      <c r="I1289" s="5">
        <v>866057.01925699995</v>
      </c>
      <c r="J1289" s="5">
        <v>1672240</v>
      </c>
      <c r="K1289" s="5">
        <v>806210</v>
      </c>
      <c r="L1289" s="5">
        <v>686450</v>
      </c>
      <c r="M1289" s="5">
        <v>-2972850</v>
      </c>
      <c r="N1289" s="5">
        <v>-16667410</v>
      </c>
    </row>
    <row r="1290" spans="1:14" x14ac:dyDescent="0.25">
      <c r="A1290" s="3" t="s">
        <v>1301</v>
      </c>
      <c r="B1290" s="4">
        <v>-2.12</v>
      </c>
      <c r="C1290" s="4">
        <v>0.18</v>
      </c>
      <c r="D1290" s="4">
        <v>0.15</v>
      </c>
      <c r="E1290" s="4">
        <v>-8.5577905384639254E-3</v>
      </c>
      <c r="F1290" s="3">
        <v>1288</v>
      </c>
      <c r="G1290" s="3">
        <v>1</v>
      </c>
      <c r="H1290" s="5">
        <v>346.39530000000002</v>
      </c>
      <c r="I1290" s="5">
        <v>-1688653.6047</v>
      </c>
      <c r="J1290" s="5">
        <v>0</v>
      </c>
      <c r="K1290" s="5">
        <v>1689000</v>
      </c>
      <c r="L1290" s="5">
        <v>8199000</v>
      </c>
      <c r="M1290" s="5">
        <v>798000</v>
      </c>
      <c r="N1290" s="5">
        <v>749000</v>
      </c>
    </row>
    <row r="1291" spans="1:14" x14ac:dyDescent="0.25">
      <c r="A1291" s="3" t="s">
        <v>1302</v>
      </c>
      <c r="B1291" s="4">
        <v>-1.05</v>
      </c>
      <c r="C1291" s="4">
        <v>0.5</v>
      </c>
      <c r="D1291" s="4">
        <v>-1.22</v>
      </c>
      <c r="E1291" s="4">
        <v>-8.5597167647068605E-3</v>
      </c>
      <c r="F1291" s="3">
        <v>1289</v>
      </c>
      <c r="G1291" s="3">
        <v>1</v>
      </c>
      <c r="H1291" s="5">
        <v>30494.218411999998</v>
      </c>
      <c r="I1291" s="5">
        <v>1032634.218412</v>
      </c>
      <c r="J1291" s="5">
        <v>1113750</v>
      </c>
      <c r="K1291" s="5">
        <v>111610</v>
      </c>
      <c r="L1291" s="5">
        <v>253170</v>
      </c>
      <c r="M1291" s="5">
        <v>-980250</v>
      </c>
      <c r="N1291" s="5">
        <v>-1100180</v>
      </c>
    </row>
    <row r="1292" spans="1:14" x14ac:dyDescent="0.25">
      <c r="A1292" s="3" t="s">
        <v>1303</v>
      </c>
      <c r="B1292" s="4">
        <v>-3</v>
      </c>
      <c r="C1292" s="4">
        <v>0</v>
      </c>
      <c r="D1292" s="4">
        <v>0</v>
      </c>
      <c r="E1292" s="4">
        <v>-8.5621607620439428E-3</v>
      </c>
      <c r="F1292" s="3">
        <v>1290</v>
      </c>
      <c r="G1292" s="3">
        <v>1</v>
      </c>
      <c r="H1292" s="5">
        <v>857326411.5</v>
      </c>
      <c r="I1292" s="5">
        <v>-887856588.5</v>
      </c>
      <c r="J1292" s="5">
        <v>225000000</v>
      </c>
      <c r="K1292" s="5">
        <v>1970183000</v>
      </c>
      <c r="L1292" s="5">
        <v>16328400000</v>
      </c>
      <c r="M1292" s="5">
        <v>296032000</v>
      </c>
      <c r="N1292" s="5">
        <v>-8229000</v>
      </c>
    </row>
    <row r="1293" spans="1:14" x14ac:dyDescent="0.25">
      <c r="A1293" s="3" t="s">
        <v>1304</v>
      </c>
      <c r="B1293" s="4">
        <v>-3.49</v>
      </c>
      <c r="C1293" s="4">
        <v>-0.1</v>
      </c>
      <c r="D1293" s="4">
        <v>-0.08</v>
      </c>
      <c r="E1293" s="4">
        <v>-8.5632579656517698E-3</v>
      </c>
      <c r="F1293" s="3">
        <v>1291</v>
      </c>
      <c r="G1293" s="3">
        <v>1</v>
      </c>
      <c r="H1293" s="5">
        <v>54646000</v>
      </c>
      <c r="I1293" s="5">
        <v>24028000</v>
      </c>
      <c r="J1293" s="5">
        <v>0</v>
      </c>
      <c r="K1293" s="5">
        <v>30618000</v>
      </c>
      <c r="L1293" s="5">
        <v>9748000</v>
      </c>
      <c r="M1293" s="5">
        <v>-6882000</v>
      </c>
      <c r="N1293" s="5">
        <v>-5523000</v>
      </c>
    </row>
    <row r="1294" spans="1:14" x14ac:dyDescent="0.25">
      <c r="A1294" s="3" t="s">
        <v>1305</v>
      </c>
      <c r="B1294" s="4">
        <v>-0.17</v>
      </c>
      <c r="C1294" s="4">
        <v>2.2400000000000002</v>
      </c>
      <c r="D1294" s="4">
        <v>-24.52</v>
      </c>
      <c r="E1294" s="4">
        <v>-8.5715111711226599E-3</v>
      </c>
      <c r="F1294" s="3">
        <v>1292</v>
      </c>
      <c r="G1294" s="3">
        <v>1</v>
      </c>
      <c r="H1294" s="5">
        <v>3545.0067819999999</v>
      </c>
      <c r="I1294" s="5">
        <v>292955.00678200001</v>
      </c>
      <c r="J1294" s="5">
        <v>296640</v>
      </c>
      <c r="K1294" s="5">
        <v>7230</v>
      </c>
      <c r="L1294" s="5">
        <v>227530</v>
      </c>
      <c r="M1294" s="5">
        <v>-1768230</v>
      </c>
      <c r="N1294" s="5">
        <v>-2407470</v>
      </c>
    </row>
    <row r="1295" spans="1:14" x14ac:dyDescent="0.25">
      <c r="A1295" s="3" t="s">
        <v>1306</v>
      </c>
      <c r="B1295" s="4">
        <v>-2.59</v>
      </c>
      <c r="C1295" s="4">
        <v>0.08</v>
      </c>
      <c r="D1295" s="4">
        <v>0.02</v>
      </c>
      <c r="E1295" s="4">
        <v>-8.5809112863534411E-3</v>
      </c>
      <c r="F1295" s="3">
        <v>1293</v>
      </c>
      <c r="G1295" s="3">
        <v>1</v>
      </c>
      <c r="H1295" s="5">
        <v>204064226.91</v>
      </c>
      <c r="I1295" s="5">
        <v>-1029571333.09</v>
      </c>
      <c r="J1295" s="5">
        <v>256600000</v>
      </c>
      <c r="K1295" s="5">
        <v>1490235560</v>
      </c>
      <c r="L1295" s="5">
        <v>1343440200</v>
      </c>
      <c r="M1295" s="5">
        <v>397751040</v>
      </c>
      <c r="N1295" s="5">
        <v>110002230</v>
      </c>
    </row>
    <row r="1296" spans="1:14" x14ac:dyDescent="0.25">
      <c r="A1296" s="3" t="s">
        <v>1307</v>
      </c>
      <c r="B1296" s="4">
        <v>-1.1299999999999999</v>
      </c>
      <c r="C1296" s="4">
        <v>1.0900000000000001</v>
      </c>
      <c r="D1296" s="4">
        <v>-10.48</v>
      </c>
      <c r="E1296" s="4">
        <v>-8.5917589160476541E-3</v>
      </c>
      <c r="F1296" s="3">
        <v>1294</v>
      </c>
      <c r="G1296" s="3">
        <v>1</v>
      </c>
      <c r="H1296" s="5">
        <v>1069091.0204400001</v>
      </c>
      <c r="I1296" s="5">
        <v>1054591.0204400001</v>
      </c>
      <c r="J1296" s="5">
        <v>0</v>
      </c>
      <c r="K1296" s="5">
        <v>14500</v>
      </c>
      <c r="L1296" s="5">
        <v>430</v>
      </c>
      <c r="M1296" s="5">
        <v>-929160</v>
      </c>
      <c r="N1296" s="5">
        <v>-962960</v>
      </c>
    </row>
    <row r="1297" spans="1:14" x14ac:dyDescent="0.25">
      <c r="A1297" s="3" t="s">
        <v>1308</v>
      </c>
      <c r="B1297" s="4">
        <v>-3.77</v>
      </c>
      <c r="C1297" s="4">
        <v>-0.17</v>
      </c>
      <c r="D1297" s="4">
        <v>-0.12</v>
      </c>
      <c r="E1297" s="4">
        <v>-8.5999315615448348E-3</v>
      </c>
      <c r="F1297" s="3">
        <v>1295</v>
      </c>
      <c r="G1297" s="3">
        <v>1</v>
      </c>
      <c r="H1297" s="5">
        <v>318335992.04000002</v>
      </c>
      <c r="I1297" s="5">
        <v>197297992.03999999</v>
      </c>
      <c r="J1297" s="5">
        <v>0</v>
      </c>
      <c r="K1297" s="5">
        <v>121038000</v>
      </c>
      <c r="L1297" s="5">
        <v>228614000</v>
      </c>
      <c r="M1297" s="5">
        <v>-52308000</v>
      </c>
      <c r="N1297" s="5">
        <v>-82183000</v>
      </c>
    </row>
    <row r="1298" spans="1:14" x14ac:dyDescent="0.25">
      <c r="A1298" s="3" t="s">
        <v>1309</v>
      </c>
      <c r="B1298" s="4">
        <v>-3.46</v>
      </c>
      <c r="C1298" s="4">
        <v>-0.11</v>
      </c>
      <c r="D1298" s="4">
        <v>-0.06</v>
      </c>
      <c r="E1298" s="4">
        <v>-8.6068611366024537E-3</v>
      </c>
      <c r="F1298" s="3">
        <v>1296</v>
      </c>
      <c r="G1298" s="3">
        <v>1</v>
      </c>
      <c r="H1298" s="5">
        <v>449778384</v>
      </c>
      <c r="I1298" s="5">
        <v>289851384</v>
      </c>
      <c r="J1298" s="5">
        <v>0</v>
      </c>
      <c r="K1298" s="5">
        <v>159927000</v>
      </c>
      <c r="L1298" s="5">
        <v>598399000</v>
      </c>
      <c r="M1298" s="5">
        <v>-83801000</v>
      </c>
      <c r="N1298" s="5">
        <v>-100269000</v>
      </c>
    </row>
    <row r="1299" spans="1:14" x14ac:dyDescent="0.25">
      <c r="A1299" s="3" t="s">
        <v>1310</v>
      </c>
      <c r="B1299" s="4">
        <v>5.66</v>
      </c>
      <c r="C1299" s="4">
        <v>1.83</v>
      </c>
      <c r="D1299" s="4">
        <v>7.0000000000000007E-2</v>
      </c>
      <c r="E1299" s="4">
        <v>-8.6209796260246583E-3</v>
      </c>
      <c r="F1299" s="3">
        <v>1297</v>
      </c>
      <c r="G1299" s="3">
        <v>1</v>
      </c>
      <c r="H1299" s="5">
        <v>1658580394.02</v>
      </c>
      <c r="I1299" s="5">
        <v>9863580394.0200005</v>
      </c>
      <c r="J1299" s="5">
        <v>8880000000</v>
      </c>
      <c r="K1299" s="5">
        <v>675000000</v>
      </c>
      <c r="L1299" s="5">
        <v>6403000000</v>
      </c>
      <c r="M1299" s="5">
        <v>1742000000</v>
      </c>
      <c r="N1299" s="5">
        <v>864000000</v>
      </c>
    </row>
    <row r="1300" spans="1:14" x14ac:dyDescent="0.25">
      <c r="A1300" s="3" t="s">
        <v>1311</v>
      </c>
      <c r="B1300" s="4">
        <v>-3.25</v>
      </c>
      <c r="C1300" s="4">
        <v>-7.0000000000000007E-2</v>
      </c>
      <c r="D1300" s="4">
        <v>-0.06</v>
      </c>
      <c r="E1300" s="4">
        <v>-8.6212600281832513E-3</v>
      </c>
      <c r="F1300" s="3">
        <v>1298</v>
      </c>
      <c r="G1300" s="3">
        <v>1</v>
      </c>
      <c r="H1300" s="5">
        <v>10020185</v>
      </c>
      <c r="I1300" s="5">
        <v>2588185</v>
      </c>
      <c r="J1300" s="5">
        <v>0</v>
      </c>
      <c r="K1300" s="5">
        <v>7432000</v>
      </c>
      <c r="L1300" s="5">
        <v>26470000</v>
      </c>
      <c r="M1300" s="5">
        <v>-796000</v>
      </c>
      <c r="N1300" s="5">
        <v>-1395000</v>
      </c>
    </row>
    <row r="1301" spans="1:14" x14ac:dyDescent="0.25">
      <c r="A1301" s="3" t="s">
        <v>1312</v>
      </c>
      <c r="B1301" s="4">
        <v>-3.76</v>
      </c>
      <c r="C1301" s="4">
        <v>-0.18</v>
      </c>
      <c r="D1301" s="4">
        <v>-0.09</v>
      </c>
      <c r="E1301" s="4">
        <v>-8.6292272945238564E-3</v>
      </c>
      <c r="F1301" s="3">
        <v>1299</v>
      </c>
      <c r="G1301" s="3">
        <v>1</v>
      </c>
      <c r="H1301" s="5">
        <v>207225765.81</v>
      </c>
      <c r="I1301" s="5">
        <v>224385765.81</v>
      </c>
      <c r="J1301" s="5">
        <v>28279000</v>
      </c>
      <c r="K1301" s="5">
        <v>11119000</v>
      </c>
      <c r="L1301" s="5">
        <v>1220000</v>
      </c>
      <c r="M1301" s="5">
        <v>-59748000</v>
      </c>
      <c r="N1301" s="5">
        <v>-78190000</v>
      </c>
    </row>
    <row r="1302" spans="1:14" x14ac:dyDescent="0.25">
      <c r="A1302" s="3" t="s">
        <v>1313</v>
      </c>
      <c r="B1302" s="4">
        <v>-0.85</v>
      </c>
      <c r="C1302" s="4">
        <v>0.98</v>
      </c>
      <c r="D1302" s="4">
        <v>-8.1999999999999993</v>
      </c>
      <c r="E1302" s="4">
        <v>-8.643068293053521E-3</v>
      </c>
      <c r="F1302" s="3">
        <v>1300</v>
      </c>
      <c r="G1302" s="3">
        <v>1</v>
      </c>
      <c r="H1302" s="5">
        <v>13514361.02</v>
      </c>
      <c r="I1302" s="5">
        <v>14862551.02</v>
      </c>
      <c r="J1302" s="5">
        <v>1696850</v>
      </c>
      <c r="K1302" s="5">
        <v>348660</v>
      </c>
      <c r="L1302" s="5">
        <v>0</v>
      </c>
      <c r="M1302" s="5">
        <v>-17410800</v>
      </c>
      <c r="N1302" s="5">
        <v>-17815310</v>
      </c>
    </row>
    <row r="1303" spans="1:14" x14ac:dyDescent="0.25">
      <c r="A1303" s="3" t="s">
        <v>1314</v>
      </c>
      <c r="B1303" s="4">
        <v>-8.56</v>
      </c>
      <c r="C1303" s="4">
        <v>-1.2</v>
      </c>
      <c r="D1303" s="4">
        <v>-0.34</v>
      </c>
      <c r="E1303" s="4">
        <v>-8.6537821398390401E-3</v>
      </c>
      <c r="F1303" s="3">
        <v>1301</v>
      </c>
      <c r="G1303" s="3">
        <v>1</v>
      </c>
      <c r="H1303" s="5">
        <v>425909897.79000002</v>
      </c>
      <c r="I1303" s="5">
        <v>387565897.79000002</v>
      </c>
      <c r="J1303" s="5">
        <v>0</v>
      </c>
      <c r="K1303" s="5">
        <v>38344000</v>
      </c>
      <c r="L1303" s="5">
        <v>28520000</v>
      </c>
      <c r="M1303" s="5">
        <v>-45291000</v>
      </c>
      <c r="N1303" s="5">
        <v>-40177000</v>
      </c>
    </row>
    <row r="1304" spans="1:14" x14ac:dyDescent="0.25">
      <c r="A1304" s="3" t="s">
        <v>1315</v>
      </c>
      <c r="B1304" s="4">
        <v>-2.02</v>
      </c>
      <c r="C1304" s="4">
        <v>0.17</v>
      </c>
      <c r="D1304" s="4">
        <v>0.12</v>
      </c>
      <c r="E1304" s="4">
        <v>-8.6543632821816808E-3</v>
      </c>
      <c r="F1304" s="3">
        <v>1302</v>
      </c>
      <c r="G1304" s="3">
        <v>1</v>
      </c>
      <c r="H1304" s="5">
        <v>453634041</v>
      </c>
      <c r="I1304" s="5">
        <v>-3387649959</v>
      </c>
      <c r="J1304" s="5">
        <v>0</v>
      </c>
      <c r="K1304" s="5">
        <v>3841284000</v>
      </c>
      <c r="L1304" s="5">
        <v>5805901000</v>
      </c>
      <c r="M1304" s="5">
        <v>1675351000</v>
      </c>
      <c r="N1304" s="5">
        <v>1582299000</v>
      </c>
    </row>
    <row r="1305" spans="1:14" x14ac:dyDescent="0.25">
      <c r="A1305" s="3" t="s">
        <v>1316</v>
      </c>
      <c r="B1305" s="4">
        <v>0.13</v>
      </c>
      <c r="C1305" s="4">
        <v>0.6</v>
      </c>
      <c r="D1305" s="4">
        <v>0.56000000000000005</v>
      </c>
      <c r="E1305" s="4">
        <v>-8.6577402360213732E-3</v>
      </c>
      <c r="F1305" s="3">
        <v>1303</v>
      </c>
      <c r="G1305" s="3">
        <v>1</v>
      </c>
      <c r="H1305" s="5">
        <v>619813.05099999998</v>
      </c>
      <c r="I1305" s="5">
        <v>1585063.051</v>
      </c>
      <c r="J1305" s="5">
        <v>1101590</v>
      </c>
      <c r="K1305" s="5">
        <v>136340</v>
      </c>
      <c r="L1305" s="5">
        <v>14000000</v>
      </c>
      <c r="M1305" s="5">
        <v>12487060</v>
      </c>
      <c r="N1305" s="5">
        <v>12421400</v>
      </c>
    </row>
    <row r="1306" spans="1:14" x14ac:dyDescent="0.25">
      <c r="A1306" s="3" t="s">
        <v>1317</v>
      </c>
      <c r="B1306" s="4">
        <v>-1.64</v>
      </c>
      <c r="C1306" s="4">
        <v>0.28999999999999998</v>
      </c>
      <c r="D1306" s="4">
        <v>-0.49</v>
      </c>
      <c r="E1306" s="4">
        <v>-8.6605004357249802E-3</v>
      </c>
      <c r="F1306" s="3">
        <v>1304</v>
      </c>
      <c r="G1306" s="3">
        <v>1</v>
      </c>
      <c r="H1306" s="5">
        <v>149808.6636</v>
      </c>
      <c r="I1306" s="5">
        <v>4275808.6635999996</v>
      </c>
      <c r="J1306" s="5">
        <v>4311000</v>
      </c>
      <c r="K1306" s="5">
        <v>185000</v>
      </c>
      <c r="L1306" s="5">
        <v>15552000</v>
      </c>
      <c r="M1306" s="5">
        <v>-2607000</v>
      </c>
      <c r="N1306" s="5">
        <v>-4067000</v>
      </c>
    </row>
    <row r="1307" spans="1:14" x14ac:dyDescent="0.25">
      <c r="A1307" s="3" t="s">
        <v>1318</v>
      </c>
      <c r="B1307" s="4">
        <v>-0.54</v>
      </c>
      <c r="C1307" s="4">
        <v>0.94</v>
      </c>
      <c r="D1307" s="4">
        <v>-6.79</v>
      </c>
      <c r="E1307" s="4">
        <v>-8.67851535029243E-3</v>
      </c>
      <c r="F1307" s="3">
        <v>1305</v>
      </c>
      <c r="G1307" s="3">
        <v>1</v>
      </c>
      <c r="H1307" s="5">
        <v>57337.5</v>
      </c>
      <c r="I1307" s="5">
        <v>342807.5</v>
      </c>
      <c r="J1307" s="5">
        <v>305000</v>
      </c>
      <c r="K1307" s="5">
        <v>19530</v>
      </c>
      <c r="L1307" s="5">
        <v>0</v>
      </c>
      <c r="M1307" s="5">
        <v>-640580</v>
      </c>
      <c r="N1307" s="5">
        <v>-663000</v>
      </c>
    </row>
    <row r="1308" spans="1:14" x14ac:dyDescent="0.25">
      <c r="A1308" s="3" t="s">
        <v>1319</v>
      </c>
      <c r="B1308" s="4">
        <v>-5.66</v>
      </c>
      <c r="C1308" s="4">
        <v>-0.57999999999999996</v>
      </c>
      <c r="D1308" s="4">
        <v>-0.48</v>
      </c>
      <c r="E1308" s="4">
        <v>-8.6842545291801847E-3</v>
      </c>
      <c r="F1308" s="3">
        <v>1306</v>
      </c>
      <c r="G1308" s="3">
        <v>1</v>
      </c>
      <c r="H1308" s="5">
        <v>569681285.07000005</v>
      </c>
      <c r="I1308" s="5">
        <v>532536285.07000011</v>
      </c>
      <c r="J1308" s="5">
        <v>4068000</v>
      </c>
      <c r="K1308" s="5">
        <v>41213000</v>
      </c>
      <c r="L1308" s="5">
        <v>4534000</v>
      </c>
      <c r="M1308" s="5">
        <v>-94109000</v>
      </c>
      <c r="N1308" s="5">
        <v>-103106000</v>
      </c>
    </row>
    <row r="1309" spans="1:14" x14ac:dyDescent="0.25">
      <c r="A1309" s="3" t="s">
        <v>1320</v>
      </c>
      <c r="B1309" s="4">
        <v>-14.86</v>
      </c>
      <c r="C1309" s="4">
        <v>-2.57</v>
      </c>
      <c r="D1309" s="4">
        <v>-0.24</v>
      </c>
      <c r="E1309" s="4">
        <v>-8.6937164458859312E-3</v>
      </c>
      <c r="F1309" s="3">
        <v>1307</v>
      </c>
      <c r="G1309" s="3">
        <v>1</v>
      </c>
      <c r="H1309" s="5">
        <v>233627416.47999999</v>
      </c>
      <c r="I1309" s="5">
        <v>246893416.47999999</v>
      </c>
      <c r="J1309" s="5">
        <v>60064000</v>
      </c>
      <c r="K1309" s="5">
        <v>46798000</v>
      </c>
      <c r="L1309" s="5">
        <v>90049000</v>
      </c>
      <c r="M1309" s="5">
        <v>-16611000</v>
      </c>
      <c r="N1309" s="5">
        <v>-38069000</v>
      </c>
    </row>
    <row r="1310" spans="1:14" x14ac:dyDescent="0.25">
      <c r="A1310" s="3" t="s">
        <v>1321</v>
      </c>
      <c r="B1310" s="4">
        <v>-11.78</v>
      </c>
      <c r="C1310" s="4">
        <v>-1.92</v>
      </c>
      <c r="D1310" s="4">
        <v>-0.18</v>
      </c>
      <c r="E1310" s="4">
        <v>-8.7103331851809806E-3</v>
      </c>
      <c r="F1310" s="3">
        <v>1308</v>
      </c>
      <c r="G1310" s="3">
        <v>1</v>
      </c>
      <c r="H1310" s="5">
        <v>544817043.33000004</v>
      </c>
      <c r="I1310" s="5">
        <v>696266043.33000004</v>
      </c>
      <c r="J1310" s="5">
        <v>197523000</v>
      </c>
      <c r="K1310" s="5">
        <v>46074000</v>
      </c>
      <c r="L1310" s="5">
        <v>114701000</v>
      </c>
      <c r="M1310" s="5">
        <v>-59086000</v>
      </c>
      <c r="N1310" s="5">
        <v>-56528000</v>
      </c>
    </row>
    <row r="1311" spans="1:14" x14ac:dyDescent="0.25">
      <c r="A1311" s="3" t="s">
        <v>1322</v>
      </c>
      <c r="B1311" s="4">
        <v>-3.76</v>
      </c>
      <c r="C1311" s="4">
        <v>-0.22</v>
      </c>
      <c r="D1311" s="4">
        <v>0.06</v>
      </c>
      <c r="E1311" s="4">
        <v>-8.7158663239191008E-3</v>
      </c>
      <c r="F1311" s="3">
        <v>1309</v>
      </c>
      <c r="G1311" s="3">
        <v>1</v>
      </c>
      <c r="H1311" s="5">
        <v>181895685.375</v>
      </c>
      <c r="I1311" s="5">
        <v>349578685.375</v>
      </c>
      <c r="J1311" s="5">
        <v>293670000</v>
      </c>
      <c r="K1311" s="5">
        <v>125987000</v>
      </c>
      <c r="L1311" s="5">
        <v>266960000</v>
      </c>
      <c r="M1311" s="5">
        <v>-92891000</v>
      </c>
      <c r="N1311" s="5">
        <v>28507000</v>
      </c>
    </row>
    <row r="1312" spans="1:14" x14ac:dyDescent="0.25">
      <c r="A1312" s="3" t="s">
        <v>1323</v>
      </c>
      <c r="B1312" s="4">
        <v>-4.6100000000000003</v>
      </c>
      <c r="C1312" s="4">
        <v>-0.38</v>
      </c>
      <c r="D1312" s="4">
        <v>-0.34</v>
      </c>
      <c r="E1312" s="4">
        <v>-8.7292426149990793E-3</v>
      </c>
      <c r="F1312" s="3">
        <v>1310</v>
      </c>
      <c r="G1312" s="3">
        <v>1</v>
      </c>
      <c r="H1312" s="5">
        <v>117586841.54000001</v>
      </c>
      <c r="I1312" s="5">
        <v>79247081.540000007</v>
      </c>
      <c r="J1312" s="5">
        <v>0</v>
      </c>
      <c r="K1312" s="5">
        <v>38339760</v>
      </c>
      <c r="L1312" s="5">
        <v>3554060</v>
      </c>
      <c r="M1312" s="5">
        <v>-17197350</v>
      </c>
      <c r="N1312" s="5">
        <v>-14880790</v>
      </c>
    </row>
    <row r="1313" spans="1:14" x14ac:dyDescent="0.25">
      <c r="A1313" s="3" t="s">
        <v>1324</v>
      </c>
      <c r="B1313" s="4">
        <v>-3.42</v>
      </c>
      <c r="C1313" s="4">
        <v>-0.14000000000000001</v>
      </c>
      <c r="D1313" s="4">
        <v>-0.13</v>
      </c>
      <c r="E1313" s="4">
        <v>-8.7318019664766773E-3</v>
      </c>
      <c r="F1313" s="3">
        <v>1311</v>
      </c>
      <c r="G1313" s="3">
        <v>1</v>
      </c>
      <c r="H1313" s="5">
        <v>771518571.74000001</v>
      </c>
      <c r="I1313" s="5">
        <v>281807571.74000001</v>
      </c>
      <c r="J1313" s="5">
        <v>0</v>
      </c>
      <c r="K1313" s="5">
        <v>489711000</v>
      </c>
      <c r="L1313" s="5">
        <v>0</v>
      </c>
      <c r="M1313" s="5">
        <v>-82333000</v>
      </c>
      <c r="N1313" s="5">
        <v>-67995000</v>
      </c>
    </row>
    <row r="1314" spans="1:14" x14ac:dyDescent="0.25">
      <c r="A1314" s="3" t="s">
        <v>1325</v>
      </c>
      <c r="B1314" s="4">
        <v>-5.21</v>
      </c>
      <c r="C1314" s="4">
        <v>-0.51</v>
      </c>
      <c r="D1314" s="4">
        <v>-0.34</v>
      </c>
      <c r="E1314" s="4">
        <v>-8.7335071643623845E-3</v>
      </c>
      <c r="F1314" s="3">
        <v>1312</v>
      </c>
      <c r="G1314" s="3">
        <v>1</v>
      </c>
      <c r="H1314" s="5">
        <v>2333807939.8200002</v>
      </c>
      <c r="I1314" s="5">
        <v>2051840939.8199999</v>
      </c>
      <c r="J1314" s="5">
        <v>0</v>
      </c>
      <c r="K1314" s="5">
        <v>281967000</v>
      </c>
      <c r="L1314" s="5">
        <v>63518000</v>
      </c>
      <c r="M1314" s="5">
        <v>-393643000</v>
      </c>
      <c r="N1314" s="5">
        <v>-376742000</v>
      </c>
    </row>
    <row r="1315" spans="1:14" x14ac:dyDescent="0.25">
      <c r="A1315" s="3" t="s">
        <v>1326</v>
      </c>
      <c r="B1315" s="4">
        <v>-2.99</v>
      </c>
      <c r="C1315" s="4">
        <v>-0.06</v>
      </c>
      <c r="D1315" s="4">
        <v>0.04</v>
      </c>
      <c r="E1315" s="4">
        <v>-8.7339955035177462E-3</v>
      </c>
      <c r="F1315" s="3">
        <v>1313</v>
      </c>
      <c r="G1315" s="3">
        <v>1</v>
      </c>
      <c r="H1315" s="5">
        <v>26714810.920000002</v>
      </c>
      <c r="I1315" s="5">
        <v>65352800.920000002</v>
      </c>
      <c r="J1315" s="5">
        <v>60000000</v>
      </c>
      <c r="K1315" s="5">
        <v>21362010</v>
      </c>
      <c r="L1315" s="5">
        <v>0</v>
      </c>
      <c r="M1315" s="5">
        <v>-21825920</v>
      </c>
      <c r="N1315" s="5">
        <v>1438870</v>
      </c>
    </row>
    <row r="1316" spans="1:14" x14ac:dyDescent="0.25">
      <c r="A1316" s="3" t="s">
        <v>1327</v>
      </c>
      <c r="B1316" s="4">
        <v>-3.22</v>
      </c>
      <c r="C1316" s="4">
        <v>-0.11</v>
      </c>
      <c r="D1316" s="4">
        <v>-0.04</v>
      </c>
      <c r="E1316" s="4">
        <v>-8.7515440201773008E-3</v>
      </c>
      <c r="F1316" s="3">
        <v>1314</v>
      </c>
      <c r="G1316" s="3">
        <v>1</v>
      </c>
      <c r="H1316" s="5">
        <v>75946362.799999997</v>
      </c>
      <c r="I1316" s="5">
        <v>55667362.799999997</v>
      </c>
      <c r="J1316" s="5">
        <v>0</v>
      </c>
      <c r="K1316" s="5">
        <v>20279000</v>
      </c>
      <c r="L1316" s="5">
        <v>649806000</v>
      </c>
      <c r="M1316" s="5">
        <v>-17278000</v>
      </c>
      <c r="N1316" s="5">
        <v>-18057000</v>
      </c>
    </row>
    <row r="1317" spans="1:14" x14ac:dyDescent="0.25">
      <c r="A1317" s="3" t="s">
        <v>1328</v>
      </c>
      <c r="B1317" s="4">
        <v>-3.04</v>
      </c>
      <c r="C1317" s="4">
        <v>0.06</v>
      </c>
      <c r="D1317" s="4">
        <v>-2.1</v>
      </c>
      <c r="E1317" s="4">
        <v>-8.7691378784451202E-3</v>
      </c>
      <c r="F1317" s="3">
        <v>1315</v>
      </c>
      <c r="G1317" s="3">
        <v>1</v>
      </c>
      <c r="H1317" s="5">
        <v>323.18583599999999</v>
      </c>
      <c r="I1317" s="5">
        <v>2880213.1858359999</v>
      </c>
      <c r="J1317" s="5">
        <v>2913850</v>
      </c>
      <c r="K1317" s="5">
        <v>33960</v>
      </c>
      <c r="L1317" s="5">
        <v>0</v>
      </c>
      <c r="M1317" s="5">
        <v>-947480</v>
      </c>
      <c r="N1317" s="5">
        <v>-783380</v>
      </c>
    </row>
    <row r="1318" spans="1:14" x14ac:dyDescent="0.25">
      <c r="A1318" s="3" t="s">
        <v>1329</v>
      </c>
      <c r="B1318" s="4">
        <v>-3.9</v>
      </c>
      <c r="C1318" s="4">
        <v>-0.26</v>
      </c>
      <c r="D1318" s="4">
        <v>-0.1</v>
      </c>
      <c r="E1318" s="4">
        <v>-8.77565629745794E-3</v>
      </c>
      <c r="F1318" s="3">
        <v>1316</v>
      </c>
      <c r="G1318" s="3">
        <v>1</v>
      </c>
      <c r="H1318" s="5">
        <v>3573899.85</v>
      </c>
      <c r="I1318" s="5">
        <v>10339929.85</v>
      </c>
      <c r="J1318" s="5">
        <v>13323640</v>
      </c>
      <c r="K1318" s="5">
        <v>6557610</v>
      </c>
      <c r="L1318" s="5">
        <v>11506440</v>
      </c>
      <c r="M1318" s="5">
        <v>-2651390</v>
      </c>
      <c r="N1318" s="5">
        <v>-3492320</v>
      </c>
    </row>
    <row r="1319" spans="1:14" x14ac:dyDescent="0.25">
      <c r="A1319" s="3" t="s">
        <v>1330</v>
      </c>
      <c r="B1319" s="4">
        <v>-3.04</v>
      </c>
      <c r="C1319" s="4">
        <v>-0.08</v>
      </c>
      <c r="D1319" s="4">
        <v>-7.0000000000000007E-2</v>
      </c>
      <c r="E1319" s="4">
        <v>-8.7820559814138378E-3</v>
      </c>
      <c r="F1319" s="3">
        <v>1317</v>
      </c>
      <c r="G1319" s="3">
        <v>1</v>
      </c>
      <c r="H1319" s="5">
        <v>52586852.399999999</v>
      </c>
      <c r="I1319" s="5">
        <v>36085852.399999999</v>
      </c>
      <c r="J1319" s="5">
        <v>4275000</v>
      </c>
      <c r="K1319" s="5">
        <v>20776000</v>
      </c>
      <c r="L1319" s="5">
        <v>199205000</v>
      </c>
      <c r="M1319" s="5">
        <v>-11871000</v>
      </c>
      <c r="N1319" s="5">
        <v>-15985000</v>
      </c>
    </row>
    <row r="1320" spans="1:14" x14ac:dyDescent="0.25">
      <c r="A1320" s="3" t="s">
        <v>1331</v>
      </c>
      <c r="B1320" s="4">
        <v>-0.28999999999999998</v>
      </c>
      <c r="C1320" s="4">
        <v>0.48</v>
      </c>
      <c r="D1320" s="4">
        <v>0.36</v>
      </c>
      <c r="E1320" s="4">
        <v>-8.7830974124677389E-3</v>
      </c>
      <c r="F1320" s="3">
        <v>1318</v>
      </c>
      <c r="G1320" s="3">
        <v>1</v>
      </c>
      <c r="H1320" s="5">
        <v>3697707.64</v>
      </c>
      <c r="I1320" s="5">
        <v>1993707.64</v>
      </c>
      <c r="J1320" s="5">
        <v>260000</v>
      </c>
      <c r="K1320" s="5">
        <v>1964000</v>
      </c>
      <c r="L1320" s="5">
        <v>658000</v>
      </c>
      <c r="M1320" s="5">
        <v>-6989000</v>
      </c>
      <c r="N1320" s="5">
        <v>4796000</v>
      </c>
    </row>
    <row r="1321" spans="1:14" x14ac:dyDescent="0.25">
      <c r="A1321" s="3" t="s">
        <v>1332</v>
      </c>
      <c r="B1321" s="4">
        <v>-2.7</v>
      </c>
      <c r="C1321" s="4">
        <v>0.36</v>
      </c>
      <c r="D1321" s="4">
        <v>-5.61</v>
      </c>
      <c r="E1321" s="4">
        <v>-8.78985099041657E-3</v>
      </c>
      <c r="F1321" s="3">
        <v>1319</v>
      </c>
      <c r="G1321" s="3">
        <v>1</v>
      </c>
      <c r="H1321" s="5">
        <v>6803.2672000000002</v>
      </c>
      <c r="I1321" s="5">
        <v>4902523.2671999997</v>
      </c>
      <c r="J1321" s="5">
        <v>4923130</v>
      </c>
      <c r="K1321" s="5">
        <v>27410</v>
      </c>
      <c r="L1321" s="5">
        <v>1127060</v>
      </c>
      <c r="M1321" s="5">
        <v>-1818350</v>
      </c>
      <c r="N1321" s="5">
        <v>-4451560</v>
      </c>
    </row>
    <row r="1322" spans="1:14" x14ac:dyDescent="0.25">
      <c r="A1322" s="3" t="s">
        <v>1333</v>
      </c>
      <c r="B1322" s="4">
        <v>-1.1399999999999999</v>
      </c>
      <c r="C1322" s="4">
        <v>0.3</v>
      </c>
      <c r="D1322" s="4">
        <v>0.28000000000000003</v>
      </c>
      <c r="E1322" s="4">
        <v>-8.7925320670964452E-3</v>
      </c>
      <c r="F1322" s="3">
        <v>1320</v>
      </c>
      <c r="G1322" s="3">
        <v>1</v>
      </c>
      <c r="H1322" s="5">
        <v>36489.373699999996</v>
      </c>
      <c r="I1322" s="5">
        <v>-601050.6263</v>
      </c>
      <c r="J1322" s="5">
        <v>0</v>
      </c>
      <c r="K1322" s="5">
        <v>637540</v>
      </c>
      <c r="L1322" s="5">
        <v>1129590</v>
      </c>
      <c r="M1322" s="5">
        <v>527260</v>
      </c>
      <c r="N1322" s="5">
        <v>324180</v>
      </c>
    </row>
    <row r="1323" spans="1:14" x14ac:dyDescent="0.25">
      <c r="A1323" s="3" t="s">
        <v>1334</v>
      </c>
      <c r="B1323" s="4">
        <v>0.45</v>
      </c>
      <c r="C1323" s="4">
        <v>0.65</v>
      </c>
      <c r="D1323" s="4">
        <v>0.11</v>
      </c>
      <c r="E1323" s="4">
        <v>-8.7981329792433307E-3</v>
      </c>
      <c r="F1323" s="3">
        <v>1321</v>
      </c>
      <c r="G1323" s="3">
        <v>1</v>
      </c>
      <c r="H1323" s="5">
        <v>10827040</v>
      </c>
      <c r="I1323" s="5">
        <v>5851370</v>
      </c>
      <c r="J1323" s="5">
        <v>8871260</v>
      </c>
      <c r="K1323" s="5">
        <v>13846930</v>
      </c>
      <c r="L1323" s="5">
        <v>103820400</v>
      </c>
      <c r="M1323" s="5">
        <v>12917250</v>
      </c>
      <c r="N1323" s="5">
        <v>6402880</v>
      </c>
    </row>
    <row r="1324" spans="1:14" x14ac:dyDescent="0.25">
      <c r="A1324" s="3" t="s">
        <v>1335</v>
      </c>
      <c r="B1324" s="4">
        <v>-0.84</v>
      </c>
      <c r="C1324" s="4">
        <v>1.1299999999999999</v>
      </c>
      <c r="D1324" s="4">
        <v>-11.22</v>
      </c>
      <c r="E1324" s="4">
        <v>-8.7984194199405077E-3</v>
      </c>
      <c r="F1324" s="3">
        <v>1322</v>
      </c>
      <c r="G1324" s="3">
        <v>1</v>
      </c>
      <c r="H1324" s="5">
        <v>6750.3508000000002</v>
      </c>
      <c r="I1324" s="5">
        <v>4444350.3508000001</v>
      </c>
      <c r="J1324" s="5">
        <v>4474650</v>
      </c>
      <c r="K1324" s="5">
        <v>37050</v>
      </c>
      <c r="L1324" s="5">
        <v>362850</v>
      </c>
      <c r="M1324" s="5">
        <v>-5314260</v>
      </c>
      <c r="N1324" s="5">
        <v>-6139960</v>
      </c>
    </row>
    <row r="1325" spans="1:14" x14ac:dyDescent="0.25">
      <c r="A1325" s="3" t="s">
        <v>1336</v>
      </c>
      <c r="B1325" s="4">
        <v>-1.24</v>
      </c>
      <c r="C1325" s="4">
        <v>0.28000000000000003</v>
      </c>
      <c r="D1325" s="4">
        <v>0.16</v>
      </c>
      <c r="E1325" s="4">
        <v>-8.8115755430846592E-3</v>
      </c>
      <c r="F1325" s="3">
        <v>1323</v>
      </c>
      <c r="G1325" s="3">
        <v>1</v>
      </c>
      <c r="H1325" s="5">
        <v>2920798.1519999998</v>
      </c>
      <c r="I1325" s="5">
        <v>264798.15199999983</v>
      </c>
      <c r="J1325" s="5">
        <v>0</v>
      </c>
      <c r="K1325" s="5">
        <v>2656000</v>
      </c>
      <c r="L1325" s="5">
        <v>23000</v>
      </c>
      <c r="M1325" s="5">
        <v>-213000</v>
      </c>
      <c r="N1325" s="5">
        <v>437000</v>
      </c>
    </row>
    <row r="1326" spans="1:14" x14ac:dyDescent="0.25">
      <c r="A1326" s="3" t="s">
        <v>1337</v>
      </c>
      <c r="B1326" s="4">
        <v>-2.25</v>
      </c>
      <c r="C1326" s="4">
        <v>7.0000000000000007E-2</v>
      </c>
      <c r="D1326" s="4">
        <v>0.05</v>
      </c>
      <c r="E1326" s="4">
        <v>-8.8144508073360189E-3</v>
      </c>
      <c r="F1326" s="3">
        <v>1324</v>
      </c>
      <c r="G1326" s="3">
        <v>1</v>
      </c>
      <c r="H1326" s="5">
        <v>628971892.54999995</v>
      </c>
      <c r="I1326" s="5">
        <v>-536073797.44999999</v>
      </c>
      <c r="J1326" s="5">
        <v>124584290</v>
      </c>
      <c r="K1326" s="5">
        <v>1289629980</v>
      </c>
      <c r="L1326" s="5">
        <v>804488550</v>
      </c>
      <c r="M1326" s="5">
        <v>238267890</v>
      </c>
      <c r="N1326" s="5">
        <v>299815050</v>
      </c>
    </row>
    <row r="1327" spans="1:14" x14ac:dyDescent="0.25">
      <c r="A1327" s="3" t="s">
        <v>1338</v>
      </c>
      <c r="B1327" s="4">
        <v>-0.21</v>
      </c>
      <c r="C1327" s="4">
        <v>0.59</v>
      </c>
      <c r="D1327" s="4">
        <v>-1.26</v>
      </c>
      <c r="E1327" s="4">
        <v>-8.8272836864412667E-3</v>
      </c>
      <c r="F1327" s="3">
        <v>1325</v>
      </c>
      <c r="G1327" s="3">
        <v>1</v>
      </c>
      <c r="H1327" s="5">
        <v>60478.156000000003</v>
      </c>
      <c r="I1327" s="5">
        <v>164548.15599999999</v>
      </c>
      <c r="J1327" s="5">
        <v>118380</v>
      </c>
      <c r="K1327" s="5">
        <v>14310</v>
      </c>
      <c r="L1327" s="5">
        <v>296850</v>
      </c>
      <c r="M1327" s="5">
        <v>-771750</v>
      </c>
      <c r="N1327" s="5">
        <v>-627150</v>
      </c>
    </row>
    <row r="1328" spans="1:14" x14ac:dyDescent="0.25">
      <c r="A1328" s="3" t="s">
        <v>1339</v>
      </c>
      <c r="B1328" s="4">
        <v>-1.77</v>
      </c>
      <c r="C1328" s="4">
        <v>0.2</v>
      </c>
      <c r="D1328" s="4">
        <v>-0.45</v>
      </c>
      <c r="E1328" s="4">
        <v>-8.8323671184830747E-3</v>
      </c>
      <c r="F1328" s="3">
        <v>1326</v>
      </c>
      <c r="G1328" s="3">
        <v>1</v>
      </c>
      <c r="H1328" s="5">
        <v>592389.92500000005</v>
      </c>
      <c r="I1328" s="5">
        <v>1351739.925</v>
      </c>
      <c r="J1328" s="5">
        <v>2030650</v>
      </c>
      <c r="K1328" s="5">
        <v>1271300</v>
      </c>
      <c r="L1328" s="5">
        <v>11173290</v>
      </c>
      <c r="M1328" s="5">
        <v>-764980</v>
      </c>
      <c r="N1328" s="5">
        <v>-775170</v>
      </c>
    </row>
    <row r="1329" spans="1:14" x14ac:dyDescent="0.25">
      <c r="A1329" s="3" t="s">
        <v>1340</v>
      </c>
      <c r="B1329" s="4">
        <v>-3.94</v>
      </c>
      <c r="C1329" s="4">
        <v>-0.28000000000000003</v>
      </c>
      <c r="D1329" s="4">
        <v>-0.25</v>
      </c>
      <c r="E1329" s="4">
        <v>-8.8376220873611338E-3</v>
      </c>
      <c r="F1329" s="3">
        <v>1327</v>
      </c>
      <c r="G1329" s="3">
        <v>1</v>
      </c>
      <c r="H1329" s="5">
        <v>208443161.19999999</v>
      </c>
      <c r="I1329" s="5">
        <v>172200161.19999999</v>
      </c>
      <c r="J1329" s="5">
        <v>3061000</v>
      </c>
      <c r="K1329" s="5">
        <v>39304000</v>
      </c>
      <c r="L1329" s="5">
        <v>11283000</v>
      </c>
      <c r="M1329" s="5">
        <v>-43687000</v>
      </c>
      <c r="N1329" s="5">
        <v>-53516000</v>
      </c>
    </row>
    <row r="1330" spans="1:14" x14ac:dyDescent="0.25">
      <c r="A1330" s="3" t="s">
        <v>1341</v>
      </c>
      <c r="B1330" s="4">
        <v>-10.53</v>
      </c>
      <c r="C1330" s="4">
        <v>-1.63</v>
      </c>
      <c r="D1330" s="4">
        <v>-1.4</v>
      </c>
      <c r="E1330" s="4">
        <v>-8.8814105363520957E-3</v>
      </c>
      <c r="F1330" s="3">
        <v>1328</v>
      </c>
      <c r="G1330" s="3">
        <v>1</v>
      </c>
      <c r="H1330" s="5">
        <v>71547379.435000002</v>
      </c>
      <c r="I1330" s="5">
        <v>67422009.435000002</v>
      </c>
      <c r="J1330" s="5">
        <v>186350</v>
      </c>
      <c r="K1330" s="5">
        <v>4311720</v>
      </c>
      <c r="L1330" s="5">
        <v>2139540</v>
      </c>
      <c r="M1330" s="5">
        <v>-6404580</v>
      </c>
      <c r="N1330" s="5">
        <v>-10482620</v>
      </c>
    </row>
    <row r="1331" spans="1:14" x14ac:dyDescent="0.25">
      <c r="A1331" s="3" t="s">
        <v>1342</v>
      </c>
      <c r="B1331" s="4">
        <v>-2.5499999999999998</v>
      </c>
      <c r="C1331" s="4">
        <v>-0.02</v>
      </c>
      <c r="D1331" s="4">
        <v>-0.02</v>
      </c>
      <c r="E1331" s="4">
        <v>-8.9023202855963574E-3</v>
      </c>
      <c r="F1331" s="3">
        <v>1329</v>
      </c>
      <c r="G1331" s="3">
        <v>1</v>
      </c>
      <c r="H1331" s="5">
        <v>10305508.619999999</v>
      </c>
      <c r="I1331" s="5">
        <v>-9326401.3800000008</v>
      </c>
      <c r="J1331" s="5">
        <v>198220</v>
      </c>
      <c r="K1331" s="5">
        <v>19830130</v>
      </c>
      <c r="L1331" s="5">
        <v>22333250</v>
      </c>
      <c r="M1331" s="5">
        <v>3663770</v>
      </c>
      <c r="N1331" s="5">
        <v>-1796550</v>
      </c>
    </row>
    <row r="1332" spans="1:14" x14ac:dyDescent="0.25">
      <c r="A1332" s="3" t="s">
        <v>1343</v>
      </c>
      <c r="B1332" s="4">
        <v>-4.08</v>
      </c>
      <c r="C1332" s="4">
        <v>-0.34</v>
      </c>
      <c r="D1332" s="4">
        <v>-0.31</v>
      </c>
      <c r="E1332" s="4">
        <v>-8.935909009153831E-3</v>
      </c>
      <c r="F1332" s="3">
        <v>1330</v>
      </c>
      <c r="G1332" s="3">
        <v>1</v>
      </c>
      <c r="H1332" s="5">
        <v>2177100819.4200001</v>
      </c>
      <c r="I1332" s="5">
        <v>2011481819.4200001</v>
      </c>
      <c r="J1332" s="5">
        <v>9341000</v>
      </c>
      <c r="K1332" s="5">
        <v>174960000</v>
      </c>
      <c r="L1332" s="5">
        <v>0</v>
      </c>
      <c r="M1332" s="5">
        <v>-492886000</v>
      </c>
      <c r="N1332" s="5">
        <v>-422773000</v>
      </c>
    </row>
    <row r="1333" spans="1:14" x14ac:dyDescent="0.25">
      <c r="A1333" s="3" t="s">
        <v>1344</v>
      </c>
      <c r="B1333" s="4">
        <v>-5.2</v>
      </c>
      <c r="C1333" s="4">
        <v>-0.56999999999999995</v>
      </c>
      <c r="D1333" s="4">
        <v>-0.55000000000000004</v>
      </c>
      <c r="E1333" s="4">
        <v>-8.9535675702738324E-3</v>
      </c>
      <c r="F1333" s="3">
        <v>1331</v>
      </c>
      <c r="G1333" s="3">
        <v>1</v>
      </c>
      <c r="H1333" s="5">
        <v>169163381.63999999</v>
      </c>
      <c r="I1333" s="5">
        <v>148273031.63999999</v>
      </c>
      <c r="J1333" s="5">
        <v>0</v>
      </c>
      <c r="K1333" s="5">
        <v>20890350</v>
      </c>
      <c r="L1333" s="5">
        <v>12202030</v>
      </c>
      <c r="M1333" s="5">
        <v>-28527090</v>
      </c>
      <c r="N1333" s="5">
        <v>-27773100</v>
      </c>
    </row>
    <row r="1334" spans="1:14" x14ac:dyDescent="0.25">
      <c r="A1334" s="3" t="s">
        <v>1345</v>
      </c>
      <c r="B1334" s="4">
        <v>-2.56</v>
      </c>
      <c r="C1334" s="4">
        <v>0.35</v>
      </c>
      <c r="D1334" s="4">
        <v>-5.86</v>
      </c>
      <c r="E1334" s="4">
        <v>-8.9536191416277593E-3</v>
      </c>
      <c r="F1334" s="3">
        <v>1332</v>
      </c>
      <c r="G1334" s="3">
        <v>1</v>
      </c>
      <c r="H1334" s="5">
        <v>370.91178400000001</v>
      </c>
      <c r="I1334" s="5">
        <v>2035920.911784</v>
      </c>
      <c r="J1334" s="5">
        <v>2042670</v>
      </c>
      <c r="K1334" s="5">
        <v>7120</v>
      </c>
      <c r="L1334" s="5">
        <v>866210</v>
      </c>
      <c r="M1334" s="5">
        <v>-794350</v>
      </c>
      <c r="N1334" s="5">
        <v>-1207380</v>
      </c>
    </row>
    <row r="1335" spans="1:14" x14ac:dyDescent="0.25">
      <c r="A1335" s="3" t="s">
        <v>1346</v>
      </c>
      <c r="B1335" s="4">
        <v>-0.65</v>
      </c>
      <c r="C1335" s="4">
        <v>0.52</v>
      </c>
      <c r="D1335" s="4">
        <v>-2.36</v>
      </c>
      <c r="E1335" s="4">
        <v>-8.9694068083967151E-3</v>
      </c>
      <c r="F1335" s="3">
        <v>1333</v>
      </c>
      <c r="G1335" s="3">
        <v>1</v>
      </c>
      <c r="H1335" s="5">
        <v>3183.485768</v>
      </c>
      <c r="I1335" s="5">
        <v>273833.48576800001</v>
      </c>
      <c r="J1335" s="5">
        <v>287730</v>
      </c>
      <c r="K1335" s="5">
        <v>17080</v>
      </c>
      <c r="L1335" s="5">
        <v>0</v>
      </c>
      <c r="M1335" s="5">
        <v>-419860</v>
      </c>
      <c r="N1335" s="5">
        <v>-456870</v>
      </c>
    </row>
    <row r="1336" spans="1:14" x14ac:dyDescent="0.25">
      <c r="A1336" s="3" t="s">
        <v>1347</v>
      </c>
      <c r="B1336" s="4">
        <v>-5.25</v>
      </c>
      <c r="C1336" s="4">
        <v>-0.61</v>
      </c>
      <c r="D1336" s="4">
        <v>-0.25</v>
      </c>
      <c r="E1336" s="4">
        <v>-8.9803251725211006E-3</v>
      </c>
      <c r="F1336" s="3">
        <v>1334</v>
      </c>
      <c r="G1336" s="3">
        <v>1</v>
      </c>
      <c r="H1336" s="5">
        <v>575209720.06500006</v>
      </c>
      <c r="I1336" s="5">
        <v>1167333720.0650001</v>
      </c>
      <c r="J1336" s="5">
        <v>647494000</v>
      </c>
      <c r="K1336" s="5">
        <v>55370000</v>
      </c>
      <c r="L1336" s="5">
        <v>154014000</v>
      </c>
      <c r="M1336" s="5">
        <v>-222403000</v>
      </c>
      <c r="N1336" s="5">
        <v>-309851000</v>
      </c>
    </row>
    <row r="1337" spans="1:14" x14ac:dyDescent="0.25">
      <c r="A1337" s="3" t="s">
        <v>1348</v>
      </c>
      <c r="B1337" s="4">
        <v>-4.5999999999999996</v>
      </c>
      <c r="C1337" s="4">
        <v>-0.47</v>
      </c>
      <c r="D1337" s="4">
        <v>-0.31</v>
      </c>
      <c r="E1337" s="4">
        <v>-8.9896872040937572E-3</v>
      </c>
      <c r="F1337" s="3">
        <v>1335</v>
      </c>
      <c r="G1337" s="3">
        <v>1</v>
      </c>
      <c r="H1337" s="5">
        <v>11860425.859999999</v>
      </c>
      <c r="I1337" s="5">
        <v>10129265.859999999</v>
      </c>
      <c r="J1337" s="5">
        <v>0</v>
      </c>
      <c r="K1337" s="5">
        <v>1731160</v>
      </c>
      <c r="L1337" s="5">
        <v>6730610</v>
      </c>
      <c r="M1337" s="5">
        <v>-2201340</v>
      </c>
      <c r="N1337" s="5">
        <v>-2511970</v>
      </c>
    </row>
    <row r="1338" spans="1:14" x14ac:dyDescent="0.25">
      <c r="A1338" s="3" t="s">
        <v>1349</v>
      </c>
      <c r="B1338" s="4">
        <v>-0.93</v>
      </c>
      <c r="C1338" s="4">
        <v>0.4</v>
      </c>
      <c r="D1338" s="4">
        <v>-1.67</v>
      </c>
      <c r="E1338" s="4">
        <v>-9.0097294992041339E-3</v>
      </c>
      <c r="F1338" s="3">
        <v>1336</v>
      </c>
      <c r="G1338" s="3">
        <v>1</v>
      </c>
      <c r="H1338" s="5">
        <v>520846.22240000003</v>
      </c>
      <c r="I1338" s="5">
        <v>5372926.2224000003</v>
      </c>
      <c r="J1338" s="5">
        <v>6417200</v>
      </c>
      <c r="K1338" s="5">
        <v>1565120</v>
      </c>
      <c r="L1338" s="5">
        <v>17440</v>
      </c>
      <c r="M1338" s="5">
        <v>-5805740</v>
      </c>
      <c r="N1338" s="5">
        <v>-9008080</v>
      </c>
    </row>
    <row r="1339" spans="1:14" x14ac:dyDescent="0.25">
      <c r="A1339" s="3" t="s">
        <v>1350</v>
      </c>
      <c r="B1339" s="4">
        <v>0.21</v>
      </c>
      <c r="C1339" s="4">
        <v>0.55000000000000004</v>
      </c>
      <c r="D1339" s="4">
        <v>-0.31</v>
      </c>
      <c r="E1339" s="4">
        <v>-9.0195472289132956E-3</v>
      </c>
      <c r="F1339" s="3">
        <v>1337</v>
      </c>
      <c r="G1339" s="3">
        <v>1</v>
      </c>
      <c r="H1339" s="5">
        <v>9720.1029999999992</v>
      </c>
      <c r="I1339" s="5">
        <v>-807599.897</v>
      </c>
      <c r="J1339" s="5">
        <v>21530</v>
      </c>
      <c r="K1339" s="5">
        <v>838850</v>
      </c>
      <c r="L1339" s="5">
        <v>2521430</v>
      </c>
      <c r="M1339" s="5">
        <v>-3938270</v>
      </c>
      <c r="N1339" s="5">
        <v>-6877300</v>
      </c>
    </row>
    <row r="1340" spans="1:14" x14ac:dyDescent="0.25">
      <c r="A1340" s="3" t="s">
        <v>1351</v>
      </c>
      <c r="B1340" s="4">
        <v>-5.39</v>
      </c>
      <c r="C1340" s="4">
        <v>-0.64</v>
      </c>
      <c r="D1340" s="4">
        <v>-0.51</v>
      </c>
      <c r="E1340" s="4">
        <v>-9.030511804820545E-3</v>
      </c>
      <c r="F1340" s="3">
        <v>1338</v>
      </c>
      <c r="G1340" s="3">
        <v>1</v>
      </c>
      <c r="H1340" s="5">
        <v>195999657.12</v>
      </c>
      <c r="I1340" s="5">
        <v>183634657.12</v>
      </c>
      <c r="J1340" s="5">
        <v>0</v>
      </c>
      <c r="K1340" s="5">
        <v>12365000</v>
      </c>
      <c r="L1340" s="5">
        <v>38418000</v>
      </c>
      <c r="M1340" s="5">
        <v>-34070000</v>
      </c>
      <c r="N1340" s="5">
        <v>-39010000</v>
      </c>
    </row>
    <row r="1341" spans="1:14" x14ac:dyDescent="0.25">
      <c r="A1341" s="3" t="s">
        <v>1352</v>
      </c>
      <c r="B1341" s="4">
        <v>-3.2</v>
      </c>
      <c r="C1341" s="4">
        <v>-0.2</v>
      </c>
      <c r="D1341" s="4">
        <v>-0.17</v>
      </c>
      <c r="E1341" s="4">
        <v>-9.0490422402091566E-3</v>
      </c>
      <c r="F1341" s="3">
        <v>1339</v>
      </c>
      <c r="G1341" s="3">
        <v>1</v>
      </c>
      <c r="H1341" s="5">
        <v>178033102.16</v>
      </c>
      <c r="I1341" s="5">
        <v>150149102.16</v>
      </c>
      <c r="J1341" s="5">
        <v>0</v>
      </c>
      <c r="K1341" s="5">
        <v>27884000</v>
      </c>
      <c r="L1341" s="5">
        <v>38627000</v>
      </c>
      <c r="M1341" s="5">
        <v>-46882000</v>
      </c>
      <c r="N1341" s="5">
        <v>-41055000</v>
      </c>
    </row>
    <row r="1342" spans="1:14" x14ac:dyDescent="0.25">
      <c r="A1342" s="3" t="s">
        <v>1353</v>
      </c>
      <c r="B1342" s="4">
        <v>-3.49</v>
      </c>
      <c r="C1342" s="4">
        <v>-0.26</v>
      </c>
      <c r="D1342" s="4">
        <v>-0.21</v>
      </c>
      <c r="E1342" s="4">
        <v>-9.0506330233906772E-3</v>
      </c>
      <c r="F1342" s="3">
        <v>1340</v>
      </c>
      <c r="G1342" s="3">
        <v>1</v>
      </c>
      <c r="H1342" s="5">
        <v>174121628.02000001</v>
      </c>
      <c r="I1342" s="5">
        <v>138698628.02000001</v>
      </c>
      <c r="J1342" s="5">
        <v>0</v>
      </c>
      <c r="K1342" s="5">
        <v>35423000</v>
      </c>
      <c r="L1342" s="5">
        <v>57859000</v>
      </c>
      <c r="M1342" s="5">
        <v>-39705000</v>
      </c>
      <c r="N1342" s="5">
        <v>-36583000</v>
      </c>
    </row>
    <row r="1343" spans="1:14" x14ac:dyDescent="0.25">
      <c r="A1343" s="3" t="s">
        <v>1354</v>
      </c>
      <c r="B1343" s="4">
        <v>-3.53</v>
      </c>
      <c r="C1343" s="4">
        <v>-0.27</v>
      </c>
      <c r="D1343" s="4">
        <v>-0.25</v>
      </c>
      <c r="E1343" s="4">
        <v>-9.0624859139268512E-3</v>
      </c>
      <c r="F1343" s="3">
        <v>1341</v>
      </c>
      <c r="G1343" s="3">
        <v>1</v>
      </c>
      <c r="H1343" s="5">
        <v>680203345.98000002</v>
      </c>
      <c r="I1343" s="5">
        <v>499776895.98000002</v>
      </c>
      <c r="J1343" s="5">
        <v>0</v>
      </c>
      <c r="K1343" s="5">
        <v>180426450</v>
      </c>
      <c r="L1343" s="5">
        <v>0</v>
      </c>
      <c r="M1343" s="5">
        <v>-141706350</v>
      </c>
      <c r="N1343" s="5">
        <v>-118935520</v>
      </c>
    </row>
    <row r="1344" spans="1:14" x14ac:dyDescent="0.25">
      <c r="A1344" s="3" t="s">
        <v>1355</v>
      </c>
      <c r="B1344" s="4">
        <v>-1.43</v>
      </c>
      <c r="C1344" s="4">
        <v>0.73</v>
      </c>
      <c r="D1344" s="4">
        <v>-8.51</v>
      </c>
      <c r="E1344" s="4">
        <v>-9.0662343618871655E-3</v>
      </c>
      <c r="F1344" s="3">
        <v>1342</v>
      </c>
      <c r="G1344" s="3">
        <v>1</v>
      </c>
      <c r="H1344" s="5">
        <v>704.51963799999999</v>
      </c>
      <c r="I1344" s="5">
        <v>5481674.5196380001</v>
      </c>
      <c r="J1344" s="5">
        <v>5847100</v>
      </c>
      <c r="K1344" s="5">
        <v>366130</v>
      </c>
      <c r="L1344" s="5">
        <v>976320</v>
      </c>
      <c r="M1344" s="5">
        <v>-3843090</v>
      </c>
      <c r="N1344" s="5">
        <v>-9302740</v>
      </c>
    </row>
    <row r="1345" spans="1:14" x14ac:dyDescent="0.25">
      <c r="A1345" s="3" t="s">
        <v>1356</v>
      </c>
      <c r="B1345" s="4">
        <v>-1.24</v>
      </c>
      <c r="C1345" s="4">
        <v>0.19</v>
      </c>
      <c r="D1345" s="4">
        <v>0.1</v>
      </c>
      <c r="E1345" s="4">
        <v>-9.0831921656798174E-3</v>
      </c>
      <c r="F1345" s="3">
        <v>1343</v>
      </c>
      <c r="G1345" s="3">
        <v>1</v>
      </c>
      <c r="H1345" s="5">
        <v>10531293025.5</v>
      </c>
      <c r="I1345" s="5">
        <v>-13421238974.5</v>
      </c>
      <c r="J1345" s="5">
        <v>2399629000</v>
      </c>
      <c r="K1345" s="5">
        <v>26352161000</v>
      </c>
      <c r="L1345" s="5">
        <v>108420832000</v>
      </c>
      <c r="M1345" s="5">
        <v>10865586000</v>
      </c>
      <c r="N1345" s="5">
        <v>7739935000</v>
      </c>
    </row>
    <row r="1346" spans="1:14" x14ac:dyDescent="0.25">
      <c r="A1346" s="3" t="s">
        <v>1357</v>
      </c>
      <c r="B1346" s="4">
        <v>-2.2799999999999998</v>
      </c>
      <c r="C1346" s="4">
        <v>-0.03</v>
      </c>
      <c r="D1346" s="4">
        <v>-0.02</v>
      </c>
      <c r="E1346" s="4">
        <v>-9.0983224464319078E-3</v>
      </c>
      <c r="F1346" s="3">
        <v>1344</v>
      </c>
      <c r="G1346" s="3">
        <v>1</v>
      </c>
      <c r="H1346" s="5">
        <v>122.35478500000001</v>
      </c>
      <c r="I1346" s="5">
        <v>5960122.354785</v>
      </c>
      <c r="J1346" s="5">
        <v>5967700</v>
      </c>
      <c r="K1346" s="5">
        <v>7700</v>
      </c>
      <c r="L1346" s="5">
        <v>0</v>
      </c>
      <c r="M1346" s="5">
        <v>-2612450</v>
      </c>
      <c r="N1346" s="5">
        <v>-846200</v>
      </c>
    </row>
    <row r="1347" spans="1:14" x14ac:dyDescent="0.25">
      <c r="A1347" s="3" t="s">
        <v>1358</v>
      </c>
      <c r="B1347" s="4">
        <v>-2.77</v>
      </c>
      <c r="C1347" s="4">
        <v>-0.13</v>
      </c>
      <c r="D1347" s="4">
        <v>-0.12</v>
      </c>
      <c r="E1347" s="4">
        <v>-9.1032777031947471E-3</v>
      </c>
      <c r="F1347" s="3">
        <v>1345</v>
      </c>
      <c r="G1347" s="3">
        <v>1</v>
      </c>
      <c r="H1347" s="5">
        <v>89260041.920000002</v>
      </c>
      <c r="I1347" s="5">
        <v>34840041.920000002</v>
      </c>
      <c r="J1347" s="5">
        <v>0</v>
      </c>
      <c r="K1347" s="5">
        <v>54420000</v>
      </c>
      <c r="L1347" s="5">
        <v>0</v>
      </c>
      <c r="M1347" s="5">
        <v>-12588000</v>
      </c>
      <c r="N1347" s="5">
        <v>-19060000</v>
      </c>
    </row>
    <row r="1348" spans="1:14" x14ac:dyDescent="0.25">
      <c r="A1348" s="3" t="s">
        <v>1359</v>
      </c>
      <c r="B1348" s="4">
        <v>-1.98</v>
      </c>
      <c r="C1348" s="4">
        <v>0.03</v>
      </c>
      <c r="D1348" s="4">
        <v>0.01</v>
      </c>
      <c r="E1348" s="4">
        <v>-9.1048498955249631E-3</v>
      </c>
      <c r="F1348" s="3">
        <v>1346</v>
      </c>
      <c r="G1348" s="3">
        <v>1</v>
      </c>
      <c r="H1348" s="5">
        <v>20229174.328499999</v>
      </c>
      <c r="I1348" s="5">
        <v>-6008825.6715000011</v>
      </c>
      <c r="J1348" s="5">
        <v>33000</v>
      </c>
      <c r="K1348" s="5">
        <v>26271000</v>
      </c>
      <c r="L1348" s="5">
        <v>86767000</v>
      </c>
      <c r="M1348" s="5">
        <v>3039000</v>
      </c>
      <c r="N1348" s="5">
        <v>951000</v>
      </c>
    </row>
    <row r="1349" spans="1:14" x14ac:dyDescent="0.25">
      <c r="A1349" s="3" t="s">
        <v>1360</v>
      </c>
      <c r="B1349" s="4">
        <v>-3.52</v>
      </c>
      <c r="C1349" s="4">
        <v>-0.31</v>
      </c>
      <c r="D1349" s="4">
        <v>0.14000000000000001</v>
      </c>
      <c r="E1349" s="4">
        <v>-9.1090175111590288E-3</v>
      </c>
      <c r="F1349" s="3">
        <v>1347</v>
      </c>
      <c r="G1349" s="3">
        <v>1</v>
      </c>
      <c r="H1349" s="5">
        <v>63790431.062399998</v>
      </c>
      <c r="I1349" s="5">
        <v>180340431.06240001</v>
      </c>
      <c r="J1349" s="5">
        <v>117896000</v>
      </c>
      <c r="K1349" s="5">
        <v>1346000</v>
      </c>
      <c r="L1349" s="5">
        <v>-7943000</v>
      </c>
      <c r="M1349" s="5">
        <v>-51181000</v>
      </c>
      <c r="N1349" s="5">
        <v>51162000</v>
      </c>
    </row>
    <row r="1350" spans="1:14" x14ac:dyDescent="0.25">
      <c r="A1350" s="3" t="s">
        <v>1361</v>
      </c>
      <c r="B1350" s="4">
        <v>-5.32</v>
      </c>
      <c r="C1350" s="4">
        <v>-0.67</v>
      </c>
      <c r="D1350" s="4">
        <v>-0.25</v>
      </c>
      <c r="E1350" s="4">
        <v>-9.110362374728306E-3</v>
      </c>
      <c r="F1350" s="3">
        <v>1348</v>
      </c>
      <c r="G1350" s="3">
        <v>1</v>
      </c>
      <c r="H1350" s="5">
        <v>468862.43040000001</v>
      </c>
      <c r="I1350" s="5">
        <v>53031352.430399999</v>
      </c>
      <c r="J1350" s="5">
        <v>52856500</v>
      </c>
      <c r="K1350" s="5">
        <v>294010</v>
      </c>
      <c r="L1350" s="5">
        <v>60441650</v>
      </c>
      <c r="M1350" s="5">
        <v>-9964690</v>
      </c>
      <c r="N1350" s="5">
        <v>-30030980</v>
      </c>
    </row>
    <row r="1351" spans="1:14" x14ac:dyDescent="0.25">
      <c r="A1351" s="3" t="s">
        <v>1362</v>
      </c>
      <c r="B1351" s="4">
        <v>-2.1</v>
      </c>
      <c r="C1351" s="4">
        <v>0.26</v>
      </c>
      <c r="D1351" s="4">
        <v>-3.88</v>
      </c>
      <c r="E1351" s="4">
        <v>-9.1164178044772833E-3</v>
      </c>
      <c r="F1351" s="3">
        <v>1349</v>
      </c>
      <c r="G1351" s="3">
        <v>1</v>
      </c>
      <c r="H1351" s="5">
        <v>424736.46974999999</v>
      </c>
      <c r="I1351" s="5">
        <v>795086.46974999993</v>
      </c>
      <c r="J1351" s="5">
        <v>393940</v>
      </c>
      <c r="K1351" s="5">
        <v>23590</v>
      </c>
      <c r="L1351" s="5">
        <v>2500</v>
      </c>
      <c r="M1351" s="5">
        <v>-378260</v>
      </c>
      <c r="N1351" s="5">
        <v>-679740</v>
      </c>
    </row>
    <row r="1352" spans="1:14" x14ac:dyDescent="0.25">
      <c r="A1352" s="3" t="s">
        <v>1363</v>
      </c>
      <c r="B1352" s="4">
        <v>-1.92</v>
      </c>
      <c r="C1352" s="4">
        <v>0.04</v>
      </c>
      <c r="D1352" s="4">
        <v>-0.02</v>
      </c>
      <c r="E1352" s="4">
        <v>-9.1188786024254884E-3</v>
      </c>
      <c r="F1352" s="3">
        <v>1350</v>
      </c>
      <c r="G1352" s="3">
        <v>1</v>
      </c>
      <c r="H1352" s="5">
        <v>32047748.370000001</v>
      </c>
      <c r="I1352" s="5">
        <v>32538748.370000001</v>
      </c>
      <c r="J1352" s="5">
        <v>22336000</v>
      </c>
      <c r="K1352" s="5">
        <v>21845000</v>
      </c>
      <c r="L1352" s="5">
        <v>279855000</v>
      </c>
      <c r="M1352" s="5">
        <v>-16966000</v>
      </c>
      <c r="N1352" s="5">
        <v>-5394000</v>
      </c>
    </row>
    <row r="1353" spans="1:14" x14ac:dyDescent="0.25">
      <c r="A1353" s="3" t="s">
        <v>1364</v>
      </c>
      <c r="B1353" s="4">
        <v>-7.01</v>
      </c>
      <c r="C1353" s="4">
        <v>-1</v>
      </c>
      <c r="D1353" s="4">
        <v>-0.78</v>
      </c>
      <c r="E1353" s="4">
        <v>-9.1201140520071455E-3</v>
      </c>
      <c r="F1353" s="3">
        <v>1351</v>
      </c>
      <c r="G1353" s="3">
        <v>1</v>
      </c>
      <c r="H1353" s="5">
        <v>2014485478.3199999</v>
      </c>
      <c r="I1353" s="5">
        <v>1916320478.3199999</v>
      </c>
      <c r="J1353" s="5">
        <v>0</v>
      </c>
      <c r="K1353" s="5">
        <v>98165000</v>
      </c>
      <c r="L1353" s="5">
        <v>0</v>
      </c>
      <c r="M1353" s="5">
        <v>-273439000</v>
      </c>
      <c r="N1353" s="5">
        <v>-255859000</v>
      </c>
    </row>
    <row r="1354" spans="1:14" x14ac:dyDescent="0.25">
      <c r="A1354" s="3" t="s">
        <v>1365</v>
      </c>
      <c r="B1354" s="4">
        <v>-5.0999999999999996</v>
      </c>
      <c r="C1354" s="4">
        <v>-0.64</v>
      </c>
      <c r="D1354" s="4">
        <v>-0.09</v>
      </c>
      <c r="E1354" s="4">
        <v>-9.1289796537805425E-3</v>
      </c>
      <c r="F1354" s="3">
        <v>1352</v>
      </c>
      <c r="G1354" s="3">
        <v>1</v>
      </c>
      <c r="H1354" s="5">
        <v>249461095.96000001</v>
      </c>
      <c r="I1354" s="5">
        <v>524971095.95999998</v>
      </c>
      <c r="J1354" s="5">
        <v>347695000</v>
      </c>
      <c r="K1354" s="5">
        <v>72185000</v>
      </c>
      <c r="L1354" s="5">
        <v>980179000</v>
      </c>
      <c r="M1354" s="5">
        <v>-103016000</v>
      </c>
      <c r="N1354" s="5">
        <v>-105365000</v>
      </c>
    </row>
    <row r="1355" spans="1:14" x14ac:dyDescent="0.25">
      <c r="A1355" s="3" t="s">
        <v>1366</v>
      </c>
      <c r="B1355" s="4">
        <v>-3.27</v>
      </c>
      <c r="C1355" s="4">
        <v>-0.24</v>
      </c>
      <c r="D1355" s="4">
        <v>-0.22</v>
      </c>
      <c r="E1355" s="4">
        <v>-9.1309373612749739E-3</v>
      </c>
      <c r="F1355" s="3">
        <v>1353</v>
      </c>
      <c r="G1355" s="3">
        <v>1</v>
      </c>
      <c r="H1355" s="5">
        <v>395617511.51999998</v>
      </c>
      <c r="I1355" s="5">
        <v>259111511.52000001</v>
      </c>
      <c r="J1355" s="5">
        <v>80000</v>
      </c>
      <c r="K1355" s="5">
        <v>136586000</v>
      </c>
      <c r="L1355" s="5">
        <v>925000</v>
      </c>
      <c r="M1355" s="5">
        <v>-79253000</v>
      </c>
      <c r="N1355" s="5">
        <v>-75144000</v>
      </c>
    </row>
    <row r="1356" spans="1:14" x14ac:dyDescent="0.25">
      <c r="A1356" s="3" t="s">
        <v>1367</v>
      </c>
      <c r="B1356" s="4">
        <v>-11.86</v>
      </c>
      <c r="C1356" s="4">
        <v>-2.0699999999999998</v>
      </c>
      <c r="D1356" s="4">
        <v>-0.39</v>
      </c>
      <c r="E1356" s="4">
        <v>-9.1347332029488547E-3</v>
      </c>
      <c r="F1356" s="3">
        <v>1354</v>
      </c>
      <c r="G1356" s="3">
        <v>1</v>
      </c>
      <c r="H1356" s="5">
        <v>95436339.189300001</v>
      </c>
      <c r="I1356" s="5">
        <v>93808339.189300001</v>
      </c>
      <c r="J1356" s="5">
        <v>0</v>
      </c>
      <c r="K1356" s="5">
        <v>1628000</v>
      </c>
      <c r="L1356" s="5">
        <v>65726000</v>
      </c>
      <c r="M1356" s="5">
        <v>-7911000</v>
      </c>
      <c r="N1356" s="5">
        <v>-56501000</v>
      </c>
    </row>
    <row r="1357" spans="1:14" x14ac:dyDescent="0.25">
      <c r="A1357" s="3" t="s">
        <v>1368</v>
      </c>
      <c r="B1357" s="4">
        <v>-0.67</v>
      </c>
      <c r="C1357" s="4">
        <v>0.94</v>
      </c>
      <c r="D1357" s="4">
        <v>-9.65</v>
      </c>
      <c r="E1357" s="4">
        <v>-9.1497572773970998E-3</v>
      </c>
      <c r="F1357" s="3">
        <v>1355</v>
      </c>
      <c r="G1357" s="3">
        <v>1</v>
      </c>
      <c r="H1357" s="5">
        <v>33.261549000000002</v>
      </c>
      <c r="I1357" s="5">
        <v>11023033.261549</v>
      </c>
      <c r="J1357" s="5">
        <v>11576000</v>
      </c>
      <c r="K1357" s="5">
        <v>553000</v>
      </c>
      <c r="L1357" s="5">
        <v>176000</v>
      </c>
      <c r="M1357" s="5">
        <v>-16427000</v>
      </c>
      <c r="N1357" s="5">
        <v>-33655000</v>
      </c>
    </row>
    <row r="1358" spans="1:14" x14ac:dyDescent="0.25">
      <c r="A1358" s="3" t="s">
        <v>1369</v>
      </c>
      <c r="B1358" s="4">
        <v>-0.68</v>
      </c>
      <c r="C1358" s="4">
        <v>0.34</v>
      </c>
      <c r="D1358" s="4">
        <v>-0.8</v>
      </c>
      <c r="E1358" s="4">
        <v>-9.1699959714748088E-3</v>
      </c>
      <c r="F1358" s="3">
        <v>1356</v>
      </c>
      <c r="G1358" s="3">
        <v>1</v>
      </c>
      <c r="H1358" s="5">
        <v>13157744.295</v>
      </c>
      <c r="I1358" s="5">
        <v>33488744.295000002</v>
      </c>
      <c r="J1358" s="5">
        <v>35710000</v>
      </c>
      <c r="K1358" s="5">
        <v>15379000</v>
      </c>
      <c r="L1358" s="5">
        <v>32110000</v>
      </c>
      <c r="M1358" s="5">
        <v>-49201000</v>
      </c>
      <c r="N1358" s="5">
        <v>-26148000</v>
      </c>
    </row>
    <row r="1359" spans="1:14" x14ac:dyDescent="0.25">
      <c r="A1359" s="3" t="s">
        <v>1370</v>
      </c>
      <c r="B1359" s="4">
        <v>-6.08</v>
      </c>
      <c r="C1359" s="4">
        <v>-0.82</v>
      </c>
      <c r="D1359" s="4">
        <v>-0.79</v>
      </c>
      <c r="E1359" s="4">
        <v>-9.1775542821526061E-3</v>
      </c>
      <c r="F1359" s="3">
        <v>1357</v>
      </c>
      <c r="G1359" s="3">
        <v>1</v>
      </c>
      <c r="H1359" s="5">
        <v>6746.636426</v>
      </c>
      <c r="I1359" s="5">
        <v>33856.636425999997</v>
      </c>
      <c r="J1359" s="5">
        <v>29110</v>
      </c>
      <c r="K1359" s="5">
        <v>2000</v>
      </c>
      <c r="L1359" s="5">
        <v>11880</v>
      </c>
      <c r="M1359" s="5">
        <v>-5570</v>
      </c>
      <c r="N1359" s="5">
        <v>-677290</v>
      </c>
    </row>
    <row r="1360" spans="1:14" x14ac:dyDescent="0.25">
      <c r="A1360" s="3" t="s">
        <v>1371</v>
      </c>
      <c r="B1360" s="4">
        <v>-1.22</v>
      </c>
      <c r="C1360" s="4">
        <v>0.16</v>
      </c>
      <c r="D1360" s="4">
        <v>0.1</v>
      </c>
      <c r="E1360" s="4">
        <v>-9.1822513981173436E-3</v>
      </c>
      <c r="F1360" s="3">
        <v>1358</v>
      </c>
      <c r="G1360" s="3">
        <v>1</v>
      </c>
      <c r="H1360" s="5">
        <v>1498091779.9000001</v>
      </c>
      <c r="I1360" s="5">
        <v>-3169086220.0999999</v>
      </c>
      <c r="J1360" s="5">
        <v>5594000</v>
      </c>
      <c r="K1360" s="5">
        <v>4672772000</v>
      </c>
      <c r="L1360" s="5">
        <v>13065824000</v>
      </c>
      <c r="M1360" s="5">
        <v>2604618000</v>
      </c>
      <c r="N1360" s="5">
        <v>2383146000</v>
      </c>
    </row>
    <row r="1361" spans="1:14" x14ac:dyDescent="0.25">
      <c r="A1361" s="3" t="s">
        <v>1372</v>
      </c>
      <c r="B1361" s="4">
        <v>-5.44</v>
      </c>
      <c r="C1361" s="4">
        <v>0.1</v>
      </c>
      <c r="D1361" s="4">
        <v>-12.55</v>
      </c>
      <c r="E1361" s="4">
        <v>-9.183986856582331E-3</v>
      </c>
      <c r="F1361" s="3">
        <v>1359</v>
      </c>
      <c r="G1361" s="3">
        <v>1</v>
      </c>
      <c r="H1361" s="5">
        <v>1.6651629999999999</v>
      </c>
      <c r="I1361" s="5">
        <v>297301.665163</v>
      </c>
      <c r="J1361" s="5">
        <v>301650</v>
      </c>
      <c r="K1361" s="5">
        <v>4350</v>
      </c>
      <c r="L1361" s="5">
        <v>0</v>
      </c>
      <c r="M1361" s="5">
        <v>-54610</v>
      </c>
      <c r="N1361" s="5">
        <v>-54610</v>
      </c>
    </row>
    <row r="1362" spans="1:14" x14ac:dyDescent="0.25">
      <c r="A1362" s="3" t="s">
        <v>1373</v>
      </c>
      <c r="B1362" s="4">
        <v>-3.31</v>
      </c>
      <c r="C1362" s="4">
        <v>-0.27</v>
      </c>
      <c r="D1362" s="4">
        <v>-0.21</v>
      </c>
      <c r="E1362" s="4">
        <v>-9.1909323329525325E-3</v>
      </c>
      <c r="F1362" s="3">
        <v>1360</v>
      </c>
      <c r="G1362" s="3">
        <v>1</v>
      </c>
      <c r="H1362" s="5">
        <v>308116263.39999998</v>
      </c>
      <c r="I1362" s="5">
        <v>244042263.40000001</v>
      </c>
      <c r="J1362" s="5">
        <v>101593000</v>
      </c>
      <c r="K1362" s="5">
        <v>165667000</v>
      </c>
      <c r="L1362" s="5">
        <v>111136000</v>
      </c>
      <c r="M1362" s="5">
        <v>-73684000</v>
      </c>
      <c r="N1362" s="5">
        <v>-152625000</v>
      </c>
    </row>
    <row r="1363" spans="1:14" x14ac:dyDescent="0.25">
      <c r="A1363" s="3" t="s">
        <v>1374</v>
      </c>
      <c r="B1363" s="4">
        <v>-1.78</v>
      </c>
      <c r="C1363" s="4">
        <v>0.34</v>
      </c>
      <c r="D1363" s="4">
        <v>-4.47</v>
      </c>
      <c r="E1363" s="4">
        <v>-9.1971360987409424E-3</v>
      </c>
      <c r="F1363" s="3">
        <v>1361</v>
      </c>
      <c r="G1363" s="3">
        <v>1</v>
      </c>
      <c r="H1363" s="5">
        <v>20835</v>
      </c>
      <c r="I1363" s="5">
        <v>2394835</v>
      </c>
      <c r="J1363" s="5">
        <v>2391000</v>
      </c>
      <c r="K1363" s="5">
        <v>17000</v>
      </c>
      <c r="L1363" s="5">
        <v>1536000</v>
      </c>
      <c r="M1363" s="5">
        <v>-1345000</v>
      </c>
      <c r="N1363" s="5">
        <v>-1609000</v>
      </c>
    </row>
    <row r="1364" spans="1:14" x14ac:dyDescent="0.25">
      <c r="A1364" s="3" t="s">
        <v>1375</v>
      </c>
      <c r="B1364" s="4">
        <v>-3.45</v>
      </c>
      <c r="C1364" s="4">
        <v>-0.3</v>
      </c>
      <c r="D1364" s="4">
        <v>-0.25</v>
      </c>
      <c r="E1364" s="4">
        <v>-9.1986803805468465E-3</v>
      </c>
      <c r="F1364" s="3">
        <v>1362</v>
      </c>
      <c r="G1364" s="3">
        <v>1</v>
      </c>
      <c r="H1364" s="5">
        <v>355267575.44</v>
      </c>
      <c r="I1364" s="5">
        <v>257539575.44</v>
      </c>
      <c r="J1364" s="5">
        <v>7412000</v>
      </c>
      <c r="K1364" s="5">
        <v>105140000</v>
      </c>
      <c r="L1364" s="5">
        <v>79329000</v>
      </c>
      <c r="M1364" s="5">
        <v>-74553000</v>
      </c>
      <c r="N1364" s="5">
        <v>-66333000</v>
      </c>
    </row>
    <row r="1365" spans="1:14" x14ac:dyDescent="0.25">
      <c r="A1365" s="3" t="s">
        <v>1376</v>
      </c>
      <c r="B1365" s="4">
        <v>2.74</v>
      </c>
      <c r="C1365" s="4">
        <v>0.99</v>
      </c>
      <c r="D1365" s="4">
        <v>0.22</v>
      </c>
      <c r="E1365" s="4">
        <v>-9.2118591530299318E-3</v>
      </c>
      <c r="F1365" s="3">
        <v>1363</v>
      </c>
      <c r="G1365" s="3">
        <v>1</v>
      </c>
      <c r="H1365" s="5">
        <v>11111137.720000001</v>
      </c>
      <c r="I1365" s="5">
        <v>24882137.719999999</v>
      </c>
      <c r="J1365" s="5">
        <v>14475000</v>
      </c>
      <c r="K1365" s="5">
        <v>704000</v>
      </c>
      <c r="L1365" s="5">
        <v>62943000</v>
      </c>
      <c r="M1365" s="5">
        <v>9080000</v>
      </c>
      <c r="N1365" s="5">
        <v>13063000</v>
      </c>
    </row>
    <row r="1366" spans="1:14" x14ac:dyDescent="0.25">
      <c r="A1366" s="3" t="s">
        <v>1377</v>
      </c>
      <c r="B1366" s="4">
        <v>-4.8</v>
      </c>
      <c r="C1366" s="4">
        <v>0.19</v>
      </c>
      <c r="D1366" s="4">
        <v>-12.07</v>
      </c>
      <c r="E1366" s="4">
        <v>-9.2274602823448834E-3</v>
      </c>
      <c r="F1366" s="3">
        <v>1364</v>
      </c>
      <c r="G1366" s="3">
        <v>2</v>
      </c>
      <c r="H1366" s="5">
        <v>18360.989399999999</v>
      </c>
      <c r="I1366" s="5">
        <v>589390.98939999996</v>
      </c>
      <c r="J1366" s="5">
        <v>585690</v>
      </c>
      <c r="K1366" s="5">
        <v>14660</v>
      </c>
      <c r="L1366" s="5">
        <v>0</v>
      </c>
      <c r="M1366" s="5">
        <v>-122820</v>
      </c>
      <c r="N1366" s="5">
        <v>-176960</v>
      </c>
    </row>
    <row r="1367" spans="1:14" x14ac:dyDescent="0.25">
      <c r="A1367" s="3" t="s">
        <v>1378</v>
      </c>
      <c r="B1367" s="4">
        <v>0.01</v>
      </c>
      <c r="C1367" s="4">
        <v>0.97</v>
      </c>
      <c r="D1367" s="4">
        <v>-8.33</v>
      </c>
      <c r="E1367" s="4">
        <v>-9.2293109355242181E-3</v>
      </c>
      <c r="F1367" s="3">
        <v>1365</v>
      </c>
      <c r="G1367" s="3">
        <v>2</v>
      </c>
      <c r="H1367" s="5">
        <v>814.30319999999995</v>
      </c>
      <c r="I1367" s="5">
        <v>-15873185.696799999</v>
      </c>
      <c r="J1367" s="5">
        <v>5041000</v>
      </c>
      <c r="K1367" s="5">
        <v>20915000</v>
      </c>
      <c r="L1367" s="5">
        <v>2761304000</v>
      </c>
      <c r="M1367" s="5">
        <v>-1204926000</v>
      </c>
      <c r="N1367" s="5">
        <v>-1510881000</v>
      </c>
    </row>
    <row r="1368" spans="1:14" x14ac:dyDescent="0.25">
      <c r="A1368" s="3" t="s">
        <v>1379</v>
      </c>
      <c r="B1368" s="4">
        <v>-1.35</v>
      </c>
      <c r="C1368" s="4">
        <v>0.11</v>
      </c>
      <c r="D1368" s="4">
        <v>0.08</v>
      </c>
      <c r="E1368" s="4">
        <v>-9.2501178122826374E-3</v>
      </c>
      <c r="F1368" s="3">
        <v>1366</v>
      </c>
      <c r="G1368" s="3">
        <v>2</v>
      </c>
      <c r="H1368" s="5">
        <v>3184787.59</v>
      </c>
      <c r="I1368" s="5">
        <v>-2335742.41</v>
      </c>
      <c r="J1368" s="5">
        <v>1135200</v>
      </c>
      <c r="K1368" s="5">
        <v>6655730</v>
      </c>
      <c r="L1368" s="5">
        <v>48519840</v>
      </c>
      <c r="M1368" s="5">
        <v>1727820</v>
      </c>
      <c r="N1368" s="5">
        <v>1291670</v>
      </c>
    </row>
    <row r="1369" spans="1:14" x14ac:dyDescent="0.25">
      <c r="A1369" s="3" t="s">
        <v>1380</v>
      </c>
      <c r="B1369" s="4">
        <v>-1.49</v>
      </c>
      <c r="C1369" s="4">
        <v>0.08</v>
      </c>
      <c r="D1369" s="4">
        <v>0.06</v>
      </c>
      <c r="E1369" s="4">
        <v>-9.2540078067219391E-3</v>
      </c>
      <c r="F1369" s="3">
        <v>1367</v>
      </c>
      <c r="G1369" s="3">
        <v>2</v>
      </c>
      <c r="H1369" s="5">
        <v>467243539.92000002</v>
      </c>
      <c r="I1369" s="5">
        <v>-320706460.07999992</v>
      </c>
      <c r="J1369" s="5">
        <v>198373000</v>
      </c>
      <c r="K1369" s="5">
        <v>986323000</v>
      </c>
      <c r="L1369" s="5">
        <v>2771821000</v>
      </c>
      <c r="M1369" s="5">
        <v>214713000</v>
      </c>
      <c r="N1369" s="5">
        <v>367510000</v>
      </c>
    </row>
    <row r="1370" spans="1:14" x14ac:dyDescent="0.25">
      <c r="A1370" s="3" t="s">
        <v>1381</v>
      </c>
      <c r="B1370" s="4">
        <v>-3.74</v>
      </c>
      <c r="C1370" s="4">
        <v>-0.38</v>
      </c>
      <c r="D1370" s="4">
        <v>-0.32</v>
      </c>
      <c r="E1370" s="4">
        <v>-9.2638454574898027E-3</v>
      </c>
      <c r="F1370" s="3">
        <v>1368</v>
      </c>
      <c r="G1370" s="3">
        <v>2</v>
      </c>
      <c r="H1370" s="5">
        <v>624074305.79999995</v>
      </c>
      <c r="I1370" s="5">
        <v>556335305.79999995</v>
      </c>
      <c r="J1370" s="5">
        <v>0</v>
      </c>
      <c r="K1370" s="5">
        <v>67739000</v>
      </c>
      <c r="L1370" s="5">
        <v>0</v>
      </c>
      <c r="M1370" s="5">
        <v>-148582000</v>
      </c>
      <c r="N1370" s="5">
        <v>-161650000</v>
      </c>
    </row>
    <row r="1371" spans="1:14" x14ac:dyDescent="0.25">
      <c r="A1371" s="3" t="s">
        <v>1382</v>
      </c>
      <c r="B1371" s="4">
        <v>-2.39</v>
      </c>
      <c r="C1371" s="4">
        <v>0.1</v>
      </c>
      <c r="D1371" s="4">
        <v>-3.18</v>
      </c>
      <c r="E1371" s="4">
        <v>-9.2641966910679517E-3</v>
      </c>
      <c r="F1371" s="3">
        <v>1369</v>
      </c>
      <c r="G1371" s="3">
        <v>2</v>
      </c>
      <c r="H1371" s="5">
        <v>14771.9625</v>
      </c>
      <c r="I1371" s="5">
        <v>6335771.9625000004</v>
      </c>
      <c r="J1371" s="5">
        <v>6364000</v>
      </c>
      <c r="K1371" s="5">
        <v>43000</v>
      </c>
      <c r="L1371" s="5">
        <v>151000</v>
      </c>
      <c r="M1371" s="5">
        <v>-2647000</v>
      </c>
      <c r="N1371" s="5">
        <v>-2622000</v>
      </c>
    </row>
    <row r="1372" spans="1:14" x14ac:dyDescent="0.25">
      <c r="A1372" s="3" t="s">
        <v>1383</v>
      </c>
      <c r="B1372" s="4">
        <v>-0.94</v>
      </c>
      <c r="C1372" s="4">
        <v>0.5</v>
      </c>
      <c r="D1372" s="4">
        <v>-4.5199999999999996</v>
      </c>
      <c r="E1372" s="4">
        <v>-9.2643767979516522E-3</v>
      </c>
      <c r="F1372" s="3">
        <v>1370</v>
      </c>
      <c r="G1372" s="3">
        <v>2</v>
      </c>
      <c r="H1372" s="5">
        <v>241011.52600000001</v>
      </c>
      <c r="I1372" s="5">
        <v>1322881.5260000001</v>
      </c>
      <c r="J1372" s="5">
        <v>1372760</v>
      </c>
      <c r="K1372" s="5">
        <v>290890</v>
      </c>
      <c r="L1372" s="5">
        <v>76760</v>
      </c>
      <c r="M1372" s="5">
        <v>-1401990</v>
      </c>
      <c r="N1372" s="5">
        <v>-1727460</v>
      </c>
    </row>
    <row r="1373" spans="1:14" x14ac:dyDescent="0.25">
      <c r="A1373" s="3" t="s">
        <v>1384</v>
      </c>
      <c r="B1373" s="4">
        <v>-3.29</v>
      </c>
      <c r="C1373" s="4">
        <v>-0.28999999999999998</v>
      </c>
      <c r="D1373" s="4">
        <v>-0.26</v>
      </c>
      <c r="E1373" s="4">
        <v>-9.2707430912631322E-3</v>
      </c>
      <c r="F1373" s="3">
        <v>1371</v>
      </c>
      <c r="G1373" s="3">
        <v>2</v>
      </c>
      <c r="H1373" s="5">
        <v>10883001.39717</v>
      </c>
      <c r="I1373" s="5">
        <v>10021581.39717</v>
      </c>
      <c r="J1373" s="5">
        <v>419490</v>
      </c>
      <c r="K1373" s="5">
        <v>1280910</v>
      </c>
      <c r="L1373" s="5">
        <v>7506550</v>
      </c>
      <c r="M1373" s="5">
        <v>-3047070</v>
      </c>
      <c r="N1373" s="5">
        <v>-3690290</v>
      </c>
    </row>
    <row r="1374" spans="1:14" x14ac:dyDescent="0.25">
      <c r="A1374" s="3" t="s">
        <v>1385</v>
      </c>
      <c r="B1374" s="4">
        <v>-1.9</v>
      </c>
      <c r="C1374" s="4">
        <v>-0.01</v>
      </c>
      <c r="D1374" s="4">
        <v>-0.01</v>
      </c>
      <c r="E1374" s="4">
        <v>-9.2737960223144272E-3</v>
      </c>
      <c r="F1374" s="3">
        <v>1372</v>
      </c>
      <c r="G1374" s="3">
        <v>2</v>
      </c>
      <c r="H1374" s="5">
        <v>1151689.3500000001</v>
      </c>
      <c r="I1374" s="5">
        <v>-1908560.65</v>
      </c>
      <c r="J1374" s="5">
        <v>580110</v>
      </c>
      <c r="K1374" s="5">
        <v>3640360</v>
      </c>
      <c r="L1374" s="5">
        <v>6992020</v>
      </c>
      <c r="M1374" s="5">
        <v>1005070</v>
      </c>
      <c r="N1374" s="5">
        <v>-68030</v>
      </c>
    </row>
    <row r="1375" spans="1:14" x14ac:dyDescent="0.25">
      <c r="A1375" s="3" t="s">
        <v>1386</v>
      </c>
      <c r="B1375" s="4">
        <v>1.51</v>
      </c>
      <c r="C1375" s="4">
        <v>0.68</v>
      </c>
      <c r="D1375" s="4">
        <v>0.56000000000000005</v>
      </c>
      <c r="E1375" s="4">
        <v>-9.2807017661024026E-3</v>
      </c>
      <c r="F1375" s="3">
        <v>1373</v>
      </c>
      <c r="G1375" s="3">
        <v>2</v>
      </c>
      <c r="H1375" s="5">
        <v>1257266.7</v>
      </c>
      <c r="I1375" s="5">
        <v>1295036.7</v>
      </c>
      <c r="J1375" s="5">
        <v>78930</v>
      </c>
      <c r="K1375" s="5">
        <v>41160</v>
      </c>
      <c r="L1375" s="5">
        <v>1249880</v>
      </c>
      <c r="M1375" s="5">
        <v>856370</v>
      </c>
      <c r="N1375" s="5">
        <v>642210</v>
      </c>
    </row>
    <row r="1376" spans="1:14" x14ac:dyDescent="0.25">
      <c r="A1376" s="3" t="s">
        <v>1387</v>
      </c>
      <c r="B1376" s="4">
        <v>-2.82</v>
      </c>
      <c r="C1376" s="4">
        <v>-0.2</v>
      </c>
      <c r="D1376" s="4">
        <v>-0.18</v>
      </c>
      <c r="E1376" s="4">
        <v>-9.2861610832756011E-3</v>
      </c>
      <c r="F1376" s="3">
        <v>1374</v>
      </c>
      <c r="G1376" s="3">
        <v>2</v>
      </c>
      <c r="H1376" s="5">
        <v>324555828.13999999</v>
      </c>
      <c r="I1376" s="5">
        <v>174723828.13999999</v>
      </c>
      <c r="J1376" s="5">
        <v>23172000</v>
      </c>
      <c r="K1376" s="5">
        <v>173004000</v>
      </c>
      <c r="L1376" s="5">
        <v>0</v>
      </c>
      <c r="M1376" s="5">
        <v>-61974000</v>
      </c>
      <c r="N1376" s="5">
        <v>-55142000</v>
      </c>
    </row>
    <row r="1377" spans="1:14" x14ac:dyDescent="0.25">
      <c r="A1377" s="3" t="s">
        <v>1388</v>
      </c>
      <c r="B1377" s="4">
        <v>-5.85</v>
      </c>
      <c r="C1377" s="4">
        <v>-0.83</v>
      </c>
      <c r="D1377" s="4">
        <v>-0.52</v>
      </c>
      <c r="E1377" s="4">
        <v>-9.2967159026071892E-3</v>
      </c>
      <c r="F1377" s="3">
        <v>1375</v>
      </c>
      <c r="G1377" s="3">
        <v>2</v>
      </c>
      <c r="H1377" s="5">
        <v>279416053.91000003</v>
      </c>
      <c r="I1377" s="5">
        <v>189260053.91</v>
      </c>
      <c r="J1377" s="5">
        <v>12498000</v>
      </c>
      <c r="K1377" s="5">
        <v>102654000</v>
      </c>
      <c r="L1377" s="5">
        <v>0</v>
      </c>
      <c r="M1377" s="5">
        <v>-32351000</v>
      </c>
      <c r="N1377" s="5">
        <v>-55177000</v>
      </c>
    </row>
    <row r="1378" spans="1:14" x14ac:dyDescent="0.25">
      <c r="A1378" s="3" t="s">
        <v>1389</v>
      </c>
      <c r="B1378" s="4">
        <v>0.03</v>
      </c>
      <c r="C1378" s="4">
        <v>0.37</v>
      </c>
      <c r="D1378" s="4">
        <v>0.37</v>
      </c>
      <c r="E1378" s="4">
        <v>-9.2970526453557464E-3</v>
      </c>
      <c r="F1378" s="3">
        <v>1376</v>
      </c>
      <c r="G1378" s="3">
        <v>2</v>
      </c>
      <c r="H1378" s="5">
        <v>1292.5162110000001</v>
      </c>
      <c r="I1378" s="5">
        <v>23750252.516210999</v>
      </c>
      <c r="J1378" s="5">
        <v>23749950</v>
      </c>
      <c r="K1378" s="5">
        <v>990</v>
      </c>
      <c r="L1378" s="5">
        <v>989216890</v>
      </c>
      <c r="M1378" s="5">
        <v>804827410</v>
      </c>
      <c r="N1378" s="5">
        <v>451252990</v>
      </c>
    </row>
    <row r="1379" spans="1:14" x14ac:dyDescent="0.25">
      <c r="A1379" s="3" t="s">
        <v>1390</v>
      </c>
      <c r="B1379" s="4">
        <v>-2.89</v>
      </c>
      <c r="C1379" s="4">
        <v>-0.22</v>
      </c>
      <c r="D1379" s="4">
        <v>-0.19</v>
      </c>
      <c r="E1379" s="4">
        <v>-9.3025528840024827E-3</v>
      </c>
      <c r="F1379" s="3">
        <v>1377</v>
      </c>
      <c r="G1379" s="3">
        <v>2</v>
      </c>
      <c r="H1379" s="5">
        <v>174849343.94999999</v>
      </c>
      <c r="I1379" s="5">
        <v>147251343.94999999</v>
      </c>
      <c r="J1379" s="5">
        <v>0</v>
      </c>
      <c r="K1379" s="5">
        <v>27598000</v>
      </c>
      <c r="L1379" s="5">
        <v>26391000</v>
      </c>
      <c r="M1379" s="5">
        <v>-50919000</v>
      </c>
      <c r="N1379" s="5">
        <v>-62033000</v>
      </c>
    </row>
    <row r="1380" spans="1:14" x14ac:dyDescent="0.25">
      <c r="A1380" s="3" t="s">
        <v>1391</v>
      </c>
      <c r="B1380" s="4">
        <v>-7.14</v>
      </c>
      <c r="C1380" s="4">
        <v>-1.08</v>
      </c>
      <c r="D1380" s="4">
        <v>-0.96</v>
      </c>
      <c r="E1380" s="4">
        <v>-9.3055257124559036E-3</v>
      </c>
      <c r="F1380" s="3">
        <v>1378</v>
      </c>
      <c r="G1380" s="3">
        <v>2</v>
      </c>
      <c r="H1380" s="5">
        <v>5926537.75</v>
      </c>
      <c r="I1380" s="5">
        <v>6294237.75</v>
      </c>
      <c r="J1380" s="5">
        <v>370050</v>
      </c>
      <c r="K1380" s="5">
        <v>2350</v>
      </c>
      <c r="L1380" s="5">
        <v>0</v>
      </c>
      <c r="M1380" s="5">
        <v>-882010</v>
      </c>
      <c r="N1380" s="5">
        <v>-6171970</v>
      </c>
    </row>
    <row r="1381" spans="1:14" x14ac:dyDescent="0.25">
      <c r="A1381" s="3" t="s">
        <v>1392</v>
      </c>
      <c r="B1381" s="4">
        <v>-1.31</v>
      </c>
      <c r="C1381" s="4">
        <v>0.1</v>
      </c>
      <c r="D1381" s="4">
        <v>7.0000000000000007E-2</v>
      </c>
      <c r="E1381" s="4">
        <v>-9.3056972686629113E-3</v>
      </c>
      <c r="F1381" s="3">
        <v>1379</v>
      </c>
      <c r="G1381" s="3">
        <v>2</v>
      </c>
      <c r="H1381" s="5">
        <v>9760870.1999999993</v>
      </c>
      <c r="I1381" s="5">
        <v>-15459129.800000001</v>
      </c>
      <c r="J1381" s="5">
        <v>0</v>
      </c>
      <c r="K1381" s="5">
        <v>25220000</v>
      </c>
      <c r="L1381" s="5">
        <v>57609000</v>
      </c>
      <c r="M1381" s="5">
        <v>11812000</v>
      </c>
      <c r="N1381" s="5">
        <v>6845000</v>
      </c>
    </row>
    <row r="1382" spans="1:14" x14ac:dyDescent="0.25">
      <c r="A1382" s="3" t="s">
        <v>1393</v>
      </c>
      <c r="B1382" s="4">
        <v>-1.91</v>
      </c>
      <c r="C1382" s="4">
        <v>0.02</v>
      </c>
      <c r="D1382" s="4">
        <v>-0.66</v>
      </c>
      <c r="E1382" s="4">
        <v>-9.3063127231118557E-3</v>
      </c>
      <c r="F1382" s="3">
        <v>1380</v>
      </c>
      <c r="G1382" s="3">
        <v>2</v>
      </c>
      <c r="H1382" s="5">
        <v>7357.7807000000003</v>
      </c>
      <c r="I1382" s="5">
        <v>687137.7807</v>
      </c>
      <c r="J1382" s="5">
        <v>681590</v>
      </c>
      <c r="K1382" s="5">
        <v>1810</v>
      </c>
      <c r="L1382" s="5">
        <v>353740</v>
      </c>
      <c r="M1382" s="5">
        <v>-359540</v>
      </c>
      <c r="N1382" s="5">
        <v>-97290</v>
      </c>
    </row>
    <row r="1383" spans="1:14" x14ac:dyDescent="0.25">
      <c r="A1383" s="3" t="s">
        <v>1394</v>
      </c>
      <c r="B1383" s="4">
        <v>1.37</v>
      </c>
      <c r="C1383" s="4">
        <v>0.68</v>
      </c>
      <c r="D1383" s="4">
        <v>-0.1</v>
      </c>
      <c r="E1383" s="4">
        <v>-9.3213686404587069E-3</v>
      </c>
      <c r="F1383" s="3">
        <v>1381</v>
      </c>
      <c r="G1383" s="3">
        <v>2</v>
      </c>
      <c r="H1383" s="5">
        <v>240257487.50999999</v>
      </c>
      <c r="I1383" s="5">
        <v>356957487.50999999</v>
      </c>
      <c r="J1383" s="5">
        <v>493200000</v>
      </c>
      <c r="K1383" s="5">
        <v>376500000</v>
      </c>
      <c r="L1383" s="5">
        <v>2008400000</v>
      </c>
      <c r="M1383" s="5">
        <v>260900000</v>
      </c>
      <c r="N1383" s="5">
        <v>-193400000</v>
      </c>
    </row>
    <row r="1384" spans="1:14" x14ac:dyDescent="0.25">
      <c r="A1384" s="3" t="s">
        <v>1395</v>
      </c>
      <c r="B1384" s="4">
        <v>0</v>
      </c>
      <c r="C1384" s="4">
        <v>0.42</v>
      </c>
      <c r="D1384" s="4">
        <v>-0.63</v>
      </c>
      <c r="E1384" s="4">
        <v>-9.326919650942813E-3</v>
      </c>
      <c r="F1384" s="3">
        <v>1382</v>
      </c>
      <c r="G1384" s="3">
        <v>2</v>
      </c>
      <c r="H1384" s="5">
        <v>11800.0224</v>
      </c>
      <c r="I1384" s="5">
        <v>-15999.9776</v>
      </c>
      <c r="J1384" s="5">
        <v>0</v>
      </c>
      <c r="K1384" s="5">
        <v>27800</v>
      </c>
      <c r="L1384" s="5">
        <v>4975740</v>
      </c>
      <c r="M1384" s="5">
        <v>-3359900</v>
      </c>
      <c r="N1384" s="5">
        <v>-4313320</v>
      </c>
    </row>
    <row r="1385" spans="1:14" x14ac:dyDescent="0.25">
      <c r="A1385" s="3" t="s">
        <v>1396</v>
      </c>
      <c r="B1385" s="4">
        <v>-2.69</v>
      </c>
      <c r="C1385" s="4">
        <v>0.2</v>
      </c>
      <c r="D1385" s="4">
        <v>-6.12</v>
      </c>
      <c r="E1385" s="4">
        <v>-9.356718263797777E-3</v>
      </c>
      <c r="F1385" s="3">
        <v>1383</v>
      </c>
      <c r="G1385" s="3">
        <v>2</v>
      </c>
      <c r="H1385" s="5">
        <v>34.262264000000002</v>
      </c>
      <c r="I1385" s="5">
        <v>5799874.2622640003</v>
      </c>
      <c r="J1385" s="5">
        <v>5824560</v>
      </c>
      <c r="K1385" s="5">
        <v>24720</v>
      </c>
      <c r="L1385" s="5">
        <v>0</v>
      </c>
      <c r="M1385" s="5">
        <v>-2158510</v>
      </c>
      <c r="N1385" s="5">
        <v>-2049860</v>
      </c>
    </row>
    <row r="1386" spans="1:14" x14ac:dyDescent="0.25">
      <c r="A1386" s="3" t="s">
        <v>1397</v>
      </c>
      <c r="B1386" s="4">
        <v>-0.87</v>
      </c>
      <c r="C1386" s="4">
        <v>1.4</v>
      </c>
      <c r="D1386" s="4">
        <v>-18.260000000000002</v>
      </c>
      <c r="E1386" s="4">
        <v>-9.3577591240230351E-3</v>
      </c>
      <c r="F1386" s="3">
        <v>1384</v>
      </c>
      <c r="G1386" s="3">
        <v>2</v>
      </c>
      <c r="H1386" s="5">
        <v>95.954549</v>
      </c>
      <c r="I1386" s="5">
        <v>3913925.9545490001</v>
      </c>
      <c r="J1386" s="5">
        <v>4114320</v>
      </c>
      <c r="K1386" s="5">
        <v>200490</v>
      </c>
      <c r="L1386" s="5">
        <v>58200</v>
      </c>
      <c r="M1386" s="5">
        <v>-4490780</v>
      </c>
      <c r="N1386" s="5">
        <v>-10557690</v>
      </c>
    </row>
    <row r="1387" spans="1:14" x14ac:dyDescent="0.25">
      <c r="A1387" s="3" t="s">
        <v>1398</v>
      </c>
      <c r="B1387" s="4">
        <v>-2.88</v>
      </c>
      <c r="C1387" s="4">
        <v>-0.24</v>
      </c>
      <c r="D1387" s="4">
        <v>-0.15</v>
      </c>
      <c r="E1387" s="4">
        <v>-9.3588131974184537E-3</v>
      </c>
      <c r="F1387" s="3">
        <v>1385</v>
      </c>
      <c r="G1387" s="3">
        <v>2</v>
      </c>
      <c r="H1387" s="5">
        <v>1191349399.9000001</v>
      </c>
      <c r="I1387" s="5">
        <v>675722399.9000001</v>
      </c>
      <c r="J1387" s="5">
        <v>95250000</v>
      </c>
      <c r="K1387" s="5">
        <v>610877000</v>
      </c>
      <c r="L1387" s="5">
        <v>456152000</v>
      </c>
      <c r="M1387" s="5">
        <v>-234276000</v>
      </c>
      <c r="N1387" s="5">
        <v>-229776000</v>
      </c>
    </row>
    <row r="1388" spans="1:14" x14ac:dyDescent="0.25">
      <c r="A1388" s="3" t="s">
        <v>1399</v>
      </c>
      <c r="B1388" s="4">
        <v>-5.88</v>
      </c>
      <c r="C1388" s="4">
        <v>-0.88</v>
      </c>
      <c r="D1388" s="4">
        <v>-0.21</v>
      </c>
      <c r="E1388" s="4">
        <v>-9.3628164966855637E-3</v>
      </c>
      <c r="F1388" s="3">
        <v>1386</v>
      </c>
      <c r="G1388" s="3">
        <v>2</v>
      </c>
      <c r="H1388" s="5">
        <v>33713084.899999999</v>
      </c>
      <c r="I1388" s="5">
        <v>40620084.899999999</v>
      </c>
      <c r="J1388" s="5">
        <v>11688350</v>
      </c>
      <c r="K1388" s="5">
        <v>4781350</v>
      </c>
      <c r="L1388" s="5">
        <v>46503020</v>
      </c>
      <c r="M1388" s="5">
        <v>-6904530</v>
      </c>
      <c r="N1388" s="5">
        <v>-8134850</v>
      </c>
    </row>
    <row r="1389" spans="1:14" x14ac:dyDescent="0.25">
      <c r="A1389" s="3" t="s">
        <v>1400</v>
      </c>
      <c r="B1389" s="4">
        <v>-0.05</v>
      </c>
      <c r="C1389" s="4">
        <v>0.34</v>
      </c>
      <c r="D1389" s="4">
        <v>0.2</v>
      </c>
      <c r="E1389" s="4">
        <v>-9.3670132726400984E-3</v>
      </c>
      <c r="F1389" s="3">
        <v>1387</v>
      </c>
      <c r="G1389" s="3">
        <v>2</v>
      </c>
      <c r="H1389" s="5">
        <v>478191132.16000003</v>
      </c>
      <c r="I1389" s="5">
        <v>-62331867.839999966</v>
      </c>
      <c r="J1389" s="5">
        <v>0</v>
      </c>
      <c r="K1389" s="5">
        <v>540523000</v>
      </c>
      <c r="L1389" s="5">
        <v>5801032000</v>
      </c>
      <c r="M1389" s="5">
        <v>1265888000</v>
      </c>
      <c r="N1389" s="5">
        <v>1056478000</v>
      </c>
    </row>
    <row r="1390" spans="1:14" x14ac:dyDescent="0.25">
      <c r="A1390" s="3" t="s">
        <v>1401</v>
      </c>
      <c r="B1390" s="4">
        <v>-1.07</v>
      </c>
      <c r="C1390" s="4">
        <v>0.13</v>
      </c>
      <c r="D1390" s="4">
        <v>0.05</v>
      </c>
      <c r="E1390" s="4">
        <v>-9.3714154375044087E-3</v>
      </c>
      <c r="F1390" s="3">
        <v>1388</v>
      </c>
      <c r="G1390" s="3">
        <v>2</v>
      </c>
      <c r="H1390" s="5">
        <v>87759691.620000005</v>
      </c>
      <c r="I1390" s="5">
        <v>24181691.620000001</v>
      </c>
      <c r="J1390" s="5">
        <v>22321000</v>
      </c>
      <c r="K1390" s="5">
        <v>85899000</v>
      </c>
      <c r="L1390" s="5">
        <v>68696000</v>
      </c>
      <c r="M1390" s="5">
        <v>-22662000</v>
      </c>
      <c r="N1390" s="5">
        <v>7167000</v>
      </c>
    </row>
    <row r="1391" spans="1:14" x14ac:dyDescent="0.25">
      <c r="A1391" s="3" t="s">
        <v>1402</v>
      </c>
      <c r="B1391" s="4">
        <v>-0.84</v>
      </c>
      <c r="C1391" s="4">
        <v>0.17</v>
      </c>
      <c r="D1391" s="4">
        <v>0.16</v>
      </c>
      <c r="E1391" s="4">
        <v>-9.3769734481267963E-3</v>
      </c>
      <c r="F1391" s="3">
        <v>1389</v>
      </c>
      <c r="G1391" s="3">
        <v>2</v>
      </c>
      <c r="H1391" s="5">
        <v>30.407838999999999</v>
      </c>
      <c r="I1391" s="5">
        <v>-11886999.592161</v>
      </c>
      <c r="J1391" s="5">
        <v>0</v>
      </c>
      <c r="K1391" s="5">
        <v>11887030</v>
      </c>
      <c r="L1391" s="5">
        <v>72263040</v>
      </c>
      <c r="M1391" s="5">
        <v>14148470</v>
      </c>
      <c r="N1391" s="5">
        <v>9699500</v>
      </c>
    </row>
    <row r="1392" spans="1:14" x14ac:dyDescent="0.25">
      <c r="A1392" s="3" t="s">
        <v>1403</v>
      </c>
      <c r="B1392" s="4">
        <v>-0.17</v>
      </c>
      <c r="C1392" s="4">
        <v>0.35</v>
      </c>
      <c r="D1392" s="4">
        <v>-0.39</v>
      </c>
      <c r="E1392" s="4">
        <v>-9.3776617653335594E-3</v>
      </c>
      <c r="F1392" s="3">
        <v>1390</v>
      </c>
      <c r="G1392" s="3">
        <v>2</v>
      </c>
      <c r="H1392" s="5">
        <v>3929700.2853600001</v>
      </c>
      <c r="I1392" s="5">
        <v>591010.2853600001</v>
      </c>
      <c r="J1392" s="5">
        <v>0</v>
      </c>
      <c r="K1392" s="5">
        <v>3338690</v>
      </c>
      <c r="L1392" s="5">
        <v>1007380</v>
      </c>
      <c r="M1392" s="5">
        <v>-3423260</v>
      </c>
      <c r="N1392" s="5">
        <v>-2427170</v>
      </c>
    </row>
    <row r="1393" spans="1:14" x14ac:dyDescent="0.25">
      <c r="A1393" s="3" t="s">
        <v>1404</v>
      </c>
      <c r="B1393" s="4">
        <v>-4.3</v>
      </c>
      <c r="C1393" s="4">
        <v>-0.55000000000000004</v>
      </c>
      <c r="D1393" s="4">
        <v>-0.27</v>
      </c>
      <c r="E1393" s="4">
        <v>-9.3987961248117244E-3</v>
      </c>
      <c r="F1393" s="3">
        <v>1391</v>
      </c>
      <c r="G1393" s="3">
        <v>2</v>
      </c>
      <c r="H1393" s="5">
        <v>9644282.8800000008</v>
      </c>
      <c r="I1393" s="5">
        <v>14209282.880000001</v>
      </c>
      <c r="J1393" s="5">
        <v>5063000</v>
      </c>
      <c r="K1393" s="5">
        <v>498000</v>
      </c>
      <c r="L1393" s="5">
        <v>13970000</v>
      </c>
      <c r="M1393" s="5">
        <v>-3308000</v>
      </c>
      <c r="N1393" s="5">
        <v>-4677000</v>
      </c>
    </row>
    <row r="1394" spans="1:14" x14ac:dyDescent="0.25">
      <c r="A1394" s="3" t="s">
        <v>1405</v>
      </c>
      <c r="B1394" s="4">
        <v>-1.64</v>
      </c>
      <c r="C1394" s="4">
        <v>0</v>
      </c>
      <c r="D1394" s="4">
        <v>0</v>
      </c>
      <c r="E1394" s="4">
        <v>-9.403892736846475E-3</v>
      </c>
      <c r="F1394" s="3">
        <v>1392</v>
      </c>
      <c r="G1394" s="3">
        <v>2</v>
      </c>
      <c r="H1394" s="5">
        <v>2045241.2024999999</v>
      </c>
      <c r="I1394" s="5">
        <v>625531.2024999999</v>
      </c>
      <c r="J1394" s="5">
        <v>0</v>
      </c>
      <c r="K1394" s="5">
        <v>1419710</v>
      </c>
      <c r="L1394" s="5">
        <v>4526230</v>
      </c>
      <c r="M1394" s="5">
        <v>-382500</v>
      </c>
      <c r="N1394" s="5">
        <v>14180</v>
      </c>
    </row>
    <row r="1395" spans="1:14" x14ac:dyDescent="0.25">
      <c r="A1395" s="3" t="s">
        <v>1406</v>
      </c>
      <c r="B1395" s="4">
        <v>-3.13</v>
      </c>
      <c r="C1395" s="4">
        <v>-0.31</v>
      </c>
      <c r="D1395" s="4">
        <v>-0.2</v>
      </c>
      <c r="E1395" s="4">
        <v>-9.4159834369802534E-3</v>
      </c>
      <c r="F1395" s="3">
        <v>1393</v>
      </c>
      <c r="G1395" s="3">
        <v>2</v>
      </c>
      <c r="H1395" s="5">
        <v>241323553.25</v>
      </c>
      <c r="I1395" s="5">
        <v>220774553.25</v>
      </c>
      <c r="J1395" s="5">
        <v>0</v>
      </c>
      <c r="K1395" s="5">
        <v>20549000</v>
      </c>
      <c r="L1395" s="5">
        <v>0</v>
      </c>
      <c r="M1395" s="5">
        <v>-70577000</v>
      </c>
      <c r="N1395" s="5">
        <v>-36184000</v>
      </c>
    </row>
    <row r="1396" spans="1:14" x14ac:dyDescent="0.25">
      <c r="A1396" s="3" t="s">
        <v>1407</v>
      </c>
      <c r="B1396" s="4">
        <v>-2.66</v>
      </c>
      <c r="C1396" s="4">
        <v>-0.21</v>
      </c>
      <c r="D1396" s="4">
        <v>-0.2</v>
      </c>
      <c r="E1396" s="4">
        <v>-9.4179400345983134E-3</v>
      </c>
      <c r="F1396" s="3">
        <v>1394</v>
      </c>
      <c r="G1396" s="3">
        <v>2</v>
      </c>
      <c r="H1396" s="5">
        <v>74059831.459999993</v>
      </c>
      <c r="I1396" s="5">
        <v>33700091.459999993</v>
      </c>
      <c r="J1396" s="5">
        <v>0</v>
      </c>
      <c r="K1396" s="5">
        <v>40359740</v>
      </c>
      <c r="L1396" s="5">
        <v>0</v>
      </c>
      <c r="M1396" s="5">
        <v>-12654250</v>
      </c>
      <c r="N1396" s="5">
        <v>-11049550</v>
      </c>
    </row>
    <row r="1397" spans="1:14" x14ac:dyDescent="0.25">
      <c r="A1397" s="3" t="s">
        <v>1408</v>
      </c>
      <c r="B1397" s="4">
        <v>-3.87</v>
      </c>
      <c r="C1397" s="4">
        <v>-0.46</v>
      </c>
      <c r="D1397" s="4">
        <v>-0.37</v>
      </c>
      <c r="E1397" s="4">
        <v>-9.4241797724309902E-3</v>
      </c>
      <c r="F1397" s="3">
        <v>1395</v>
      </c>
      <c r="G1397" s="3">
        <v>2</v>
      </c>
      <c r="H1397" s="5">
        <v>102206992.26000001</v>
      </c>
      <c r="I1397" s="5">
        <v>78910992.260000005</v>
      </c>
      <c r="J1397" s="5">
        <v>0</v>
      </c>
      <c r="K1397" s="5">
        <v>23296000</v>
      </c>
      <c r="L1397" s="5">
        <v>5000</v>
      </c>
      <c r="M1397" s="5">
        <v>-20376000</v>
      </c>
      <c r="N1397" s="5">
        <v>-18175000</v>
      </c>
    </row>
    <row r="1398" spans="1:14" x14ac:dyDescent="0.25">
      <c r="A1398" s="3" t="s">
        <v>1409</v>
      </c>
      <c r="B1398" s="4">
        <v>-5.0599999999999996</v>
      </c>
      <c r="C1398" s="4">
        <v>-0.72</v>
      </c>
      <c r="D1398" s="4">
        <v>-0.31</v>
      </c>
      <c r="E1398" s="4">
        <v>-9.4273239173896465E-3</v>
      </c>
      <c r="F1398" s="3">
        <v>1396</v>
      </c>
      <c r="G1398" s="3">
        <v>2</v>
      </c>
      <c r="H1398" s="5">
        <v>18711152511.299999</v>
      </c>
      <c r="I1398" s="5">
        <v>17945152511.299999</v>
      </c>
      <c r="J1398" s="5">
        <v>4528000000</v>
      </c>
      <c r="K1398" s="5">
        <v>5294000000</v>
      </c>
      <c r="L1398" s="5">
        <v>4970000000</v>
      </c>
      <c r="M1398" s="5">
        <v>-3544000000</v>
      </c>
      <c r="N1398" s="5">
        <v>-4747000000</v>
      </c>
    </row>
    <row r="1399" spans="1:14" x14ac:dyDescent="0.25">
      <c r="A1399" s="3" t="s">
        <v>1410</v>
      </c>
      <c r="B1399" s="4">
        <v>-1.04</v>
      </c>
      <c r="C1399" s="4">
        <v>0.62</v>
      </c>
      <c r="D1399" s="4">
        <v>-7.5</v>
      </c>
      <c r="E1399" s="4">
        <v>-9.4306113769041296E-3</v>
      </c>
      <c r="F1399" s="3">
        <v>1397</v>
      </c>
      <c r="G1399" s="3">
        <v>2</v>
      </c>
      <c r="H1399" s="5">
        <v>117000</v>
      </c>
      <c r="I1399" s="5">
        <v>2516610</v>
      </c>
      <c r="J1399" s="5">
        <v>2596570</v>
      </c>
      <c r="K1399" s="5">
        <v>196960</v>
      </c>
      <c r="L1399" s="5">
        <v>61900</v>
      </c>
      <c r="M1399" s="5">
        <v>-2415770</v>
      </c>
      <c r="N1399" s="5">
        <v>-2574810</v>
      </c>
    </row>
    <row r="1400" spans="1:14" x14ac:dyDescent="0.25">
      <c r="A1400" s="3" t="s">
        <v>1411</v>
      </c>
      <c r="B1400" s="4">
        <v>10.220000000000001</v>
      </c>
      <c r="C1400" s="4">
        <v>2.52</v>
      </c>
      <c r="D1400" s="4">
        <v>0.15</v>
      </c>
      <c r="E1400" s="4">
        <v>-9.4341663272743299E-3</v>
      </c>
      <c r="F1400" s="3">
        <v>1398</v>
      </c>
      <c r="G1400" s="3">
        <v>2</v>
      </c>
      <c r="H1400" s="5">
        <v>13286102880.68</v>
      </c>
      <c r="I1400" s="5">
        <v>15643102880.68</v>
      </c>
      <c r="J1400" s="5">
        <v>2524000000</v>
      </c>
      <c r="K1400" s="5">
        <v>167000000</v>
      </c>
      <c r="L1400" s="5">
        <v>7104000000</v>
      </c>
      <c r="M1400" s="5">
        <v>1530000000</v>
      </c>
      <c r="N1400" s="5">
        <v>810000000</v>
      </c>
    </row>
    <row r="1401" spans="1:14" x14ac:dyDescent="0.25">
      <c r="A1401" s="3" t="s">
        <v>1412</v>
      </c>
      <c r="B1401" s="4">
        <v>-0.66</v>
      </c>
      <c r="C1401" s="4">
        <v>0.21</v>
      </c>
      <c r="D1401" s="4">
        <v>-0.22</v>
      </c>
      <c r="E1401" s="4">
        <v>-9.4461077325615796E-3</v>
      </c>
      <c r="F1401" s="3">
        <v>1399</v>
      </c>
      <c r="G1401" s="3">
        <v>2</v>
      </c>
      <c r="H1401" s="5">
        <v>44482889</v>
      </c>
      <c r="I1401" s="5">
        <v>86212889</v>
      </c>
      <c r="J1401" s="5">
        <v>90208000</v>
      </c>
      <c r="K1401" s="5">
        <v>48478000</v>
      </c>
      <c r="L1401" s="5">
        <v>29621000</v>
      </c>
      <c r="M1401" s="5">
        <v>-129727000</v>
      </c>
      <c r="N1401" s="5">
        <v>-47579000</v>
      </c>
    </row>
    <row r="1402" spans="1:14" x14ac:dyDescent="0.25">
      <c r="A1402" s="3" t="s">
        <v>1413</v>
      </c>
      <c r="B1402" s="4">
        <v>-2.11</v>
      </c>
      <c r="C1402" s="4">
        <v>-0.11</v>
      </c>
      <c r="D1402" s="4">
        <v>-0.1</v>
      </c>
      <c r="E1402" s="4">
        <v>-9.4501200120179311E-3</v>
      </c>
      <c r="F1402" s="3">
        <v>1400</v>
      </c>
      <c r="G1402" s="3">
        <v>2</v>
      </c>
      <c r="H1402" s="5">
        <v>4181497.6</v>
      </c>
      <c r="I1402" s="5">
        <v>4139117.6</v>
      </c>
      <c r="J1402" s="5">
        <v>0</v>
      </c>
      <c r="K1402" s="5">
        <v>42380</v>
      </c>
      <c r="L1402" s="5">
        <v>4747580</v>
      </c>
      <c r="M1402" s="5">
        <v>-1957640</v>
      </c>
      <c r="N1402" s="5">
        <v>-2019520</v>
      </c>
    </row>
    <row r="1403" spans="1:14" x14ac:dyDescent="0.25">
      <c r="A1403" s="3" t="s">
        <v>1414</v>
      </c>
      <c r="B1403" s="4">
        <v>-2.38</v>
      </c>
      <c r="C1403" s="4">
        <v>-0.17</v>
      </c>
      <c r="D1403" s="4">
        <v>-0.12</v>
      </c>
      <c r="E1403" s="4">
        <v>-9.4602311534385999E-3</v>
      </c>
      <c r="F1403" s="3">
        <v>1401</v>
      </c>
      <c r="G1403" s="3">
        <v>2</v>
      </c>
      <c r="H1403" s="5">
        <v>114403957.08</v>
      </c>
      <c r="I1403" s="5">
        <v>235655957.08000001</v>
      </c>
      <c r="J1403" s="5">
        <v>132163000</v>
      </c>
      <c r="K1403" s="5">
        <v>10911000</v>
      </c>
      <c r="L1403" s="5">
        <v>111714000</v>
      </c>
      <c r="M1403" s="5">
        <v>-99038000</v>
      </c>
      <c r="N1403" s="5">
        <v>-73424000</v>
      </c>
    </row>
    <row r="1404" spans="1:14" x14ac:dyDescent="0.25">
      <c r="A1404" s="3" t="s">
        <v>1415</v>
      </c>
      <c r="B1404" s="4">
        <v>-0.71</v>
      </c>
      <c r="C1404" s="4">
        <v>0.52</v>
      </c>
      <c r="D1404" s="4">
        <v>-5.14</v>
      </c>
      <c r="E1404" s="4">
        <v>-9.4685409627608807E-3</v>
      </c>
      <c r="F1404" s="3">
        <v>1402</v>
      </c>
      <c r="G1404" s="3">
        <v>2</v>
      </c>
      <c r="H1404" s="5">
        <v>200765.46</v>
      </c>
      <c r="I1404" s="5">
        <v>191035.46</v>
      </c>
      <c r="J1404" s="5">
        <v>0</v>
      </c>
      <c r="K1404" s="5">
        <v>9730</v>
      </c>
      <c r="L1404" s="5">
        <v>219700</v>
      </c>
      <c r="M1404" s="5">
        <v>-269540</v>
      </c>
      <c r="N1404" s="5">
        <v>-266860</v>
      </c>
    </row>
    <row r="1405" spans="1:14" x14ac:dyDescent="0.25">
      <c r="A1405" s="3" t="s">
        <v>1416</v>
      </c>
      <c r="B1405" s="4">
        <v>2.4</v>
      </c>
      <c r="C1405" s="4">
        <v>0.79</v>
      </c>
      <c r="D1405" s="4">
        <v>0.79</v>
      </c>
      <c r="E1405" s="4">
        <v>-9.4693437847006203E-3</v>
      </c>
      <c r="F1405" s="3">
        <v>1403</v>
      </c>
      <c r="G1405" s="3">
        <v>2</v>
      </c>
      <c r="H1405" s="5">
        <v>21972500</v>
      </c>
      <c r="I1405" s="5">
        <v>19284500</v>
      </c>
      <c r="J1405" s="5">
        <v>0</v>
      </c>
      <c r="K1405" s="5">
        <v>2688000</v>
      </c>
      <c r="L1405" s="5">
        <v>10693000</v>
      </c>
      <c r="M1405" s="5">
        <v>8048000</v>
      </c>
      <c r="N1405" s="5">
        <v>8048000</v>
      </c>
    </row>
    <row r="1406" spans="1:14" x14ac:dyDescent="0.25">
      <c r="A1406" s="3" t="s">
        <v>1417</v>
      </c>
      <c r="B1406" s="4">
        <v>-4.1500000000000004</v>
      </c>
      <c r="C1406" s="4">
        <v>-0.53</v>
      </c>
      <c r="D1406" s="4">
        <v>-0.49</v>
      </c>
      <c r="E1406" s="4">
        <v>-9.4762855809440976E-3</v>
      </c>
      <c r="F1406" s="3">
        <v>1404</v>
      </c>
      <c r="G1406" s="3">
        <v>2</v>
      </c>
      <c r="H1406" s="5">
        <v>641776662</v>
      </c>
      <c r="I1406" s="5">
        <v>614516662</v>
      </c>
      <c r="J1406" s="5">
        <v>0</v>
      </c>
      <c r="K1406" s="5">
        <v>27260000</v>
      </c>
      <c r="L1406" s="5">
        <v>0</v>
      </c>
      <c r="M1406" s="5">
        <v>-148150000</v>
      </c>
      <c r="N1406" s="5">
        <v>-135122000</v>
      </c>
    </row>
    <row r="1407" spans="1:14" x14ac:dyDescent="0.25">
      <c r="A1407" s="3" t="s">
        <v>1418</v>
      </c>
      <c r="B1407" s="4">
        <v>-0.28000000000000003</v>
      </c>
      <c r="C1407" s="4">
        <v>0.26</v>
      </c>
      <c r="D1407" s="4">
        <v>0.08</v>
      </c>
      <c r="E1407" s="4">
        <v>-9.4789587166530537E-3</v>
      </c>
      <c r="F1407" s="3">
        <v>1405</v>
      </c>
      <c r="G1407" s="3">
        <v>2</v>
      </c>
      <c r="H1407" s="5">
        <v>3028.6199000000001</v>
      </c>
      <c r="I1407" s="5">
        <v>-4545091.3801000006</v>
      </c>
      <c r="J1407" s="5">
        <v>21009460</v>
      </c>
      <c r="K1407" s="5">
        <v>25557580</v>
      </c>
      <c r="L1407" s="5">
        <v>131930220</v>
      </c>
      <c r="M1407" s="5">
        <v>15995720</v>
      </c>
      <c r="N1407" s="5">
        <v>11101160</v>
      </c>
    </row>
    <row r="1408" spans="1:14" x14ac:dyDescent="0.25">
      <c r="A1408" s="3" t="s">
        <v>1419</v>
      </c>
      <c r="B1408" s="4">
        <v>0.98</v>
      </c>
      <c r="C1408" s="4">
        <v>0.55000000000000004</v>
      </c>
      <c r="D1408" s="4">
        <v>-0.28000000000000003</v>
      </c>
      <c r="E1408" s="4">
        <v>-9.4903289878557409E-3</v>
      </c>
      <c r="F1408" s="3">
        <v>1406</v>
      </c>
      <c r="G1408" s="3">
        <v>2</v>
      </c>
      <c r="H1408" s="5">
        <v>51224610.659999996</v>
      </c>
      <c r="I1408" s="5">
        <v>160388610.66</v>
      </c>
      <c r="J1408" s="5">
        <v>112629000</v>
      </c>
      <c r="K1408" s="5">
        <v>3465000</v>
      </c>
      <c r="L1408" s="5">
        <v>247194000</v>
      </c>
      <c r="M1408" s="5">
        <v>163390000</v>
      </c>
      <c r="N1408" s="5">
        <v>-25915000</v>
      </c>
    </row>
    <row r="1409" spans="1:14" x14ac:dyDescent="0.25">
      <c r="A1409" s="3" t="s">
        <v>1420</v>
      </c>
      <c r="B1409" s="4">
        <v>1.8</v>
      </c>
      <c r="C1409" s="4">
        <v>0.72</v>
      </c>
      <c r="D1409" s="4">
        <v>-0.21</v>
      </c>
      <c r="E1409" s="4">
        <v>-9.4931493497277669E-3</v>
      </c>
      <c r="F1409" s="3">
        <v>1407</v>
      </c>
      <c r="G1409" s="3">
        <v>2</v>
      </c>
      <c r="H1409" s="5">
        <v>34311724.560000002</v>
      </c>
      <c r="I1409" s="5">
        <v>98143724.560000002</v>
      </c>
      <c r="J1409" s="5">
        <v>68629000</v>
      </c>
      <c r="K1409" s="5">
        <v>4797000</v>
      </c>
      <c r="L1409" s="5">
        <v>193282000</v>
      </c>
      <c r="M1409" s="5">
        <v>54669000</v>
      </c>
      <c r="N1409" s="5">
        <v>-86173000</v>
      </c>
    </row>
    <row r="1410" spans="1:14" x14ac:dyDescent="0.25">
      <c r="A1410" s="3" t="s">
        <v>1421</v>
      </c>
      <c r="B1410" s="4">
        <v>-2.68</v>
      </c>
      <c r="C1410" s="4">
        <v>-0.24</v>
      </c>
      <c r="D1410" s="4">
        <v>-0.23</v>
      </c>
      <c r="E1410" s="4">
        <v>-9.4980295239800484E-3</v>
      </c>
      <c r="F1410" s="3">
        <v>1408</v>
      </c>
      <c r="G1410" s="3">
        <v>2</v>
      </c>
      <c r="H1410" s="5">
        <v>79375923.107999995</v>
      </c>
      <c r="I1410" s="5">
        <v>72354923.107999995</v>
      </c>
      <c r="J1410" s="5">
        <v>0</v>
      </c>
      <c r="K1410" s="5">
        <v>7021000</v>
      </c>
      <c r="L1410" s="5">
        <v>27285000</v>
      </c>
      <c r="M1410" s="5">
        <v>-27043000</v>
      </c>
      <c r="N1410" s="5">
        <v>-46982000</v>
      </c>
    </row>
    <row r="1411" spans="1:14" x14ac:dyDescent="0.25">
      <c r="A1411" s="3" t="s">
        <v>1422</v>
      </c>
      <c r="B1411" s="4">
        <v>-4.6399999999999997</v>
      </c>
      <c r="C1411" s="4">
        <v>-0.65</v>
      </c>
      <c r="D1411" s="4">
        <v>-0.4</v>
      </c>
      <c r="E1411" s="4">
        <v>-9.5023765467632457E-3</v>
      </c>
      <c r="F1411" s="3">
        <v>1409</v>
      </c>
      <c r="G1411" s="3">
        <v>2</v>
      </c>
      <c r="H1411" s="5">
        <v>305459611.19999999</v>
      </c>
      <c r="I1411" s="5">
        <v>269046611.19999999</v>
      </c>
      <c r="J1411" s="5">
        <v>30030000</v>
      </c>
      <c r="K1411" s="5">
        <v>66443000</v>
      </c>
      <c r="L1411" s="5">
        <v>65173000</v>
      </c>
      <c r="M1411" s="5">
        <v>-57972000</v>
      </c>
      <c r="N1411" s="5">
        <v>-62493000</v>
      </c>
    </row>
    <row r="1412" spans="1:14" x14ac:dyDescent="0.25">
      <c r="A1412" s="3" t="s">
        <v>1423</v>
      </c>
      <c r="B1412" s="4">
        <v>-2.7</v>
      </c>
      <c r="C1412" s="4">
        <v>-0.25</v>
      </c>
      <c r="D1412" s="4">
        <v>-0.17</v>
      </c>
      <c r="E1412" s="4">
        <v>-9.5029705601353178E-3</v>
      </c>
      <c r="F1412" s="3">
        <v>1410</v>
      </c>
      <c r="G1412" s="3">
        <v>2</v>
      </c>
      <c r="H1412" s="5">
        <v>18112500</v>
      </c>
      <c r="I1412" s="5">
        <v>13531830</v>
      </c>
      <c r="J1412" s="5">
        <v>6108550</v>
      </c>
      <c r="K1412" s="5">
        <v>10689220</v>
      </c>
      <c r="L1412" s="5">
        <v>25334150</v>
      </c>
      <c r="M1412" s="5">
        <v>-5013840</v>
      </c>
      <c r="N1412" s="5">
        <v>-6315390</v>
      </c>
    </row>
    <row r="1413" spans="1:14" x14ac:dyDescent="0.25">
      <c r="A1413" s="3" t="s">
        <v>1424</v>
      </c>
      <c r="B1413" s="4">
        <v>3.15</v>
      </c>
      <c r="C1413" s="4">
        <v>0.98</v>
      </c>
      <c r="D1413" s="4">
        <v>0.1</v>
      </c>
      <c r="E1413" s="4">
        <v>-9.5176585125546324E-3</v>
      </c>
      <c r="F1413" s="3">
        <v>1411</v>
      </c>
      <c r="G1413" s="3">
        <v>2</v>
      </c>
      <c r="H1413" s="5">
        <v>83649664.799999997</v>
      </c>
      <c r="I1413" s="5">
        <v>63031604.799999997</v>
      </c>
      <c r="J1413" s="5">
        <v>0</v>
      </c>
      <c r="K1413" s="5">
        <v>20618060</v>
      </c>
      <c r="L1413" s="5">
        <v>173650560</v>
      </c>
      <c r="M1413" s="5">
        <v>20033810</v>
      </c>
      <c r="N1413" s="5">
        <v>17076190</v>
      </c>
    </row>
    <row r="1414" spans="1:14" x14ac:dyDescent="0.25">
      <c r="A1414" s="3" t="s">
        <v>1425</v>
      </c>
      <c r="B1414" s="4">
        <v>-0.1</v>
      </c>
      <c r="C1414" s="4">
        <v>0.28000000000000003</v>
      </c>
      <c r="D1414" s="4">
        <v>0.11</v>
      </c>
      <c r="E1414" s="4">
        <v>-9.5267901254390153E-3</v>
      </c>
      <c r="F1414" s="3">
        <v>1412</v>
      </c>
      <c r="G1414" s="3">
        <v>2</v>
      </c>
      <c r="H1414" s="5">
        <v>659.35159999999996</v>
      </c>
      <c r="I1414" s="5">
        <v>6890659.3515999988</v>
      </c>
      <c r="J1414" s="5">
        <v>62901000</v>
      </c>
      <c r="K1414" s="5">
        <v>56011000</v>
      </c>
      <c r="L1414" s="5">
        <v>24413000</v>
      </c>
      <c r="M1414" s="5">
        <v>-71274000</v>
      </c>
      <c r="N1414" s="5">
        <v>15170000</v>
      </c>
    </row>
    <row r="1415" spans="1:14" x14ac:dyDescent="0.25">
      <c r="A1415" s="3" t="s">
        <v>1426</v>
      </c>
      <c r="B1415" s="4">
        <v>-3.62</v>
      </c>
      <c r="C1415" s="4">
        <v>-0.45</v>
      </c>
      <c r="D1415" s="4">
        <v>-0.32</v>
      </c>
      <c r="E1415" s="4">
        <v>-9.5403711749559375E-3</v>
      </c>
      <c r="F1415" s="3">
        <v>1413</v>
      </c>
      <c r="G1415" s="3">
        <v>2</v>
      </c>
      <c r="H1415" s="5">
        <v>2153391613.5999999</v>
      </c>
      <c r="I1415" s="5">
        <v>1586488613.5999999</v>
      </c>
      <c r="J1415" s="5">
        <v>27447000</v>
      </c>
      <c r="K1415" s="5">
        <v>594350000</v>
      </c>
      <c r="L1415" s="5">
        <v>58839000</v>
      </c>
      <c r="M1415" s="5">
        <v>-437862000</v>
      </c>
      <c r="N1415" s="5">
        <v>-463661000</v>
      </c>
    </row>
    <row r="1416" spans="1:14" x14ac:dyDescent="0.25">
      <c r="A1416" s="3" t="s">
        <v>1427</v>
      </c>
      <c r="B1416" s="4">
        <v>3.82</v>
      </c>
      <c r="C1416" s="4">
        <v>1.05</v>
      </c>
      <c r="D1416" s="4">
        <v>1.05</v>
      </c>
      <c r="E1416" s="4">
        <v>-9.5468225202945591E-3</v>
      </c>
      <c r="F1416" s="3">
        <v>1414</v>
      </c>
      <c r="G1416" s="3">
        <v>2</v>
      </c>
      <c r="H1416" s="5">
        <v>49130000</v>
      </c>
      <c r="I1416" s="5">
        <v>47385320</v>
      </c>
      <c r="J1416" s="5">
        <v>0</v>
      </c>
      <c r="K1416" s="5">
        <v>1744680</v>
      </c>
      <c r="L1416" s="5">
        <v>13622720</v>
      </c>
      <c r="M1416" s="5">
        <v>12410000</v>
      </c>
      <c r="N1416" s="5">
        <v>12410000</v>
      </c>
    </row>
    <row r="1417" spans="1:14" x14ac:dyDescent="0.25">
      <c r="A1417" s="3" t="s">
        <v>1428</v>
      </c>
      <c r="B1417" s="4">
        <v>-0.01</v>
      </c>
      <c r="C1417" s="4">
        <v>0.35</v>
      </c>
      <c r="D1417" s="4">
        <v>-0.77</v>
      </c>
      <c r="E1417" s="4">
        <v>-9.5499920664320215E-3</v>
      </c>
      <c r="F1417" s="3">
        <v>1415</v>
      </c>
      <c r="G1417" s="3">
        <v>2</v>
      </c>
      <c r="H1417" s="5">
        <v>1298.6692</v>
      </c>
      <c r="I1417" s="5">
        <v>1298.6692</v>
      </c>
      <c r="J1417" s="5">
        <v>0</v>
      </c>
      <c r="K1417" s="5">
        <v>0</v>
      </c>
      <c r="L1417" s="5">
        <v>0</v>
      </c>
      <c r="M1417" s="5">
        <v>-92240</v>
      </c>
      <c r="N1417" s="5">
        <v>-92240</v>
      </c>
    </row>
    <row r="1418" spans="1:14" x14ac:dyDescent="0.25">
      <c r="A1418" s="3" t="s">
        <v>1429</v>
      </c>
      <c r="B1418" s="4">
        <v>-12.91</v>
      </c>
      <c r="C1418" s="4">
        <v>-2.38</v>
      </c>
      <c r="D1418" s="4">
        <v>-1.39</v>
      </c>
      <c r="E1418" s="4">
        <v>-9.5734710799545101E-3</v>
      </c>
      <c r="F1418" s="3">
        <v>1416</v>
      </c>
      <c r="G1418" s="3">
        <v>2</v>
      </c>
      <c r="H1418" s="5">
        <v>9994773.8000000007</v>
      </c>
      <c r="I1418" s="5">
        <v>10086973.800000001</v>
      </c>
      <c r="J1418" s="5">
        <v>115000</v>
      </c>
      <c r="K1418" s="5">
        <v>22800</v>
      </c>
      <c r="L1418" s="5">
        <v>3246910</v>
      </c>
      <c r="M1418" s="5">
        <v>-781410</v>
      </c>
      <c r="N1418" s="5">
        <v>-801140</v>
      </c>
    </row>
    <row r="1419" spans="1:14" x14ac:dyDescent="0.25">
      <c r="A1419" s="3" t="s">
        <v>1430</v>
      </c>
      <c r="B1419" s="4">
        <v>-0.51</v>
      </c>
      <c r="C1419" s="4">
        <v>0.17</v>
      </c>
      <c r="D1419" s="4">
        <v>0.16</v>
      </c>
      <c r="E1419" s="4">
        <v>-9.5812172361303474E-3</v>
      </c>
      <c r="F1419" s="3">
        <v>1417</v>
      </c>
      <c r="G1419" s="3">
        <v>2</v>
      </c>
      <c r="H1419" s="5">
        <v>34926718.32</v>
      </c>
      <c r="I1419" s="5">
        <v>14489228.32</v>
      </c>
      <c r="J1419" s="5">
        <v>0</v>
      </c>
      <c r="K1419" s="5">
        <v>20437490</v>
      </c>
      <c r="L1419" s="5">
        <v>2357270</v>
      </c>
      <c r="M1419" s="5">
        <v>-28202300</v>
      </c>
      <c r="N1419" s="5">
        <v>11692090</v>
      </c>
    </row>
    <row r="1420" spans="1:14" x14ac:dyDescent="0.25">
      <c r="A1420" s="3" t="s">
        <v>1431</v>
      </c>
      <c r="B1420" s="4">
        <v>-5.0599999999999996</v>
      </c>
      <c r="C1420" s="4">
        <v>-0.78</v>
      </c>
      <c r="D1420" s="4">
        <v>-0.26</v>
      </c>
      <c r="E1420" s="4">
        <v>-9.5910404265888653E-3</v>
      </c>
      <c r="F1420" s="3">
        <v>1418</v>
      </c>
      <c r="G1420" s="3">
        <v>2</v>
      </c>
      <c r="H1420" s="5">
        <v>92008271.519999996</v>
      </c>
      <c r="I1420" s="5">
        <v>131980271.52</v>
      </c>
      <c r="J1420" s="5">
        <v>45164000</v>
      </c>
      <c r="K1420" s="5">
        <v>5192000</v>
      </c>
      <c r="L1420" s="5">
        <v>7939000</v>
      </c>
      <c r="M1420" s="5">
        <v>-26086000</v>
      </c>
      <c r="N1420" s="5">
        <v>-40912000</v>
      </c>
    </row>
    <row r="1421" spans="1:14" x14ac:dyDescent="0.25">
      <c r="A1421" s="3" t="s">
        <v>1432</v>
      </c>
      <c r="B1421" s="4">
        <v>-3.37</v>
      </c>
      <c r="C1421" s="4">
        <v>-0.42</v>
      </c>
      <c r="D1421" s="4">
        <v>-0.23</v>
      </c>
      <c r="E1421" s="4">
        <v>-9.5910592571419456E-3</v>
      </c>
      <c r="F1421" s="3">
        <v>1419</v>
      </c>
      <c r="G1421" s="3">
        <v>2</v>
      </c>
      <c r="H1421" s="5">
        <v>862764018.89999998</v>
      </c>
      <c r="I1421" s="5">
        <v>647825018.89999998</v>
      </c>
      <c r="J1421" s="5">
        <v>9523000</v>
      </c>
      <c r="K1421" s="5">
        <v>224462000</v>
      </c>
      <c r="L1421" s="5">
        <v>53883000</v>
      </c>
      <c r="M1421" s="5">
        <v>-192347000</v>
      </c>
      <c r="N1421" s="5">
        <v>-173983000</v>
      </c>
    </row>
    <row r="1422" spans="1:14" x14ac:dyDescent="0.25">
      <c r="A1422" s="3" t="s">
        <v>1433</v>
      </c>
      <c r="B1422" s="4">
        <v>-2.1800000000000002</v>
      </c>
      <c r="C1422" s="4">
        <v>-0.18</v>
      </c>
      <c r="D1422" s="4">
        <v>-0.13</v>
      </c>
      <c r="E1422" s="4">
        <v>-9.614837900972114E-3</v>
      </c>
      <c r="F1422" s="3">
        <v>1420</v>
      </c>
      <c r="G1422" s="3">
        <v>2</v>
      </c>
      <c r="H1422" s="5">
        <v>274188591.24000001</v>
      </c>
      <c r="I1422" s="5">
        <v>257717591.24000001</v>
      </c>
      <c r="J1422" s="5">
        <v>131662000</v>
      </c>
      <c r="K1422" s="5">
        <v>148133000</v>
      </c>
      <c r="L1422" s="5">
        <v>112132000</v>
      </c>
      <c r="M1422" s="5">
        <v>-118426000</v>
      </c>
      <c r="N1422" s="5">
        <v>-126009000</v>
      </c>
    </row>
    <row r="1423" spans="1:14" x14ac:dyDescent="0.25">
      <c r="A1423" s="3" t="s">
        <v>1434</v>
      </c>
      <c r="B1423" s="4">
        <v>-2.74</v>
      </c>
      <c r="C1423" s="4">
        <v>-0.28999999999999998</v>
      </c>
      <c r="D1423" s="4">
        <v>-0.28000000000000003</v>
      </c>
      <c r="E1423" s="4">
        <v>-9.6150074577574032E-3</v>
      </c>
      <c r="F1423" s="3">
        <v>1421</v>
      </c>
      <c r="G1423" s="3">
        <v>2</v>
      </c>
      <c r="H1423" s="5">
        <v>5794641.9450000003</v>
      </c>
      <c r="I1423" s="5">
        <v>3240641.9449999998</v>
      </c>
      <c r="J1423" s="5">
        <v>0</v>
      </c>
      <c r="K1423" s="5">
        <v>2554000</v>
      </c>
      <c r="L1423" s="5">
        <v>0</v>
      </c>
      <c r="M1423" s="5">
        <v>-1184000</v>
      </c>
      <c r="N1423" s="5">
        <v>-1545000</v>
      </c>
    </row>
    <row r="1424" spans="1:14" x14ac:dyDescent="0.25">
      <c r="A1424" s="3" t="s">
        <v>1435</v>
      </c>
      <c r="B1424" s="4">
        <v>-3.43</v>
      </c>
      <c r="C1424" s="4">
        <v>-0.44</v>
      </c>
      <c r="D1424" s="4">
        <v>-0.28000000000000003</v>
      </c>
      <c r="E1424" s="4">
        <v>-9.6213563698759295E-3</v>
      </c>
      <c r="F1424" s="3">
        <v>1422</v>
      </c>
      <c r="G1424" s="3">
        <v>2</v>
      </c>
      <c r="H1424" s="5">
        <v>104231055.04000001</v>
      </c>
      <c r="I1424" s="5">
        <v>179613055.03999999</v>
      </c>
      <c r="J1424" s="5">
        <v>84187000</v>
      </c>
      <c r="K1424" s="5">
        <v>8805000</v>
      </c>
      <c r="L1424" s="5">
        <v>0</v>
      </c>
      <c r="M1424" s="5">
        <v>-52438000</v>
      </c>
      <c r="N1424" s="5">
        <v>-74135000</v>
      </c>
    </row>
    <row r="1425" spans="1:14" x14ac:dyDescent="0.25">
      <c r="A1425" s="3" t="s">
        <v>1436</v>
      </c>
      <c r="B1425" s="4">
        <v>-3.76</v>
      </c>
      <c r="C1425" s="4">
        <v>-0.5</v>
      </c>
      <c r="D1425" s="4">
        <v>-0.45</v>
      </c>
      <c r="E1425" s="4">
        <v>-9.6232676757767241E-3</v>
      </c>
      <c r="F1425" s="3">
        <v>1423</v>
      </c>
      <c r="G1425" s="3">
        <v>2</v>
      </c>
      <c r="H1425" s="5">
        <v>92696144.310000002</v>
      </c>
      <c r="I1425" s="5">
        <v>88926144.310000002</v>
      </c>
      <c r="J1425" s="5">
        <v>66000</v>
      </c>
      <c r="K1425" s="5">
        <v>3836000</v>
      </c>
      <c r="L1425" s="5">
        <v>0</v>
      </c>
      <c r="M1425" s="5">
        <v>-23631000</v>
      </c>
      <c r="N1425" s="5">
        <v>-31555000</v>
      </c>
    </row>
    <row r="1426" spans="1:14" x14ac:dyDescent="0.25">
      <c r="A1426" s="3" t="s">
        <v>1437</v>
      </c>
      <c r="B1426" s="4">
        <v>-2.58</v>
      </c>
      <c r="C1426" s="4">
        <v>-0.27</v>
      </c>
      <c r="D1426" s="4">
        <v>-0.14000000000000001</v>
      </c>
      <c r="E1426" s="4">
        <v>-9.6292411627966479E-3</v>
      </c>
      <c r="F1426" s="3">
        <v>1424</v>
      </c>
      <c r="G1426" s="3">
        <v>2</v>
      </c>
      <c r="H1426" s="5">
        <v>11400599.939999999</v>
      </c>
      <c r="I1426" s="5">
        <v>13130309.939999999</v>
      </c>
      <c r="J1426" s="5">
        <v>3737600</v>
      </c>
      <c r="K1426" s="5">
        <v>2007890</v>
      </c>
      <c r="L1426" s="5">
        <v>66142780</v>
      </c>
      <c r="M1426" s="5">
        <v>-5085780</v>
      </c>
      <c r="N1426" s="5">
        <v>-4968290</v>
      </c>
    </row>
    <row r="1427" spans="1:14" x14ac:dyDescent="0.25">
      <c r="A1427" s="3" t="s">
        <v>1438</v>
      </c>
      <c r="B1427" s="4">
        <v>-2.86</v>
      </c>
      <c r="C1427" s="4">
        <v>-0.32</v>
      </c>
      <c r="D1427" s="4">
        <v>-0.28999999999999998</v>
      </c>
      <c r="E1427" s="4">
        <v>-9.6293468370133514E-3</v>
      </c>
      <c r="F1427" s="3">
        <v>1425</v>
      </c>
      <c r="G1427" s="3">
        <v>2</v>
      </c>
      <c r="H1427" s="5">
        <v>545642915.54999995</v>
      </c>
      <c r="I1427" s="5">
        <v>406162915.55000001</v>
      </c>
      <c r="J1427" s="5">
        <v>0</v>
      </c>
      <c r="K1427" s="5">
        <v>139480000</v>
      </c>
      <c r="L1427" s="5">
        <v>0</v>
      </c>
      <c r="M1427" s="5">
        <v>-141865000</v>
      </c>
      <c r="N1427" s="5">
        <v>-129474000</v>
      </c>
    </row>
    <row r="1428" spans="1:14" x14ac:dyDescent="0.25">
      <c r="A1428" s="3" t="s">
        <v>1439</v>
      </c>
      <c r="B1428" s="4">
        <v>-0.01</v>
      </c>
      <c r="C1428" s="4">
        <v>0.26</v>
      </c>
      <c r="D1428" s="4">
        <v>0.13</v>
      </c>
      <c r="E1428" s="4">
        <v>-9.6364221375866144E-3</v>
      </c>
      <c r="F1428" s="3">
        <v>1426</v>
      </c>
      <c r="G1428" s="3">
        <v>2</v>
      </c>
      <c r="H1428" s="5">
        <v>3018744817.5999999</v>
      </c>
      <c r="I1428" s="5">
        <v>-63732182.399999619</v>
      </c>
      <c r="J1428" s="5">
        <v>1369939000</v>
      </c>
      <c r="K1428" s="5">
        <v>4452416000</v>
      </c>
      <c r="L1428" s="5">
        <v>17165656000</v>
      </c>
      <c r="M1428" s="5">
        <v>7603464000</v>
      </c>
      <c r="N1428" s="5">
        <v>6264314000</v>
      </c>
    </row>
    <row r="1429" spans="1:14" x14ac:dyDescent="0.25">
      <c r="A1429" s="3" t="s">
        <v>1440</v>
      </c>
      <c r="B1429" s="4">
        <v>-4.75</v>
      </c>
      <c r="C1429" s="4">
        <v>-0.71</v>
      </c>
      <c r="D1429" s="4">
        <v>-0.56999999999999995</v>
      </c>
      <c r="E1429" s="4">
        <v>-9.6404503779997409E-3</v>
      </c>
      <c r="F1429" s="3">
        <v>1427</v>
      </c>
      <c r="G1429" s="3">
        <v>2</v>
      </c>
      <c r="H1429" s="5">
        <v>286374385.80000001</v>
      </c>
      <c r="I1429" s="5">
        <v>222107385.80000001</v>
      </c>
      <c r="J1429" s="5">
        <v>5535000</v>
      </c>
      <c r="K1429" s="5">
        <v>69802000</v>
      </c>
      <c r="L1429" s="5">
        <v>0</v>
      </c>
      <c r="M1429" s="5">
        <v>-46783000</v>
      </c>
      <c r="N1429" s="5">
        <v>-43253000</v>
      </c>
    </row>
    <row r="1430" spans="1:14" x14ac:dyDescent="0.25">
      <c r="A1430" s="3" t="s">
        <v>1441</v>
      </c>
      <c r="B1430" s="4">
        <v>-0.82</v>
      </c>
      <c r="C1430" s="4">
        <v>0.09</v>
      </c>
      <c r="D1430" s="4">
        <v>0.05</v>
      </c>
      <c r="E1430" s="4">
        <v>-9.6417200079891748E-3</v>
      </c>
      <c r="F1430" s="3">
        <v>1428</v>
      </c>
      <c r="G1430" s="3">
        <v>2</v>
      </c>
      <c r="H1430" s="5">
        <v>1405.9965999999999</v>
      </c>
      <c r="I1430" s="5">
        <v>-5186654.0033999998</v>
      </c>
      <c r="J1430" s="5">
        <v>4631200</v>
      </c>
      <c r="K1430" s="5">
        <v>9819260</v>
      </c>
      <c r="L1430" s="5">
        <v>7990070</v>
      </c>
      <c r="M1430" s="5">
        <v>6317620</v>
      </c>
      <c r="N1430" s="5">
        <v>2476270</v>
      </c>
    </row>
    <row r="1431" spans="1:14" x14ac:dyDescent="0.25">
      <c r="A1431" s="3" t="s">
        <v>1442</v>
      </c>
      <c r="B1431" s="4">
        <v>-4.24</v>
      </c>
      <c r="C1431" s="4">
        <v>-0.62</v>
      </c>
      <c r="D1431" s="4">
        <v>-0.28999999999999998</v>
      </c>
      <c r="E1431" s="4">
        <v>-9.642044661250404E-3</v>
      </c>
      <c r="F1431" s="3">
        <v>1429</v>
      </c>
      <c r="G1431" s="3">
        <v>2</v>
      </c>
      <c r="H1431" s="5">
        <v>695438609.57000005</v>
      </c>
      <c r="I1431" s="5">
        <v>734898609.57000005</v>
      </c>
      <c r="J1431" s="5">
        <v>118476000</v>
      </c>
      <c r="K1431" s="5">
        <v>79016000</v>
      </c>
      <c r="L1431" s="5">
        <v>76994000</v>
      </c>
      <c r="M1431" s="5">
        <v>-173186000</v>
      </c>
      <c r="N1431" s="5">
        <v>-174572000</v>
      </c>
    </row>
    <row r="1432" spans="1:14" x14ac:dyDescent="0.25">
      <c r="A1432" s="3" t="s">
        <v>1443</v>
      </c>
      <c r="B1432" s="4">
        <v>-0.23</v>
      </c>
      <c r="C1432" s="4">
        <v>0.21</v>
      </c>
      <c r="D1432" s="4">
        <v>0.01</v>
      </c>
      <c r="E1432" s="4">
        <v>-9.667875966253273E-3</v>
      </c>
      <c r="F1432" s="3">
        <v>1430</v>
      </c>
      <c r="G1432" s="3">
        <v>2</v>
      </c>
      <c r="H1432" s="5">
        <v>5084945528.3999996</v>
      </c>
      <c r="I1432" s="5">
        <v>-1922054471.5999999</v>
      </c>
      <c r="J1432" s="5">
        <v>6309000000</v>
      </c>
      <c r="K1432" s="5">
        <v>13316000000</v>
      </c>
      <c r="L1432" s="5">
        <v>20900000000</v>
      </c>
      <c r="M1432" s="5">
        <v>8337000000</v>
      </c>
      <c r="N1432" s="5">
        <v>3461000000</v>
      </c>
    </row>
    <row r="1433" spans="1:14" x14ac:dyDescent="0.25">
      <c r="A1433" s="3" t="s">
        <v>1444</v>
      </c>
      <c r="B1433" s="4">
        <v>-0.75</v>
      </c>
      <c r="C1433" s="4">
        <v>0.09</v>
      </c>
      <c r="D1433" s="4">
        <v>0.09</v>
      </c>
      <c r="E1433" s="4">
        <v>-9.6773283415586935E-3</v>
      </c>
      <c r="F1433" s="3">
        <v>1431</v>
      </c>
      <c r="G1433" s="3">
        <v>2</v>
      </c>
      <c r="H1433" s="5">
        <v>145800000</v>
      </c>
      <c r="I1433" s="5">
        <v>-23482000</v>
      </c>
      <c r="J1433" s="5">
        <v>0</v>
      </c>
      <c r="K1433" s="5">
        <v>169282000</v>
      </c>
      <c r="L1433" s="5">
        <v>42774000</v>
      </c>
      <c r="M1433" s="5">
        <v>31305000</v>
      </c>
      <c r="N1433" s="5">
        <v>19060000</v>
      </c>
    </row>
    <row r="1434" spans="1:14" x14ac:dyDescent="0.25">
      <c r="A1434" s="3" t="s">
        <v>1445</v>
      </c>
      <c r="B1434" s="4">
        <v>-3.23</v>
      </c>
      <c r="C1434" s="4">
        <v>-0.42</v>
      </c>
      <c r="D1434" s="4">
        <v>-0.38</v>
      </c>
      <c r="E1434" s="4">
        <v>-9.7066435355636187E-3</v>
      </c>
      <c r="F1434" s="3">
        <v>1432</v>
      </c>
      <c r="G1434" s="3">
        <v>2</v>
      </c>
      <c r="H1434" s="5">
        <v>67914957.459999993</v>
      </c>
      <c r="I1434" s="5">
        <v>58915457.459999993</v>
      </c>
      <c r="J1434" s="5">
        <v>0</v>
      </c>
      <c r="K1434" s="5">
        <v>8999500</v>
      </c>
      <c r="L1434" s="5">
        <v>9737970</v>
      </c>
      <c r="M1434" s="5">
        <v>-18227140</v>
      </c>
      <c r="N1434" s="5">
        <v>-16290700</v>
      </c>
    </row>
    <row r="1435" spans="1:14" x14ac:dyDescent="0.25">
      <c r="A1435" s="3" t="s">
        <v>1446</v>
      </c>
      <c r="B1435" s="4">
        <v>5.03</v>
      </c>
      <c r="C1435" s="4">
        <v>1.33</v>
      </c>
      <c r="D1435" s="4">
        <v>-0.14000000000000001</v>
      </c>
      <c r="E1435" s="4">
        <v>-9.7162495759593043E-3</v>
      </c>
      <c r="F1435" s="3">
        <v>1433</v>
      </c>
      <c r="G1435" s="3">
        <v>2</v>
      </c>
      <c r="H1435" s="5">
        <v>53921458.840000004</v>
      </c>
      <c r="I1435" s="5">
        <v>5388921458.8400002</v>
      </c>
      <c r="J1435" s="5">
        <v>6240000000</v>
      </c>
      <c r="K1435" s="5">
        <v>905000000</v>
      </c>
      <c r="L1435" s="5">
        <v>10037000000</v>
      </c>
      <c r="M1435" s="5">
        <v>1071000000</v>
      </c>
      <c r="N1435" s="5">
        <v>-1290000000</v>
      </c>
    </row>
    <row r="1436" spans="1:14" x14ac:dyDescent="0.25">
      <c r="A1436" s="3" t="s">
        <v>1447</v>
      </c>
      <c r="B1436" s="4">
        <v>-2.52</v>
      </c>
      <c r="C1436" s="4">
        <v>-0.28000000000000003</v>
      </c>
      <c r="D1436" s="4">
        <v>-0.26</v>
      </c>
      <c r="E1436" s="4">
        <v>-9.718418322923637E-3</v>
      </c>
      <c r="F1436" s="3">
        <v>1434</v>
      </c>
      <c r="G1436" s="3">
        <v>2</v>
      </c>
      <c r="H1436" s="5">
        <v>133581952.5</v>
      </c>
      <c r="I1436" s="5">
        <v>121430952.5</v>
      </c>
      <c r="J1436" s="5">
        <v>0</v>
      </c>
      <c r="K1436" s="5">
        <v>12151000</v>
      </c>
      <c r="L1436" s="5">
        <v>0</v>
      </c>
      <c r="M1436" s="5">
        <v>-48121000</v>
      </c>
      <c r="N1436" s="5">
        <v>-40209000</v>
      </c>
    </row>
    <row r="1437" spans="1:14" x14ac:dyDescent="0.25">
      <c r="A1437" s="3" t="s">
        <v>1448</v>
      </c>
      <c r="B1437" s="4">
        <v>-4.63</v>
      </c>
      <c r="C1437" s="4">
        <v>-0.71</v>
      </c>
      <c r="D1437" s="4">
        <v>-0.6</v>
      </c>
      <c r="E1437" s="4">
        <v>-9.72050792609719E-3</v>
      </c>
      <c r="F1437" s="3">
        <v>1435</v>
      </c>
      <c r="G1437" s="3">
        <v>2</v>
      </c>
      <c r="H1437" s="5">
        <v>47100311.280000001</v>
      </c>
      <c r="I1437" s="5">
        <v>45049111.280000001</v>
      </c>
      <c r="J1437" s="5">
        <v>0</v>
      </c>
      <c r="K1437" s="5">
        <v>2051200</v>
      </c>
      <c r="L1437" s="5">
        <v>0</v>
      </c>
      <c r="M1437" s="5">
        <v>-9719790</v>
      </c>
      <c r="N1437" s="5">
        <v>-8912500</v>
      </c>
    </row>
    <row r="1438" spans="1:14" x14ac:dyDescent="0.25">
      <c r="A1438" s="3" t="s">
        <v>1449</v>
      </c>
      <c r="B1438" s="4">
        <v>-2.0499999999999998</v>
      </c>
      <c r="C1438" s="4">
        <v>-0.19</v>
      </c>
      <c r="D1438" s="4">
        <v>-0.16</v>
      </c>
      <c r="E1438" s="4">
        <v>-9.7299782617810936E-3</v>
      </c>
      <c r="F1438" s="3">
        <v>1436</v>
      </c>
      <c r="G1438" s="3">
        <v>2</v>
      </c>
      <c r="H1438" s="5">
        <v>1117111.7890000001</v>
      </c>
      <c r="I1438" s="5">
        <v>620781.78900000011</v>
      </c>
      <c r="J1438" s="5">
        <v>0</v>
      </c>
      <c r="K1438" s="5">
        <v>496330</v>
      </c>
      <c r="L1438" s="5">
        <v>10563030</v>
      </c>
      <c r="M1438" s="5">
        <v>-303030</v>
      </c>
      <c r="N1438" s="5">
        <v>-1343960</v>
      </c>
    </row>
    <row r="1439" spans="1:14" x14ac:dyDescent="0.25">
      <c r="A1439" s="3" t="s">
        <v>1450</v>
      </c>
      <c r="B1439" s="4">
        <v>-2.1800000000000002</v>
      </c>
      <c r="C1439" s="4">
        <v>-0.22</v>
      </c>
      <c r="D1439" s="4">
        <v>-0.17</v>
      </c>
      <c r="E1439" s="4">
        <v>-9.7381284353399693E-3</v>
      </c>
      <c r="F1439" s="3">
        <v>1437</v>
      </c>
      <c r="G1439" s="3">
        <v>2</v>
      </c>
      <c r="H1439" s="5">
        <v>236851801.62</v>
      </c>
      <c r="I1439" s="5">
        <v>165484801.62</v>
      </c>
      <c r="J1439" s="5">
        <v>0</v>
      </c>
      <c r="K1439" s="5">
        <v>71367000</v>
      </c>
      <c r="L1439" s="5">
        <v>80001000</v>
      </c>
      <c r="M1439" s="5">
        <v>-75756000</v>
      </c>
      <c r="N1439" s="5">
        <v>-65002000</v>
      </c>
    </row>
    <row r="1440" spans="1:14" x14ac:dyDescent="0.25">
      <c r="A1440" s="3" t="s">
        <v>1451</v>
      </c>
      <c r="B1440" s="4">
        <v>-0.17</v>
      </c>
      <c r="C1440" s="4">
        <v>0.42</v>
      </c>
      <c r="D1440" s="4">
        <v>-3.37</v>
      </c>
      <c r="E1440" s="4">
        <v>-9.7502564363291036E-3</v>
      </c>
      <c r="F1440" s="3">
        <v>1438</v>
      </c>
      <c r="G1440" s="3">
        <v>2</v>
      </c>
      <c r="H1440" s="5">
        <v>51.841723000000002</v>
      </c>
      <c r="I1440" s="5">
        <v>117621.84172300001</v>
      </c>
      <c r="J1440" s="5">
        <v>157070</v>
      </c>
      <c r="K1440" s="5">
        <v>39500</v>
      </c>
      <c r="L1440" s="5">
        <v>94100</v>
      </c>
      <c r="M1440" s="5">
        <v>-680510</v>
      </c>
      <c r="N1440" s="5">
        <v>-352870</v>
      </c>
    </row>
    <row r="1441" spans="1:14" x14ac:dyDescent="0.25">
      <c r="A1441" s="3" t="s">
        <v>1452</v>
      </c>
      <c r="B1441" s="4">
        <v>-2.99</v>
      </c>
      <c r="C1441" s="4">
        <v>-0.39</v>
      </c>
      <c r="D1441" s="4">
        <v>-0.34</v>
      </c>
      <c r="E1441" s="4">
        <v>-9.7607875449400808E-3</v>
      </c>
      <c r="F1441" s="3">
        <v>1439</v>
      </c>
      <c r="G1441" s="3">
        <v>2</v>
      </c>
      <c r="H1441" s="5">
        <v>18859750.940000001</v>
      </c>
      <c r="I1441" s="5">
        <v>11823590.939999999</v>
      </c>
      <c r="J1441" s="5">
        <v>0</v>
      </c>
      <c r="K1441" s="5">
        <v>7036160</v>
      </c>
      <c r="L1441" s="5">
        <v>0</v>
      </c>
      <c r="M1441" s="5">
        <v>-3959390</v>
      </c>
      <c r="N1441" s="5">
        <v>-3561710</v>
      </c>
    </row>
    <row r="1442" spans="1:14" x14ac:dyDescent="0.25">
      <c r="A1442" s="3" t="s">
        <v>1453</v>
      </c>
      <c r="B1442" s="4">
        <v>-3.31</v>
      </c>
      <c r="C1442" s="4">
        <v>-0.47</v>
      </c>
      <c r="D1442" s="4">
        <v>-0.22</v>
      </c>
      <c r="E1442" s="4">
        <v>-9.7707334998191966E-3</v>
      </c>
      <c r="F1442" s="3">
        <v>1440</v>
      </c>
      <c r="G1442" s="3">
        <v>2</v>
      </c>
      <c r="H1442" s="5">
        <v>77775538.879999995</v>
      </c>
      <c r="I1442" s="5">
        <v>59325538.880000003</v>
      </c>
      <c r="J1442" s="5">
        <v>11386000</v>
      </c>
      <c r="K1442" s="5">
        <v>29836000</v>
      </c>
      <c r="L1442" s="5">
        <v>64114000</v>
      </c>
      <c r="M1442" s="5">
        <v>-17942000</v>
      </c>
      <c r="N1442" s="5">
        <v>-19018000</v>
      </c>
    </row>
    <row r="1443" spans="1:14" x14ac:dyDescent="0.25">
      <c r="A1443" s="3" t="s">
        <v>1454</v>
      </c>
      <c r="B1443" s="4">
        <v>-0.04</v>
      </c>
      <c r="C1443" s="4">
        <v>0.35</v>
      </c>
      <c r="D1443" s="4">
        <v>-2.0699999999999998</v>
      </c>
      <c r="E1443" s="4">
        <v>-9.7821979044165532E-3</v>
      </c>
      <c r="F1443" s="3">
        <v>1441</v>
      </c>
      <c r="G1443" s="3">
        <v>2</v>
      </c>
      <c r="H1443" s="5">
        <v>7069.7043000000003</v>
      </c>
      <c r="I1443" s="5">
        <v>6179.7043000000003</v>
      </c>
      <c r="J1443" s="5">
        <v>0</v>
      </c>
      <c r="K1443" s="5">
        <v>890</v>
      </c>
      <c r="L1443" s="5">
        <v>4100</v>
      </c>
      <c r="M1443" s="5">
        <v>-170480</v>
      </c>
      <c r="N1443" s="5">
        <v>-223340</v>
      </c>
    </row>
    <row r="1444" spans="1:14" x14ac:dyDescent="0.25">
      <c r="A1444" s="3" t="s">
        <v>1455</v>
      </c>
      <c r="B1444" s="4">
        <v>-1.1200000000000001</v>
      </c>
      <c r="C1444" s="4">
        <v>-0.02</v>
      </c>
      <c r="D1444" s="4">
        <v>-0.01</v>
      </c>
      <c r="E1444" s="4">
        <v>-9.7854476737009258E-3</v>
      </c>
      <c r="F1444" s="3">
        <v>1442</v>
      </c>
      <c r="G1444" s="3">
        <v>2</v>
      </c>
      <c r="H1444" s="5">
        <v>7177857.2007999998</v>
      </c>
      <c r="I1444" s="5">
        <v>6525857.2007999998</v>
      </c>
      <c r="J1444" s="5">
        <v>2414000</v>
      </c>
      <c r="K1444" s="5">
        <v>3066000</v>
      </c>
      <c r="L1444" s="5">
        <v>34975000</v>
      </c>
      <c r="M1444" s="5">
        <v>-5837000</v>
      </c>
      <c r="N1444" s="5">
        <v>-168000</v>
      </c>
    </row>
    <row r="1445" spans="1:14" x14ac:dyDescent="0.25">
      <c r="A1445" s="3" t="s">
        <v>1456</v>
      </c>
      <c r="B1445" s="4">
        <v>-3.97</v>
      </c>
      <c r="C1445" s="4">
        <v>-0.61</v>
      </c>
      <c r="D1445" s="4">
        <v>-0.32</v>
      </c>
      <c r="E1445" s="4">
        <v>-9.7860466877895576E-3</v>
      </c>
      <c r="F1445" s="3">
        <v>1443</v>
      </c>
      <c r="G1445" s="3">
        <v>2</v>
      </c>
      <c r="H1445" s="5">
        <v>4906051.0080000004</v>
      </c>
      <c r="I1445" s="5">
        <v>7830811.0080000013</v>
      </c>
      <c r="J1445" s="5">
        <v>3551640</v>
      </c>
      <c r="K1445" s="5">
        <v>626880</v>
      </c>
      <c r="L1445" s="5">
        <v>4528930</v>
      </c>
      <c r="M1445" s="5">
        <v>-1970800</v>
      </c>
      <c r="N1445" s="5">
        <v>-4736370</v>
      </c>
    </row>
    <row r="1446" spans="1:14" x14ac:dyDescent="0.25">
      <c r="A1446" s="3" t="s">
        <v>1457</v>
      </c>
      <c r="B1446" s="4">
        <v>-1.67</v>
      </c>
      <c r="C1446" s="4">
        <v>-0.14000000000000001</v>
      </c>
      <c r="D1446" s="4">
        <v>-7.0000000000000007E-2</v>
      </c>
      <c r="E1446" s="4">
        <v>-9.8033388040001928E-3</v>
      </c>
      <c r="F1446" s="3">
        <v>1444</v>
      </c>
      <c r="G1446" s="3">
        <v>2</v>
      </c>
      <c r="H1446" s="5">
        <v>25650157.8312</v>
      </c>
      <c r="I1446" s="5">
        <v>22647287.8312</v>
      </c>
      <c r="J1446" s="5">
        <v>1232520</v>
      </c>
      <c r="K1446" s="5">
        <v>4235390</v>
      </c>
      <c r="L1446" s="5">
        <v>33049530</v>
      </c>
      <c r="M1446" s="5">
        <v>-13535620</v>
      </c>
      <c r="N1446" s="5">
        <v>-11886520</v>
      </c>
    </row>
    <row r="1447" spans="1:14" x14ac:dyDescent="0.25">
      <c r="A1447" s="3" t="s">
        <v>1458</v>
      </c>
      <c r="B1447" s="4">
        <v>0.81</v>
      </c>
      <c r="C1447" s="4">
        <v>0.37</v>
      </c>
      <c r="D1447" s="4">
        <v>0.23</v>
      </c>
      <c r="E1447" s="4">
        <v>-9.8068170618128697E-3</v>
      </c>
      <c r="F1447" s="3">
        <v>1445</v>
      </c>
      <c r="G1447" s="3">
        <v>2</v>
      </c>
      <c r="H1447" s="5">
        <v>1606253.2642000001</v>
      </c>
      <c r="I1447" s="5">
        <v>1734993.2642000001</v>
      </c>
      <c r="J1447" s="5">
        <v>193170</v>
      </c>
      <c r="K1447" s="5">
        <v>64430</v>
      </c>
      <c r="L1447" s="5">
        <v>3300470</v>
      </c>
      <c r="M1447" s="5">
        <v>2151250</v>
      </c>
      <c r="N1447" s="5">
        <v>542330</v>
      </c>
    </row>
    <row r="1448" spans="1:14" x14ac:dyDescent="0.25">
      <c r="A1448" s="3" t="s">
        <v>1459</v>
      </c>
      <c r="B1448" s="4">
        <v>-4.9800000000000004</v>
      </c>
      <c r="C1448" s="4">
        <v>-0.81</v>
      </c>
      <c r="D1448" s="4">
        <v>-0.68</v>
      </c>
      <c r="E1448" s="4">
        <v>-9.8082540094641037E-3</v>
      </c>
      <c r="F1448" s="3">
        <v>1446</v>
      </c>
      <c r="G1448" s="3">
        <v>2</v>
      </c>
      <c r="H1448" s="5">
        <v>3051085707.3600001</v>
      </c>
      <c r="I1448" s="5">
        <v>2836851707.3600001</v>
      </c>
      <c r="J1448" s="5">
        <v>0</v>
      </c>
      <c r="K1448" s="5">
        <v>214234000</v>
      </c>
      <c r="L1448" s="5">
        <v>125595000</v>
      </c>
      <c r="M1448" s="5">
        <v>-569695000</v>
      </c>
      <c r="N1448" s="5">
        <v>-2027005000</v>
      </c>
    </row>
    <row r="1449" spans="1:14" x14ac:dyDescent="0.25">
      <c r="A1449" s="3" t="s">
        <v>1460</v>
      </c>
      <c r="B1449" s="4">
        <v>-3.46</v>
      </c>
      <c r="C1449" s="4">
        <v>-0.52</v>
      </c>
      <c r="D1449" s="4">
        <v>-0.16</v>
      </c>
      <c r="E1449" s="4">
        <v>-9.8107892899702911E-3</v>
      </c>
      <c r="F1449" s="3">
        <v>1447</v>
      </c>
      <c r="G1449" s="3">
        <v>2</v>
      </c>
      <c r="H1449" s="5">
        <v>4454.1689999999999</v>
      </c>
      <c r="I1449" s="5">
        <v>340504454.16900003</v>
      </c>
      <c r="J1449" s="5">
        <v>363100000</v>
      </c>
      <c r="K1449" s="5">
        <v>22600000</v>
      </c>
      <c r="L1449" s="5">
        <v>28000000</v>
      </c>
      <c r="M1449" s="5">
        <v>-98500000</v>
      </c>
      <c r="N1449" s="5">
        <v>-137700000</v>
      </c>
    </row>
    <row r="1450" spans="1:14" x14ac:dyDescent="0.25">
      <c r="A1450" s="3" t="s">
        <v>1461</v>
      </c>
      <c r="B1450" s="4">
        <v>-5.1100000000000003</v>
      </c>
      <c r="C1450" s="4">
        <v>-0.84</v>
      </c>
      <c r="D1450" s="4">
        <v>-0.67</v>
      </c>
      <c r="E1450" s="4">
        <v>-9.8125461298679637E-3</v>
      </c>
      <c r="F1450" s="3">
        <v>1448</v>
      </c>
      <c r="G1450" s="3">
        <v>2</v>
      </c>
      <c r="H1450" s="5">
        <v>570934954.79999995</v>
      </c>
      <c r="I1450" s="5">
        <v>537307954.79999995</v>
      </c>
      <c r="J1450" s="5">
        <v>1387000</v>
      </c>
      <c r="K1450" s="5">
        <v>35014000</v>
      </c>
      <c r="L1450" s="5">
        <v>0</v>
      </c>
      <c r="M1450" s="5">
        <v>-105137000</v>
      </c>
      <c r="N1450" s="5">
        <v>-98333000</v>
      </c>
    </row>
    <row r="1451" spans="1:14" x14ac:dyDescent="0.25">
      <c r="A1451" s="3" t="s">
        <v>1462</v>
      </c>
      <c r="B1451" s="4">
        <v>-3.16</v>
      </c>
      <c r="C1451" s="4">
        <v>-0.46</v>
      </c>
      <c r="D1451" s="4">
        <v>-0.2</v>
      </c>
      <c r="E1451" s="4">
        <v>-9.8308199251058888E-3</v>
      </c>
      <c r="F1451" s="3">
        <v>1449</v>
      </c>
      <c r="G1451" s="3">
        <v>2</v>
      </c>
      <c r="H1451" s="5">
        <v>913.47239999999999</v>
      </c>
      <c r="I1451" s="5">
        <v>7769913.4723999985</v>
      </c>
      <c r="J1451" s="5">
        <v>19888000</v>
      </c>
      <c r="K1451" s="5">
        <v>12119000</v>
      </c>
      <c r="L1451" s="5">
        <v>27832000</v>
      </c>
      <c r="M1451" s="5">
        <v>-2456000</v>
      </c>
      <c r="N1451" s="5">
        <v>-11266000</v>
      </c>
    </row>
    <row r="1452" spans="1:14" x14ac:dyDescent="0.25">
      <c r="A1452" s="3" t="s">
        <v>1463</v>
      </c>
      <c r="B1452" s="4">
        <v>-0.88</v>
      </c>
      <c r="C1452" s="4">
        <v>0.34</v>
      </c>
      <c r="D1452" s="4">
        <v>-4.8899999999999997</v>
      </c>
      <c r="E1452" s="4">
        <v>-9.835183727733161E-3</v>
      </c>
      <c r="F1452" s="3">
        <v>1450</v>
      </c>
      <c r="G1452" s="3">
        <v>2</v>
      </c>
      <c r="H1452" s="5">
        <v>2160.5330899999999</v>
      </c>
      <c r="I1452" s="5">
        <v>958000.53309000004</v>
      </c>
      <c r="J1452" s="5">
        <v>993610</v>
      </c>
      <c r="K1452" s="5">
        <v>37770</v>
      </c>
      <c r="L1452" s="5">
        <v>384520</v>
      </c>
      <c r="M1452" s="5">
        <v>-1091170</v>
      </c>
      <c r="N1452" s="5">
        <v>-965520</v>
      </c>
    </row>
    <row r="1453" spans="1:14" x14ac:dyDescent="0.25">
      <c r="A1453" s="3" t="s">
        <v>1464</v>
      </c>
      <c r="B1453" s="4">
        <v>-2.97</v>
      </c>
      <c r="C1453" s="4">
        <v>-0.41</v>
      </c>
      <c r="D1453" s="4">
        <v>-0.38</v>
      </c>
      <c r="E1453" s="4">
        <v>-9.8386692766731752E-3</v>
      </c>
      <c r="F1453" s="3">
        <v>1451</v>
      </c>
      <c r="G1453" s="3">
        <v>2</v>
      </c>
      <c r="H1453" s="5">
        <v>307627384.31999999</v>
      </c>
      <c r="I1453" s="5">
        <v>167264384.31999999</v>
      </c>
      <c r="J1453" s="5">
        <v>876000</v>
      </c>
      <c r="K1453" s="5">
        <v>141239000</v>
      </c>
      <c r="L1453" s="5">
        <v>0</v>
      </c>
      <c r="M1453" s="5">
        <v>-56370000</v>
      </c>
      <c r="N1453" s="5">
        <v>-57982000</v>
      </c>
    </row>
    <row r="1454" spans="1:14" x14ac:dyDescent="0.25">
      <c r="A1454" s="3" t="s">
        <v>1465</v>
      </c>
      <c r="B1454" s="4">
        <v>-24.62</v>
      </c>
      <c r="C1454" s="4">
        <v>-5.04</v>
      </c>
      <c r="D1454" s="4">
        <v>-0.51</v>
      </c>
      <c r="E1454" s="4">
        <v>-9.8418563357021219E-3</v>
      </c>
      <c r="F1454" s="3">
        <v>1452</v>
      </c>
      <c r="G1454" s="3">
        <v>2</v>
      </c>
      <c r="H1454" s="5">
        <v>6840491121.6000004</v>
      </c>
      <c r="I1454" s="5">
        <v>6710212121.6000004</v>
      </c>
      <c r="J1454" s="5">
        <v>185074000</v>
      </c>
      <c r="K1454" s="5">
        <v>315353000</v>
      </c>
      <c r="L1454" s="5">
        <v>385693000</v>
      </c>
      <c r="M1454" s="5">
        <v>-272604000</v>
      </c>
      <c r="N1454" s="5">
        <v>-287216000</v>
      </c>
    </row>
    <row r="1455" spans="1:14" x14ac:dyDescent="0.25">
      <c r="A1455" s="3" t="s">
        <v>1466</v>
      </c>
      <c r="B1455" s="4">
        <v>7.08</v>
      </c>
      <c r="C1455" s="4">
        <v>1.71</v>
      </c>
      <c r="D1455" s="4">
        <v>0.08</v>
      </c>
      <c r="E1455" s="4">
        <v>-9.8446410926056483E-3</v>
      </c>
      <c r="F1455" s="3">
        <v>1453</v>
      </c>
      <c r="G1455" s="3">
        <v>2</v>
      </c>
      <c r="H1455" s="5">
        <v>11197545.370300001</v>
      </c>
      <c r="I1455" s="5">
        <v>10052365.370300001</v>
      </c>
      <c r="J1455" s="5">
        <v>2263940</v>
      </c>
      <c r="K1455" s="5">
        <v>3409120</v>
      </c>
      <c r="L1455" s="5">
        <v>11598740</v>
      </c>
      <c r="M1455" s="5">
        <v>1420270</v>
      </c>
      <c r="N1455" s="5">
        <v>978380</v>
      </c>
    </row>
    <row r="1456" spans="1:14" x14ac:dyDescent="0.25">
      <c r="A1456" s="3" t="s">
        <v>1467</v>
      </c>
      <c r="B1456" s="4">
        <v>-1.41</v>
      </c>
      <c r="C1456" s="4">
        <v>-0.1</v>
      </c>
      <c r="D1456" s="4">
        <v>-0.09</v>
      </c>
      <c r="E1456" s="4">
        <v>-9.8525417772213873E-3</v>
      </c>
      <c r="F1456" s="3">
        <v>1454</v>
      </c>
      <c r="G1456" s="3">
        <v>2</v>
      </c>
      <c r="H1456" s="5">
        <v>741975.3</v>
      </c>
      <c r="I1456" s="5">
        <v>255725.3</v>
      </c>
      <c r="J1456" s="5">
        <v>0</v>
      </c>
      <c r="K1456" s="5">
        <v>486250</v>
      </c>
      <c r="L1456" s="5">
        <v>1544820</v>
      </c>
      <c r="M1456" s="5">
        <v>-181510</v>
      </c>
      <c r="N1456" s="5">
        <v>-160780</v>
      </c>
    </row>
    <row r="1457" spans="1:14" x14ac:dyDescent="0.25">
      <c r="A1457" s="3" t="s">
        <v>1468</v>
      </c>
      <c r="B1457" s="4">
        <v>4.5</v>
      </c>
      <c r="C1457" s="4">
        <v>1.1499999999999999</v>
      </c>
      <c r="D1457" s="4">
        <v>0.11</v>
      </c>
      <c r="E1457" s="4">
        <v>-9.8600809358367989E-3</v>
      </c>
      <c r="F1457" s="3">
        <v>1455</v>
      </c>
      <c r="G1457" s="3">
        <v>2</v>
      </c>
      <c r="H1457" s="5">
        <v>147533000</v>
      </c>
      <c r="I1457" s="5">
        <v>335817760</v>
      </c>
      <c r="J1457" s="5">
        <v>188284760</v>
      </c>
      <c r="K1457" s="5">
        <v>0</v>
      </c>
      <c r="L1457" s="5">
        <v>503975450</v>
      </c>
      <c r="M1457" s="5">
        <v>74607600</v>
      </c>
      <c r="N1457" s="5">
        <v>32900440</v>
      </c>
    </row>
    <row r="1458" spans="1:14" x14ac:dyDescent="0.25">
      <c r="A1458" s="3" t="s">
        <v>1469</v>
      </c>
      <c r="B1458" s="4">
        <v>1.1299999999999999</v>
      </c>
      <c r="C1458" s="4">
        <v>0.42</v>
      </c>
      <c r="D1458" s="4">
        <v>0.23</v>
      </c>
      <c r="E1458" s="4">
        <v>-9.8604036090470595E-3</v>
      </c>
      <c r="F1458" s="3">
        <v>1456</v>
      </c>
      <c r="G1458" s="3">
        <v>2</v>
      </c>
      <c r="H1458" s="5">
        <v>24788394.199999999</v>
      </c>
      <c r="I1458" s="5">
        <v>-12765605.800000001</v>
      </c>
      <c r="J1458" s="5">
        <v>55482000</v>
      </c>
      <c r="K1458" s="5">
        <v>93036000</v>
      </c>
      <c r="L1458" s="5">
        <v>39710000</v>
      </c>
      <c r="M1458" s="5">
        <v>-11326000</v>
      </c>
      <c r="N1458" s="5">
        <v>50485000</v>
      </c>
    </row>
    <row r="1459" spans="1:14" x14ac:dyDescent="0.25">
      <c r="A1459" s="3" t="s">
        <v>1470</v>
      </c>
      <c r="B1459" s="4">
        <v>1.1599999999999999</v>
      </c>
      <c r="C1459" s="4">
        <v>0.43</v>
      </c>
      <c r="D1459" s="4">
        <v>0.16</v>
      </c>
      <c r="E1459" s="4">
        <v>-9.8635808051663748E-3</v>
      </c>
      <c r="F1459" s="3">
        <v>1457</v>
      </c>
      <c r="G1459" s="3">
        <v>2</v>
      </c>
      <c r="H1459" s="5">
        <v>5568893865.6000004</v>
      </c>
      <c r="I1459" s="5">
        <v>2012442865.5999999</v>
      </c>
      <c r="J1459" s="5">
        <v>62000000</v>
      </c>
      <c r="K1459" s="5">
        <v>3618451000</v>
      </c>
      <c r="L1459" s="5">
        <v>7247932000</v>
      </c>
      <c r="M1459" s="5">
        <v>1742196000</v>
      </c>
      <c r="N1459" s="5">
        <v>1275348000</v>
      </c>
    </row>
    <row r="1460" spans="1:14" x14ac:dyDescent="0.25">
      <c r="A1460" s="3" t="s">
        <v>1471</v>
      </c>
      <c r="B1460" s="4">
        <v>-2.81</v>
      </c>
      <c r="C1460" s="4">
        <v>-0.39</v>
      </c>
      <c r="D1460" s="4">
        <v>-0.3</v>
      </c>
      <c r="E1460" s="4">
        <v>-9.8644771411774534E-3</v>
      </c>
      <c r="F1460" s="3">
        <v>1458</v>
      </c>
      <c r="G1460" s="3">
        <v>2</v>
      </c>
      <c r="H1460" s="5">
        <v>84398514.75</v>
      </c>
      <c r="I1460" s="5">
        <v>39817464.75</v>
      </c>
      <c r="J1460" s="5">
        <v>63420</v>
      </c>
      <c r="K1460" s="5">
        <v>44644470</v>
      </c>
      <c r="L1460" s="5">
        <v>35881010</v>
      </c>
      <c r="M1460" s="5">
        <v>-14183640</v>
      </c>
      <c r="N1460" s="5">
        <v>-18852260</v>
      </c>
    </row>
    <row r="1461" spans="1:14" x14ac:dyDescent="0.25">
      <c r="A1461" s="3" t="s">
        <v>1472</v>
      </c>
      <c r="B1461" s="4">
        <v>0.63</v>
      </c>
      <c r="C1461" s="4">
        <v>0.32</v>
      </c>
      <c r="D1461" s="4">
        <v>0.09</v>
      </c>
      <c r="E1461" s="4">
        <v>-9.8668857664228476E-3</v>
      </c>
      <c r="F1461" s="3">
        <v>1459</v>
      </c>
      <c r="G1461" s="3">
        <v>2</v>
      </c>
      <c r="H1461" s="5">
        <v>3200</v>
      </c>
      <c r="I1461" s="5">
        <v>5692840</v>
      </c>
      <c r="J1461" s="5">
        <v>11070700</v>
      </c>
      <c r="K1461" s="5">
        <v>5381060</v>
      </c>
      <c r="L1461" s="5">
        <v>36082320</v>
      </c>
      <c r="M1461" s="5">
        <v>9086770</v>
      </c>
      <c r="N1461" s="5">
        <v>5738000</v>
      </c>
    </row>
    <row r="1462" spans="1:14" x14ac:dyDescent="0.25">
      <c r="A1462" s="3" t="s">
        <v>1473</v>
      </c>
      <c r="B1462" s="4">
        <v>-3.01</v>
      </c>
      <c r="C1462" s="4">
        <v>-0.45</v>
      </c>
      <c r="D1462" s="4">
        <v>-0.14000000000000001</v>
      </c>
      <c r="E1462" s="4">
        <v>-9.8831902440825598E-3</v>
      </c>
      <c r="F1462" s="3">
        <v>1460</v>
      </c>
      <c r="G1462" s="3">
        <v>2</v>
      </c>
      <c r="H1462" s="5">
        <v>2780.8166000000001</v>
      </c>
      <c r="I1462" s="5">
        <v>-3700219.1834</v>
      </c>
      <c r="J1462" s="5">
        <v>0</v>
      </c>
      <c r="K1462" s="5">
        <v>3703000</v>
      </c>
      <c r="L1462" s="5">
        <v>1959998000</v>
      </c>
      <c r="M1462" s="5">
        <v>1228000</v>
      </c>
      <c r="N1462" s="5">
        <v>-54879000</v>
      </c>
    </row>
    <row r="1463" spans="1:14" x14ac:dyDescent="0.25">
      <c r="A1463" s="3" t="s">
        <v>1474</v>
      </c>
      <c r="B1463" s="4">
        <v>0.12</v>
      </c>
      <c r="C1463" s="4">
        <v>1.22</v>
      </c>
      <c r="D1463" s="4">
        <v>-15.13</v>
      </c>
      <c r="E1463" s="4">
        <v>-9.8867900955346127E-3</v>
      </c>
      <c r="F1463" s="3">
        <v>1461</v>
      </c>
      <c r="G1463" s="3">
        <v>2</v>
      </c>
      <c r="H1463" s="5">
        <v>204.98430200000001</v>
      </c>
      <c r="I1463" s="5">
        <v>-95865.015698000003</v>
      </c>
      <c r="J1463" s="5">
        <v>25000</v>
      </c>
      <c r="K1463" s="5">
        <v>121070</v>
      </c>
      <c r="L1463" s="5">
        <v>0</v>
      </c>
      <c r="M1463" s="5">
        <v>-777280</v>
      </c>
      <c r="N1463" s="5">
        <v>-2520200</v>
      </c>
    </row>
    <row r="1464" spans="1:14" x14ac:dyDescent="0.25">
      <c r="A1464" s="3" t="s">
        <v>1475</v>
      </c>
      <c r="B1464" s="4">
        <v>-2.2799999999999998</v>
      </c>
      <c r="C1464" s="4">
        <v>-0.28999999999999998</v>
      </c>
      <c r="D1464" s="4">
        <v>-0.23</v>
      </c>
      <c r="E1464" s="4">
        <v>-9.8900657869354369E-3</v>
      </c>
      <c r="F1464" s="3">
        <v>1462</v>
      </c>
      <c r="G1464" s="3">
        <v>2</v>
      </c>
      <c r="H1464" s="5">
        <v>435474416.27999997</v>
      </c>
      <c r="I1464" s="5">
        <v>269045416.27999997</v>
      </c>
      <c r="J1464" s="5">
        <v>299000</v>
      </c>
      <c r="K1464" s="5">
        <v>166728000</v>
      </c>
      <c r="L1464" s="5">
        <v>174432000</v>
      </c>
      <c r="M1464" s="5">
        <v>-117896000</v>
      </c>
      <c r="N1464" s="5">
        <v>-138885000</v>
      </c>
    </row>
    <row r="1465" spans="1:14" x14ac:dyDescent="0.25">
      <c r="A1465" s="3" t="s">
        <v>1476</v>
      </c>
      <c r="B1465" s="4">
        <v>1.24</v>
      </c>
      <c r="C1465" s="4">
        <v>0.42</v>
      </c>
      <c r="D1465" s="4">
        <v>0.39</v>
      </c>
      <c r="E1465" s="4">
        <v>-9.8976204464748183E-3</v>
      </c>
      <c r="F1465" s="3">
        <v>1463</v>
      </c>
      <c r="G1465" s="3">
        <v>2</v>
      </c>
      <c r="H1465" s="5">
        <v>8435723.6974500008</v>
      </c>
      <c r="I1465" s="5">
        <v>8368723.6974500008</v>
      </c>
      <c r="J1465" s="5">
        <v>105000</v>
      </c>
      <c r="K1465" s="5">
        <v>172000</v>
      </c>
      <c r="L1465" s="5">
        <v>10985000</v>
      </c>
      <c r="M1465" s="5">
        <v>6740000</v>
      </c>
      <c r="N1465" s="5">
        <v>5662000</v>
      </c>
    </row>
    <row r="1466" spans="1:14" x14ac:dyDescent="0.25">
      <c r="A1466" s="3" t="s">
        <v>1477</v>
      </c>
      <c r="B1466" s="4">
        <v>-3.18</v>
      </c>
      <c r="C1466" s="4">
        <v>-0.49</v>
      </c>
      <c r="D1466" s="4">
        <v>-0.18</v>
      </c>
      <c r="E1466" s="4">
        <v>-9.9012642816000956E-3</v>
      </c>
      <c r="F1466" s="3">
        <v>1464</v>
      </c>
      <c r="G1466" s="3">
        <v>2</v>
      </c>
      <c r="H1466" s="5">
        <v>121049277.40000001</v>
      </c>
      <c r="I1466" s="5">
        <v>282651837.39999998</v>
      </c>
      <c r="J1466" s="5">
        <v>194033640</v>
      </c>
      <c r="K1466" s="5">
        <v>32431080</v>
      </c>
      <c r="L1466" s="5">
        <v>40595920</v>
      </c>
      <c r="M1466" s="5">
        <v>-88855940</v>
      </c>
      <c r="N1466" s="5">
        <v>-113187050</v>
      </c>
    </row>
    <row r="1467" spans="1:14" x14ac:dyDescent="0.25">
      <c r="A1467" s="3" t="s">
        <v>1478</v>
      </c>
      <c r="B1467" s="4">
        <v>-6.09</v>
      </c>
      <c r="C1467" s="4">
        <v>-1.1000000000000001</v>
      </c>
      <c r="D1467" s="4">
        <v>-0.38</v>
      </c>
      <c r="E1467" s="4">
        <v>-9.9012959831826126E-3</v>
      </c>
      <c r="F1467" s="3">
        <v>1465</v>
      </c>
      <c r="G1467" s="3">
        <v>2</v>
      </c>
      <c r="H1467" s="5">
        <v>95777430.069999993</v>
      </c>
      <c r="I1467" s="5">
        <v>128692430.06999999</v>
      </c>
      <c r="J1467" s="5">
        <v>38530000</v>
      </c>
      <c r="K1467" s="5">
        <v>5615000</v>
      </c>
      <c r="L1467" s="5">
        <v>103527000</v>
      </c>
      <c r="M1467" s="5">
        <v>-21148000</v>
      </c>
      <c r="N1467" s="5">
        <v>-53182000</v>
      </c>
    </row>
    <row r="1468" spans="1:14" x14ac:dyDescent="0.25">
      <c r="A1468" s="3" t="s">
        <v>1479</v>
      </c>
      <c r="B1468" s="4">
        <v>0.26</v>
      </c>
      <c r="C1468" s="4">
        <v>0.22</v>
      </c>
      <c r="D1468" s="4">
        <v>0.22</v>
      </c>
      <c r="E1468" s="4">
        <v>-9.901743880267988E-3</v>
      </c>
      <c r="F1468" s="3">
        <v>1466</v>
      </c>
      <c r="G1468" s="3">
        <v>2</v>
      </c>
      <c r="H1468" s="5">
        <v>4540440.01</v>
      </c>
      <c r="I1468" s="5">
        <v>4540440.01</v>
      </c>
      <c r="J1468" s="5">
        <v>0</v>
      </c>
      <c r="K1468" s="5">
        <v>0</v>
      </c>
      <c r="L1468" s="5">
        <v>45470150</v>
      </c>
      <c r="M1468" s="5">
        <v>17686390</v>
      </c>
      <c r="N1468" s="5">
        <v>2886210</v>
      </c>
    </row>
    <row r="1469" spans="1:14" x14ac:dyDescent="0.25">
      <c r="A1469" s="3" t="s">
        <v>1480</v>
      </c>
      <c r="B1469" s="4">
        <v>2.0499999999999998</v>
      </c>
      <c r="C1469" s="4">
        <v>0.61</v>
      </c>
      <c r="D1469" s="4">
        <v>7.0000000000000007E-2</v>
      </c>
      <c r="E1469" s="4">
        <v>-9.9116964251435759E-3</v>
      </c>
      <c r="F1469" s="3">
        <v>1467</v>
      </c>
      <c r="G1469" s="3">
        <v>2</v>
      </c>
      <c r="H1469" s="5">
        <v>532880276.88</v>
      </c>
      <c r="I1469" s="5">
        <v>5693828276.8800001</v>
      </c>
      <c r="J1469" s="5">
        <v>5169538000</v>
      </c>
      <c r="K1469" s="5">
        <v>8590000</v>
      </c>
      <c r="L1469" s="5">
        <v>14100758000</v>
      </c>
      <c r="M1469" s="5">
        <v>2774697000</v>
      </c>
      <c r="N1469" s="5">
        <v>711728000</v>
      </c>
    </row>
    <row r="1470" spans="1:14" x14ac:dyDescent="0.25">
      <c r="A1470" s="3" t="s">
        <v>1481</v>
      </c>
      <c r="B1470" s="4">
        <v>-4.67</v>
      </c>
      <c r="C1470" s="4">
        <v>-0.79</v>
      </c>
      <c r="D1470" s="4">
        <v>-0.53</v>
      </c>
      <c r="E1470" s="4">
        <v>-9.9133967733820005E-3</v>
      </c>
      <c r="F1470" s="3">
        <v>1468</v>
      </c>
      <c r="G1470" s="3">
        <v>2</v>
      </c>
      <c r="H1470" s="5">
        <v>295285248.83999997</v>
      </c>
      <c r="I1470" s="5">
        <v>279523538.83999997</v>
      </c>
      <c r="J1470" s="5">
        <v>15031370</v>
      </c>
      <c r="K1470" s="5">
        <v>30793080</v>
      </c>
      <c r="L1470" s="5">
        <v>0</v>
      </c>
      <c r="M1470" s="5">
        <v>-59867410</v>
      </c>
      <c r="N1470" s="5">
        <v>-55851440</v>
      </c>
    </row>
    <row r="1471" spans="1:14" x14ac:dyDescent="0.25">
      <c r="A1471" s="3" t="s">
        <v>1482</v>
      </c>
      <c r="B1471" s="4">
        <v>-3.13</v>
      </c>
      <c r="C1471" s="4">
        <v>-0.47</v>
      </c>
      <c r="D1471" s="4">
        <v>-0.41</v>
      </c>
      <c r="E1471" s="4">
        <v>-9.9187907073392013E-3</v>
      </c>
      <c r="F1471" s="3">
        <v>1469</v>
      </c>
      <c r="G1471" s="3">
        <v>2</v>
      </c>
      <c r="H1471" s="5">
        <v>364491356.39999998</v>
      </c>
      <c r="I1471" s="5">
        <v>315250356.39999998</v>
      </c>
      <c r="J1471" s="5">
        <v>0</v>
      </c>
      <c r="K1471" s="5">
        <v>49241000</v>
      </c>
      <c r="L1471" s="5">
        <v>3058000</v>
      </c>
      <c r="M1471" s="5">
        <v>-100723000</v>
      </c>
      <c r="N1471" s="5">
        <v>-101007000</v>
      </c>
    </row>
    <row r="1472" spans="1:14" x14ac:dyDescent="0.25">
      <c r="A1472" s="3" t="s">
        <v>1483</v>
      </c>
      <c r="B1472" s="4">
        <v>-1.07</v>
      </c>
      <c r="C1472" s="4">
        <v>0.33</v>
      </c>
      <c r="D1472" s="4">
        <v>-5.83</v>
      </c>
      <c r="E1472" s="4">
        <v>-9.9278109247886975E-3</v>
      </c>
      <c r="F1472" s="3">
        <v>1470</v>
      </c>
      <c r="G1472" s="3">
        <v>2</v>
      </c>
      <c r="H1472" s="5">
        <v>117897122.58</v>
      </c>
      <c r="I1472" s="5">
        <v>128886122.58</v>
      </c>
      <c r="J1472" s="5">
        <v>26291000</v>
      </c>
      <c r="K1472" s="5">
        <v>15302000</v>
      </c>
      <c r="L1472" s="5">
        <v>1170858000</v>
      </c>
      <c r="M1472" s="5">
        <v>-120017000</v>
      </c>
      <c r="N1472" s="5">
        <v>-586542000</v>
      </c>
    </row>
    <row r="1473" spans="1:14" x14ac:dyDescent="0.25">
      <c r="A1473" s="3" t="s">
        <v>1484</v>
      </c>
      <c r="B1473" s="4">
        <v>-3.66</v>
      </c>
      <c r="C1473" s="4">
        <v>-0.59</v>
      </c>
      <c r="D1473" s="4">
        <v>-0.36</v>
      </c>
      <c r="E1473" s="4">
        <v>-9.9278409566800636E-3</v>
      </c>
      <c r="F1473" s="3">
        <v>1471</v>
      </c>
      <c r="G1473" s="3">
        <v>2</v>
      </c>
      <c r="H1473" s="5">
        <v>263407815.77000001</v>
      </c>
      <c r="I1473" s="5">
        <v>182406815.77000001</v>
      </c>
      <c r="J1473" s="5">
        <v>39356000</v>
      </c>
      <c r="K1473" s="5">
        <v>120357000</v>
      </c>
      <c r="L1473" s="5">
        <v>79866000</v>
      </c>
      <c r="M1473" s="5">
        <v>-49820000</v>
      </c>
      <c r="N1473" s="5">
        <v>-51507000</v>
      </c>
    </row>
    <row r="1474" spans="1:14" x14ac:dyDescent="0.25">
      <c r="A1474" s="3" t="s">
        <v>1485</v>
      </c>
      <c r="B1474" s="4">
        <v>-0.73</v>
      </c>
      <c r="C1474" s="4">
        <v>0.01</v>
      </c>
      <c r="D1474" s="4">
        <v>0</v>
      </c>
      <c r="E1474" s="4">
        <v>-9.9382168482660665E-3</v>
      </c>
      <c r="F1474" s="3">
        <v>1472</v>
      </c>
      <c r="G1474" s="3">
        <v>2</v>
      </c>
      <c r="H1474" s="5">
        <v>111183039</v>
      </c>
      <c r="I1474" s="5">
        <v>80390039</v>
      </c>
      <c r="J1474" s="5">
        <v>0</v>
      </c>
      <c r="K1474" s="5">
        <v>30793000</v>
      </c>
      <c r="L1474" s="5">
        <v>0</v>
      </c>
      <c r="M1474" s="5">
        <v>-109853000</v>
      </c>
      <c r="N1474" s="5">
        <v>136000</v>
      </c>
    </row>
    <row r="1475" spans="1:14" x14ac:dyDescent="0.25">
      <c r="A1475" s="3" t="s">
        <v>1486</v>
      </c>
      <c r="B1475" s="4">
        <v>-5.1100000000000003</v>
      </c>
      <c r="C1475" s="4">
        <v>-0.89</v>
      </c>
      <c r="D1475" s="4">
        <v>-0.57999999999999996</v>
      </c>
      <c r="E1475" s="4">
        <v>-9.9396529257427015E-3</v>
      </c>
      <c r="F1475" s="3">
        <v>1473</v>
      </c>
      <c r="G1475" s="3">
        <v>2</v>
      </c>
      <c r="H1475" s="5">
        <v>141489321.72</v>
      </c>
      <c r="I1475" s="5">
        <v>149512721.72</v>
      </c>
      <c r="J1475" s="5">
        <v>8977670</v>
      </c>
      <c r="K1475" s="5">
        <v>954270</v>
      </c>
      <c r="L1475" s="5">
        <v>3016160</v>
      </c>
      <c r="M1475" s="5">
        <v>-29237020</v>
      </c>
      <c r="N1475" s="5">
        <v>-53321450</v>
      </c>
    </row>
    <row r="1476" spans="1:14" x14ac:dyDescent="0.25">
      <c r="A1476" s="3" t="s">
        <v>1487</v>
      </c>
      <c r="B1476" s="4">
        <v>-2.2999999999999998</v>
      </c>
      <c r="C1476" s="4">
        <v>-0.32</v>
      </c>
      <c r="D1476" s="4">
        <v>-0.13</v>
      </c>
      <c r="E1476" s="4">
        <v>-9.9450779308095996E-3</v>
      </c>
      <c r="F1476" s="3">
        <v>1474</v>
      </c>
      <c r="G1476" s="3">
        <v>2</v>
      </c>
      <c r="H1476" s="5">
        <v>706.52560000000005</v>
      </c>
      <c r="I1476" s="5">
        <v>1224879706.5256</v>
      </c>
      <c r="J1476" s="5">
        <v>1380987000</v>
      </c>
      <c r="K1476" s="5">
        <v>156108000</v>
      </c>
      <c r="L1476" s="5">
        <v>3131624000</v>
      </c>
      <c r="M1476" s="5">
        <v>-531881000</v>
      </c>
      <c r="N1476" s="5">
        <v>-565253000</v>
      </c>
    </row>
    <row r="1477" spans="1:14" x14ac:dyDescent="0.25">
      <c r="A1477" s="3" t="s">
        <v>1488</v>
      </c>
      <c r="B1477" s="4">
        <v>1.59</v>
      </c>
      <c r="C1477" s="4">
        <v>0.48</v>
      </c>
      <c r="D1477" s="4">
        <v>0.36</v>
      </c>
      <c r="E1477" s="4">
        <v>-9.946668083518297E-3</v>
      </c>
      <c r="F1477" s="3">
        <v>1475</v>
      </c>
      <c r="G1477" s="3">
        <v>2</v>
      </c>
      <c r="H1477" s="5">
        <v>94731125</v>
      </c>
      <c r="I1477" s="5">
        <v>103507125</v>
      </c>
      <c r="J1477" s="5">
        <v>16005000</v>
      </c>
      <c r="K1477" s="5">
        <v>7229000</v>
      </c>
      <c r="L1477" s="5">
        <v>387125000</v>
      </c>
      <c r="M1477" s="5">
        <v>65014000</v>
      </c>
      <c r="N1477" s="5">
        <v>57762000</v>
      </c>
    </row>
    <row r="1478" spans="1:14" x14ac:dyDescent="0.25">
      <c r="A1478" s="3" t="s">
        <v>1489</v>
      </c>
      <c r="B1478" s="4">
        <v>-2.4500000000000002</v>
      </c>
      <c r="C1478" s="4">
        <v>-0.35</v>
      </c>
      <c r="D1478" s="4">
        <v>-0.18</v>
      </c>
      <c r="E1478" s="4">
        <v>-9.9485657992843379E-3</v>
      </c>
      <c r="F1478" s="3">
        <v>1476</v>
      </c>
      <c r="G1478" s="3">
        <v>2</v>
      </c>
      <c r="H1478" s="5">
        <v>702606384.14999998</v>
      </c>
      <c r="I1478" s="5">
        <v>602706384.14999998</v>
      </c>
      <c r="J1478" s="5">
        <v>600000</v>
      </c>
      <c r="K1478" s="5">
        <v>100500000</v>
      </c>
      <c r="L1478" s="5">
        <v>263400000</v>
      </c>
      <c r="M1478" s="5">
        <v>-245600000</v>
      </c>
      <c r="N1478" s="5">
        <v>-198900000</v>
      </c>
    </row>
    <row r="1479" spans="1:14" x14ac:dyDescent="0.25">
      <c r="A1479" s="3" t="s">
        <v>1490</v>
      </c>
      <c r="B1479" s="4">
        <v>0.05</v>
      </c>
      <c r="C1479" s="4">
        <v>0.16</v>
      </c>
      <c r="D1479" s="4">
        <v>0.13</v>
      </c>
      <c r="E1479" s="4">
        <v>-9.9624934419136578E-3</v>
      </c>
      <c r="F1479" s="3">
        <v>1477</v>
      </c>
      <c r="G1479" s="3">
        <v>2</v>
      </c>
      <c r="H1479" s="5">
        <v>25858888.640000001</v>
      </c>
      <c r="I1479" s="5">
        <v>3003888.6400000011</v>
      </c>
      <c r="J1479" s="5">
        <v>47459000</v>
      </c>
      <c r="K1479" s="5">
        <v>70314000</v>
      </c>
      <c r="L1479" s="5">
        <v>87445000</v>
      </c>
      <c r="M1479" s="5">
        <v>55151000</v>
      </c>
      <c r="N1479" s="5">
        <v>43730000</v>
      </c>
    </row>
    <row r="1480" spans="1:14" x14ac:dyDescent="0.25">
      <c r="A1480" s="3" t="s">
        <v>1491</v>
      </c>
      <c r="B1480" s="4">
        <v>-2.09</v>
      </c>
      <c r="C1480" s="4">
        <v>-0.28000000000000003</v>
      </c>
      <c r="D1480" s="4">
        <v>-0.16</v>
      </c>
      <c r="E1480" s="4">
        <v>-9.9652639021229096E-3</v>
      </c>
      <c r="F1480" s="3">
        <v>1478</v>
      </c>
      <c r="G1480" s="3">
        <v>2</v>
      </c>
      <c r="H1480" s="5">
        <v>5758659.1103999997</v>
      </c>
      <c r="I1480" s="5">
        <v>2515069.1104000001</v>
      </c>
      <c r="J1480" s="5">
        <v>0</v>
      </c>
      <c r="K1480" s="5">
        <v>3243590</v>
      </c>
      <c r="L1480" s="5">
        <v>8448020</v>
      </c>
      <c r="M1480" s="5">
        <v>-1202300</v>
      </c>
      <c r="N1480" s="5">
        <v>-1285240</v>
      </c>
    </row>
    <row r="1481" spans="1:14" x14ac:dyDescent="0.25">
      <c r="A1481" s="3" t="s">
        <v>1492</v>
      </c>
      <c r="B1481" s="4">
        <v>-2.0099999999999998</v>
      </c>
      <c r="C1481" s="4">
        <v>-0.26</v>
      </c>
      <c r="D1481" s="4">
        <v>-0.23</v>
      </c>
      <c r="E1481" s="4">
        <v>-9.9704935197131549E-3</v>
      </c>
      <c r="F1481" s="3">
        <v>1479</v>
      </c>
      <c r="G1481" s="3">
        <v>2</v>
      </c>
      <c r="H1481" s="5">
        <v>216356256.19999999</v>
      </c>
      <c r="I1481" s="5">
        <v>81810256.199999988</v>
      </c>
      <c r="J1481" s="5">
        <v>0</v>
      </c>
      <c r="K1481" s="5">
        <v>134546000</v>
      </c>
      <c r="L1481" s="5">
        <v>441000</v>
      </c>
      <c r="M1481" s="5">
        <v>-40671000</v>
      </c>
      <c r="N1481" s="5">
        <v>-35129000</v>
      </c>
    </row>
    <row r="1482" spans="1:14" x14ac:dyDescent="0.25">
      <c r="A1482" s="3" t="s">
        <v>1493</v>
      </c>
      <c r="B1482" s="4">
        <v>-2.0499999999999998</v>
      </c>
      <c r="C1482" s="4">
        <v>-0.27</v>
      </c>
      <c r="D1482" s="4">
        <v>-0.24</v>
      </c>
      <c r="E1482" s="4">
        <v>-9.9765593305168061E-3</v>
      </c>
      <c r="F1482" s="3">
        <v>1480</v>
      </c>
      <c r="G1482" s="3">
        <v>2</v>
      </c>
      <c r="H1482" s="5">
        <v>7724.3073000000004</v>
      </c>
      <c r="I1482" s="5">
        <v>1063724.3073</v>
      </c>
      <c r="J1482" s="5">
        <v>1079120</v>
      </c>
      <c r="K1482" s="5">
        <v>23120</v>
      </c>
      <c r="L1482" s="5">
        <v>2180320</v>
      </c>
      <c r="M1482" s="5">
        <v>-519970</v>
      </c>
      <c r="N1482" s="5">
        <v>-2473460</v>
      </c>
    </row>
    <row r="1483" spans="1:14" x14ac:dyDescent="0.25">
      <c r="A1483" s="3" t="s">
        <v>1494</v>
      </c>
      <c r="B1483" s="4">
        <v>1.37</v>
      </c>
      <c r="C1483" s="4">
        <v>0.42</v>
      </c>
      <c r="D1483" s="4">
        <v>0.25</v>
      </c>
      <c r="E1483" s="4">
        <v>-1.000508649262191E-2</v>
      </c>
      <c r="F1483" s="3">
        <v>1481</v>
      </c>
      <c r="G1483" s="3">
        <v>2</v>
      </c>
      <c r="H1483" s="5">
        <v>1288886499.1199999</v>
      </c>
      <c r="I1483" s="5">
        <v>904096499.11999989</v>
      </c>
      <c r="J1483" s="5">
        <v>218803000</v>
      </c>
      <c r="K1483" s="5">
        <v>603593000</v>
      </c>
      <c r="L1483" s="5">
        <v>1262277000</v>
      </c>
      <c r="M1483" s="5">
        <v>661145000</v>
      </c>
      <c r="N1483" s="5">
        <v>569960000</v>
      </c>
    </row>
    <row r="1484" spans="1:14" x14ac:dyDescent="0.25">
      <c r="A1484" s="3" t="s">
        <v>1495</v>
      </c>
      <c r="B1484" s="4">
        <v>-5.01</v>
      </c>
      <c r="C1484" s="4">
        <v>-0.9</v>
      </c>
      <c r="D1484" s="4">
        <v>-0.49</v>
      </c>
      <c r="E1484" s="4">
        <v>-1.0013077350530379E-2</v>
      </c>
      <c r="F1484" s="3">
        <v>1482</v>
      </c>
      <c r="G1484" s="3">
        <v>2</v>
      </c>
      <c r="H1484" s="5">
        <v>5542561.8499999996</v>
      </c>
      <c r="I1484" s="5">
        <v>5870861.8499999996</v>
      </c>
      <c r="J1484" s="5">
        <v>604180</v>
      </c>
      <c r="K1484" s="5">
        <v>275880</v>
      </c>
      <c r="L1484" s="5">
        <v>4151090</v>
      </c>
      <c r="M1484" s="5">
        <v>-1172010</v>
      </c>
      <c r="N1484" s="5">
        <v>-2988470</v>
      </c>
    </row>
    <row r="1485" spans="1:14" x14ac:dyDescent="0.25">
      <c r="A1485" s="3" t="s">
        <v>1496</v>
      </c>
      <c r="B1485" s="4">
        <v>-2.25</v>
      </c>
      <c r="C1485" s="4">
        <v>-0.33</v>
      </c>
      <c r="D1485" s="4">
        <v>-0.25</v>
      </c>
      <c r="E1485" s="4">
        <v>-1.0028065885239509E-2</v>
      </c>
      <c r="F1485" s="3">
        <v>1483</v>
      </c>
      <c r="G1485" s="3">
        <v>2</v>
      </c>
      <c r="H1485" s="5">
        <v>9202083059</v>
      </c>
      <c r="I1485" s="5">
        <v>7337083059</v>
      </c>
      <c r="J1485" s="5">
        <v>62000000</v>
      </c>
      <c r="K1485" s="5">
        <v>1927000000</v>
      </c>
      <c r="L1485" s="5">
        <v>3236000000</v>
      </c>
      <c r="M1485" s="5">
        <v>-3261000000</v>
      </c>
      <c r="N1485" s="5">
        <v>-3561000000</v>
      </c>
    </row>
    <row r="1486" spans="1:14" x14ac:dyDescent="0.25">
      <c r="A1486" s="3" t="s">
        <v>1497</v>
      </c>
      <c r="B1486" s="4">
        <v>-2.74</v>
      </c>
      <c r="C1486" s="4">
        <v>-0.43</v>
      </c>
      <c r="D1486" s="4">
        <v>-0.39</v>
      </c>
      <c r="E1486" s="4">
        <v>-1.004073724831238E-2</v>
      </c>
      <c r="F1486" s="3">
        <v>1484</v>
      </c>
      <c r="G1486" s="3">
        <v>2</v>
      </c>
      <c r="H1486" s="5">
        <v>1129294735.5</v>
      </c>
      <c r="I1486" s="5">
        <v>1005007735.5</v>
      </c>
      <c r="J1486" s="5">
        <v>0</v>
      </c>
      <c r="K1486" s="5">
        <v>124287000</v>
      </c>
      <c r="L1486" s="5">
        <v>10007000</v>
      </c>
      <c r="M1486" s="5">
        <v>-367004000</v>
      </c>
      <c r="N1486" s="5">
        <v>-337708000</v>
      </c>
    </row>
    <row r="1487" spans="1:14" x14ac:dyDescent="0.25">
      <c r="A1487" s="3" t="s">
        <v>1498</v>
      </c>
      <c r="B1487" s="4">
        <v>-2.85</v>
      </c>
      <c r="C1487" s="4">
        <v>-0.47</v>
      </c>
      <c r="D1487" s="4">
        <v>-0.15</v>
      </c>
      <c r="E1487" s="4">
        <v>-1.004193377584222E-2</v>
      </c>
      <c r="F1487" s="3">
        <v>1485</v>
      </c>
      <c r="G1487" s="3">
        <v>2</v>
      </c>
      <c r="H1487" s="5">
        <v>223544414.52000001</v>
      </c>
      <c r="I1487" s="5">
        <v>120557414.52</v>
      </c>
      <c r="J1487" s="5">
        <v>32670000</v>
      </c>
      <c r="K1487" s="5">
        <v>135657000</v>
      </c>
      <c r="L1487" s="5">
        <v>995627000</v>
      </c>
      <c r="M1487" s="5">
        <v>-42299000</v>
      </c>
      <c r="N1487" s="5">
        <v>-76316000</v>
      </c>
    </row>
    <row r="1488" spans="1:14" x14ac:dyDescent="0.25">
      <c r="A1488" s="3" t="s">
        <v>1499</v>
      </c>
      <c r="B1488" s="4">
        <v>-3.95</v>
      </c>
      <c r="C1488" s="4">
        <v>-0.68</v>
      </c>
      <c r="D1488" s="4">
        <v>-0.54</v>
      </c>
      <c r="E1488" s="4">
        <v>-1.004311893299005E-2</v>
      </c>
      <c r="F1488" s="3">
        <v>1486</v>
      </c>
      <c r="G1488" s="3">
        <v>2</v>
      </c>
      <c r="H1488" s="5">
        <v>703058022.80999994</v>
      </c>
      <c r="I1488" s="5">
        <v>533323022.80999988</v>
      </c>
      <c r="J1488" s="5">
        <v>0</v>
      </c>
      <c r="K1488" s="5">
        <v>169735000</v>
      </c>
      <c r="L1488" s="5">
        <v>0</v>
      </c>
      <c r="M1488" s="5">
        <v>-134898000</v>
      </c>
      <c r="N1488" s="5">
        <v>-129865000</v>
      </c>
    </row>
    <row r="1489" spans="1:14" x14ac:dyDescent="0.25">
      <c r="A1489" s="3" t="s">
        <v>1500</v>
      </c>
      <c r="B1489" s="4">
        <v>-2.9</v>
      </c>
      <c r="C1489" s="4">
        <v>0.37</v>
      </c>
      <c r="D1489" s="4">
        <v>-12.94</v>
      </c>
      <c r="E1489" s="4">
        <v>-1.005114975077236E-2</v>
      </c>
      <c r="F1489" s="3">
        <v>1487</v>
      </c>
      <c r="G1489" s="3">
        <v>2</v>
      </c>
      <c r="H1489" s="5">
        <v>24765.119604</v>
      </c>
      <c r="I1489" s="5">
        <v>1597705.1196039999</v>
      </c>
      <c r="J1489" s="5">
        <v>1585030</v>
      </c>
      <c r="K1489" s="5">
        <v>12090</v>
      </c>
      <c r="L1489" s="5">
        <v>0</v>
      </c>
      <c r="M1489" s="5">
        <v>-550630</v>
      </c>
      <c r="N1489" s="5">
        <v>-1015670</v>
      </c>
    </row>
    <row r="1490" spans="1:14" x14ac:dyDescent="0.25">
      <c r="A1490" s="3" t="s">
        <v>1501</v>
      </c>
      <c r="B1490" s="4">
        <v>-1.68</v>
      </c>
      <c r="C1490" s="4">
        <v>-0.22</v>
      </c>
      <c r="D1490" s="4">
        <v>-0.2</v>
      </c>
      <c r="E1490" s="4">
        <v>-1.0053375799926359E-2</v>
      </c>
      <c r="F1490" s="3">
        <v>1488</v>
      </c>
      <c r="G1490" s="3">
        <v>2</v>
      </c>
      <c r="H1490" s="5">
        <v>10468719.369999999</v>
      </c>
      <c r="I1490" s="5">
        <v>9288719.3699999992</v>
      </c>
      <c r="J1490" s="5">
        <v>6000</v>
      </c>
      <c r="K1490" s="5">
        <v>1186000</v>
      </c>
      <c r="L1490" s="5">
        <v>10785000</v>
      </c>
      <c r="M1490" s="5">
        <v>-5536000</v>
      </c>
      <c r="N1490" s="5">
        <v>-4731000</v>
      </c>
    </row>
    <row r="1491" spans="1:14" x14ac:dyDescent="0.25">
      <c r="A1491" s="3" t="s">
        <v>1502</v>
      </c>
      <c r="B1491" s="4">
        <v>1.63</v>
      </c>
      <c r="C1491" s="4">
        <v>0.47</v>
      </c>
      <c r="D1491" s="4">
        <v>0.08</v>
      </c>
      <c r="E1491" s="4">
        <v>-1.0054331257491229E-2</v>
      </c>
      <c r="F1491" s="3">
        <v>1489</v>
      </c>
      <c r="G1491" s="3">
        <v>2</v>
      </c>
      <c r="H1491" s="5">
        <v>396624568.48000002</v>
      </c>
      <c r="I1491" s="5">
        <v>660130568.48000002</v>
      </c>
      <c r="J1491" s="5">
        <v>540256000</v>
      </c>
      <c r="K1491" s="5">
        <v>276750000</v>
      </c>
      <c r="L1491" s="5">
        <v>660838000</v>
      </c>
      <c r="M1491" s="5">
        <v>404205000</v>
      </c>
      <c r="N1491" s="5">
        <v>96379000</v>
      </c>
    </row>
    <row r="1492" spans="1:14" x14ac:dyDescent="0.25">
      <c r="A1492" s="3" t="s">
        <v>1503</v>
      </c>
      <c r="B1492" s="4">
        <v>-0.79</v>
      </c>
      <c r="C1492" s="4">
        <v>0.67</v>
      </c>
      <c r="D1492" s="4">
        <v>-10.7</v>
      </c>
      <c r="E1492" s="4">
        <v>-1.0058161989060651E-2</v>
      </c>
      <c r="F1492" s="3">
        <v>1490</v>
      </c>
      <c r="G1492" s="3">
        <v>2</v>
      </c>
      <c r="H1492" s="5">
        <v>1826.7051080000001</v>
      </c>
      <c r="I1492" s="5">
        <v>1801406.705108</v>
      </c>
      <c r="J1492" s="5">
        <v>1935730</v>
      </c>
      <c r="K1492" s="5">
        <v>136150</v>
      </c>
      <c r="L1492" s="5">
        <v>745090</v>
      </c>
      <c r="M1492" s="5">
        <v>-2281740</v>
      </c>
      <c r="N1492" s="5">
        <v>-2388470</v>
      </c>
    </row>
    <row r="1493" spans="1:14" x14ac:dyDescent="0.25">
      <c r="A1493" s="3" t="s">
        <v>1504</v>
      </c>
      <c r="B1493" s="4">
        <v>-3.6</v>
      </c>
      <c r="C1493" s="4">
        <v>0.53</v>
      </c>
      <c r="D1493" s="4">
        <v>-17.63</v>
      </c>
      <c r="E1493" s="4">
        <v>-1.0060321104595871E-2</v>
      </c>
      <c r="F1493" s="3">
        <v>1491</v>
      </c>
      <c r="G1493" s="3">
        <v>2</v>
      </c>
      <c r="H1493" s="5">
        <v>11076.931200000001</v>
      </c>
      <c r="I1493" s="5">
        <v>4834526.9312000005</v>
      </c>
      <c r="J1493" s="5">
        <v>4917660</v>
      </c>
      <c r="K1493" s="5">
        <v>94210</v>
      </c>
      <c r="L1493" s="5">
        <v>0</v>
      </c>
      <c r="M1493" s="5">
        <v>-1341470</v>
      </c>
      <c r="N1493" s="5">
        <v>-4482880</v>
      </c>
    </row>
    <row r="1494" spans="1:14" x14ac:dyDescent="0.25">
      <c r="A1494" s="3" t="s">
        <v>1505</v>
      </c>
      <c r="B1494" s="4">
        <v>0.15</v>
      </c>
      <c r="C1494" s="4">
        <v>0.15</v>
      </c>
      <c r="D1494" s="4">
        <v>0.09</v>
      </c>
      <c r="E1494" s="4">
        <v>-1.006099521220891E-2</v>
      </c>
      <c r="F1494" s="3">
        <v>1492</v>
      </c>
      <c r="G1494" s="3">
        <v>2</v>
      </c>
      <c r="H1494" s="5">
        <v>9740228.25</v>
      </c>
      <c r="I1494" s="5">
        <v>16885228.25</v>
      </c>
      <c r="J1494" s="5">
        <v>62466000</v>
      </c>
      <c r="K1494" s="5">
        <v>55321000</v>
      </c>
      <c r="L1494" s="5">
        <v>316610000</v>
      </c>
      <c r="M1494" s="5">
        <v>114406000</v>
      </c>
      <c r="N1494" s="5">
        <v>35642000</v>
      </c>
    </row>
    <row r="1495" spans="1:14" x14ac:dyDescent="0.25">
      <c r="A1495" s="3" t="s">
        <v>1506</v>
      </c>
      <c r="B1495" s="4">
        <v>0.33</v>
      </c>
      <c r="C1495" s="4">
        <v>0.19</v>
      </c>
      <c r="D1495" s="4">
        <v>0.06</v>
      </c>
      <c r="E1495" s="4">
        <v>-1.0062613566431001E-2</v>
      </c>
      <c r="F1495" s="3">
        <v>1493</v>
      </c>
      <c r="G1495" s="3">
        <v>2</v>
      </c>
      <c r="H1495" s="5">
        <v>827109600.70000005</v>
      </c>
      <c r="I1495" s="5">
        <v>141778600.69999999</v>
      </c>
      <c r="J1495" s="5">
        <v>0</v>
      </c>
      <c r="K1495" s="5">
        <v>685331000</v>
      </c>
      <c r="L1495" s="5">
        <v>1220374000</v>
      </c>
      <c r="M1495" s="5">
        <v>426701000</v>
      </c>
      <c r="N1495" s="5">
        <v>133770000</v>
      </c>
    </row>
    <row r="1496" spans="1:14" x14ac:dyDescent="0.25">
      <c r="A1496" s="3" t="s">
        <v>1507</v>
      </c>
      <c r="B1496" s="4">
        <v>-0.33</v>
      </c>
      <c r="C1496" s="4">
        <v>0.05</v>
      </c>
      <c r="D1496" s="4">
        <v>0.03</v>
      </c>
      <c r="E1496" s="4">
        <v>-1.0064423568358811E-2</v>
      </c>
      <c r="F1496" s="3">
        <v>1494</v>
      </c>
      <c r="G1496" s="3">
        <v>2</v>
      </c>
      <c r="H1496" s="5">
        <v>38451000</v>
      </c>
      <c r="I1496" s="5">
        <v>-1055549000</v>
      </c>
      <c r="J1496" s="5">
        <v>2096000000</v>
      </c>
      <c r="K1496" s="5">
        <v>3190000000</v>
      </c>
      <c r="L1496" s="5">
        <v>17455000000</v>
      </c>
      <c r="M1496" s="5">
        <v>3151000000</v>
      </c>
      <c r="N1496" s="5">
        <v>1123000000</v>
      </c>
    </row>
    <row r="1497" spans="1:14" x14ac:dyDescent="0.25">
      <c r="A1497" s="3" t="s">
        <v>1508</v>
      </c>
      <c r="B1497" s="4">
        <v>1.86</v>
      </c>
      <c r="C1497" s="4">
        <v>0.49</v>
      </c>
      <c r="D1497" s="4">
        <v>0.46</v>
      </c>
      <c r="E1497" s="4">
        <v>-1.006559276454987E-2</v>
      </c>
      <c r="F1497" s="3">
        <v>1495</v>
      </c>
      <c r="G1497" s="3">
        <v>2</v>
      </c>
      <c r="H1497" s="5">
        <v>89905720.540000007</v>
      </c>
      <c r="I1497" s="5">
        <v>-45740279.459999993</v>
      </c>
      <c r="J1497" s="5">
        <v>0</v>
      </c>
      <c r="K1497" s="5">
        <v>135646000</v>
      </c>
      <c r="L1497" s="5">
        <v>26628000</v>
      </c>
      <c r="M1497" s="5">
        <v>-24551000</v>
      </c>
      <c r="N1497" s="5">
        <v>74820000</v>
      </c>
    </row>
    <row r="1498" spans="1:14" x14ac:dyDescent="0.25">
      <c r="A1498" s="3" t="s">
        <v>1509</v>
      </c>
      <c r="B1498" s="4">
        <v>-0.61</v>
      </c>
      <c r="C1498" s="4">
        <v>-0.01</v>
      </c>
      <c r="D1498" s="4">
        <v>-0.01</v>
      </c>
      <c r="E1498" s="4">
        <v>-1.0072203557237419E-2</v>
      </c>
      <c r="F1498" s="3">
        <v>1496</v>
      </c>
      <c r="G1498" s="3">
        <v>2</v>
      </c>
      <c r="H1498" s="5">
        <v>2528.7851000000001</v>
      </c>
      <c r="I1498" s="5">
        <v>-642831.21490000002</v>
      </c>
      <c r="J1498" s="5">
        <v>0</v>
      </c>
      <c r="K1498" s="5">
        <v>645360</v>
      </c>
      <c r="L1498" s="5">
        <v>4185800</v>
      </c>
      <c r="M1498" s="5">
        <v>1045980</v>
      </c>
      <c r="N1498" s="5">
        <v>-351950</v>
      </c>
    </row>
    <row r="1499" spans="1:14" x14ac:dyDescent="0.25">
      <c r="A1499" s="3" t="s">
        <v>1510</v>
      </c>
      <c r="B1499" s="4">
        <v>1.98</v>
      </c>
      <c r="C1499" s="4">
        <v>0.53</v>
      </c>
      <c r="D1499" s="4">
        <v>0.19</v>
      </c>
      <c r="E1499" s="4">
        <v>-1.0076372522449631E-2</v>
      </c>
      <c r="F1499" s="3">
        <v>1497</v>
      </c>
      <c r="G1499" s="3">
        <v>2</v>
      </c>
      <c r="H1499" s="5">
        <v>1820112976.0999999</v>
      </c>
      <c r="I1499" s="5">
        <v>7219012976.1000004</v>
      </c>
      <c r="J1499" s="5">
        <v>6015700000</v>
      </c>
      <c r="K1499" s="5">
        <v>616800000</v>
      </c>
      <c r="L1499" s="5">
        <v>8427400000</v>
      </c>
      <c r="M1499" s="5">
        <v>3654300000</v>
      </c>
      <c r="N1499" s="5">
        <v>2147700000</v>
      </c>
    </row>
    <row r="1500" spans="1:14" x14ac:dyDescent="0.25">
      <c r="A1500" s="3" t="s">
        <v>1511</v>
      </c>
      <c r="B1500" s="4">
        <v>0.9</v>
      </c>
      <c r="C1500" s="4">
        <v>0.3</v>
      </c>
      <c r="D1500" s="4">
        <v>0.13</v>
      </c>
      <c r="E1500" s="4">
        <v>-1.008406542796283E-2</v>
      </c>
      <c r="F1500" s="3">
        <v>1498</v>
      </c>
      <c r="G1500" s="3">
        <v>2</v>
      </c>
      <c r="H1500" s="5">
        <v>1127049400.5</v>
      </c>
      <c r="I1500" s="5">
        <v>1674957400.5</v>
      </c>
      <c r="J1500" s="5">
        <v>643563000</v>
      </c>
      <c r="K1500" s="5">
        <v>95655000</v>
      </c>
      <c r="L1500" s="5">
        <v>2463496000</v>
      </c>
      <c r="M1500" s="5">
        <v>1865689000</v>
      </c>
      <c r="N1500" s="5">
        <v>197249000</v>
      </c>
    </row>
    <row r="1501" spans="1:14" x14ac:dyDescent="0.25">
      <c r="A1501" s="3" t="s">
        <v>1512</v>
      </c>
      <c r="B1501" s="4">
        <v>-1.47</v>
      </c>
      <c r="C1501" s="4">
        <v>-0.19</v>
      </c>
      <c r="D1501" s="4">
        <v>-0.15</v>
      </c>
      <c r="E1501" s="4">
        <v>-1.008702316563408E-2</v>
      </c>
      <c r="F1501" s="3">
        <v>1499</v>
      </c>
      <c r="G1501" s="3">
        <v>2</v>
      </c>
      <c r="H1501" s="5">
        <v>581083.46400000004</v>
      </c>
      <c r="I1501" s="5">
        <v>934653.46400000004</v>
      </c>
      <c r="J1501" s="5">
        <v>361680</v>
      </c>
      <c r="K1501" s="5">
        <v>8110</v>
      </c>
      <c r="L1501" s="5">
        <v>11380</v>
      </c>
      <c r="M1501" s="5">
        <v>-633880</v>
      </c>
      <c r="N1501" s="5">
        <v>-691740</v>
      </c>
    </row>
    <row r="1502" spans="1:14" x14ac:dyDescent="0.25">
      <c r="A1502" s="3" t="s">
        <v>1513</v>
      </c>
      <c r="B1502" s="4">
        <v>-2.86</v>
      </c>
      <c r="C1502" s="4">
        <v>-0.48</v>
      </c>
      <c r="D1502" s="4">
        <v>-0.28999999999999998</v>
      </c>
      <c r="E1502" s="4">
        <v>-1.009164454924468E-2</v>
      </c>
      <c r="F1502" s="3">
        <v>1500</v>
      </c>
      <c r="G1502" s="3">
        <v>2</v>
      </c>
      <c r="H1502" s="5">
        <v>39897847.560000002</v>
      </c>
      <c r="I1502" s="5">
        <v>46802847.560000002</v>
      </c>
      <c r="J1502" s="5">
        <v>14032000</v>
      </c>
      <c r="K1502" s="5">
        <v>7127000</v>
      </c>
      <c r="L1502" s="5">
        <v>335184000</v>
      </c>
      <c r="M1502" s="5">
        <v>-16372000</v>
      </c>
      <c r="N1502" s="5">
        <v>-21577000</v>
      </c>
    </row>
    <row r="1503" spans="1:14" x14ac:dyDescent="0.25">
      <c r="A1503" s="3" t="s">
        <v>1514</v>
      </c>
      <c r="B1503" s="4">
        <v>-1.21</v>
      </c>
      <c r="C1503" s="4">
        <v>-0.14000000000000001</v>
      </c>
      <c r="D1503" s="4">
        <v>-0.13</v>
      </c>
      <c r="E1503" s="4">
        <v>-1.009961642553079E-2</v>
      </c>
      <c r="F1503" s="3">
        <v>1501</v>
      </c>
      <c r="G1503" s="3">
        <v>2</v>
      </c>
      <c r="H1503" s="5">
        <v>41485686</v>
      </c>
      <c r="I1503" s="5">
        <v>20182686</v>
      </c>
      <c r="J1503" s="5">
        <v>0</v>
      </c>
      <c r="K1503" s="5">
        <v>21303000</v>
      </c>
      <c r="L1503" s="5">
        <v>0</v>
      </c>
      <c r="M1503" s="5">
        <v>-16672000</v>
      </c>
      <c r="N1503" s="5">
        <v>-9568000</v>
      </c>
    </row>
    <row r="1504" spans="1:14" x14ac:dyDescent="0.25">
      <c r="A1504" s="3" t="s">
        <v>1515</v>
      </c>
      <c r="B1504" s="4">
        <v>-5.01</v>
      </c>
      <c r="C1504" s="4">
        <v>-0.91</v>
      </c>
      <c r="D1504" s="4">
        <v>-0.83</v>
      </c>
      <c r="E1504" s="4">
        <v>-1.010755786118004E-2</v>
      </c>
      <c r="F1504" s="3">
        <v>1502</v>
      </c>
      <c r="G1504" s="3">
        <v>2</v>
      </c>
      <c r="H1504" s="5">
        <v>19429700.43</v>
      </c>
      <c r="I1504" s="5">
        <v>16891980.43</v>
      </c>
      <c r="J1504" s="5">
        <v>37510</v>
      </c>
      <c r="K1504" s="5">
        <v>2575230</v>
      </c>
      <c r="L1504" s="5">
        <v>0</v>
      </c>
      <c r="M1504" s="5">
        <v>-3371730</v>
      </c>
      <c r="N1504" s="5">
        <v>-3376410</v>
      </c>
    </row>
    <row r="1505" spans="1:14" x14ac:dyDescent="0.25">
      <c r="A1505" s="3" t="s">
        <v>1516</v>
      </c>
      <c r="B1505" s="4">
        <v>-10.029999999999999</v>
      </c>
      <c r="C1505" s="4">
        <v>-2.0099999999999998</v>
      </c>
      <c r="D1505" s="4">
        <v>-0.48</v>
      </c>
      <c r="E1505" s="4">
        <v>-1.0111357442624831E-2</v>
      </c>
      <c r="F1505" s="3">
        <v>1503</v>
      </c>
      <c r="G1505" s="3">
        <v>2</v>
      </c>
      <c r="H1505" s="5">
        <v>210.93469999999999</v>
      </c>
      <c r="I1505" s="5">
        <v>78232210.934699997</v>
      </c>
      <c r="J1505" s="5">
        <v>97781000</v>
      </c>
      <c r="K1505" s="5">
        <v>19549000</v>
      </c>
      <c r="L1505" s="5">
        <v>534474000</v>
      </c>
      <c r="M1505" s="5">
        <v>-7802000</v>
      </c>
      <c r="N1505" s="5">
        <v>-125965000</v>
      </c>
    </row>
    <row r="1506" spans="1:14" x14ac:dyDescent="0.25">
      <c r="A1506" s="3" t="s">
        <v>1517</v>
      </c>
      <c r="B1506" s="4">
        <v>1.27</v>
      </c>
      <c r="C1506" s="4">
        <v>0.36</v>
      </c>
      <c r="D1506" s="4">
        <v>0.22</v>
      </c>
      <c r="E1506" s="4">
        <v>-1.01223431574704E-2</v>
      </c>
      <c r="F1506" s="3">
        <v>1504</v>
      </c>
      <c r="G1506" s="3">
        <v>2</v>
      </c>
      <c r="H1506" s="5">
        <v>193554598629.07999</v>
      </c>
      <c r="I1506" s="5">
        <v>141096142629.07999</v>
      </c>
      <c r="J1506" s="5">
        <v>5309597000</v>
      </c>
      <c r="K1506" s="5">
        <v>57768053000</v>
      </c>
      <c r="L1506" s="5">
        <v>393836097000</v>
      </c>
      <c r="M1506" s="5">
        <v>111063749000</v>
      </c>
      <c r="N1506" s="5">
        <v>112434512000</v>
      </c>
    </row>
    <row r="1507" spans="1:14" x14ac:dyDescent="0.25">
      <c r="A1507" s="3" t="s">
        <v>1518</v>
      </c>
      <c r="B1507" s="4">
        <v>-0.28000000000000003</v>
      </c>
      <c r="C1507" s="4">
        <v>0.04</v>
      </c>
      <c r="D1507" s="4">
        <v>0.02</v>
      </c>
      <c r="E1507" s="4">
        <v>-1.0126192230436161E-2</v>
      </c>
      <c r="F1507" s="3">
        <v>1505</v>
      </c>
      <c r="G1507" s="3">
        <v>2</v>
      </c>
      <c r="H1507" s="5">
        <v>149.47069999999999</v>
      </c>
      <c r="I1507" s="5">
        <v>-661850.52930000005</v>
      </c>
      <c r="J1507" s="5">
        <v>1890000</v>
      </c>
      <c r="K1507" s="5">
        <v>2552000</v>
      </c>
      <c r="L1507" s="5">
        <v>97028000</v>
      </c>
      <c r="M1507" s="5">
        <v>2373000</v>
      </c>
      <c r="N1507" s="5">
        <v>471000</v>
      </c>
    </row>
    <row r="1508" spans="1:14" x14ac:dyDescent="0.25">
      <c r="A1508" s="3" t="s">
        <v>1519</v>
      </c>
      <c r="B1508" s="4">
        <v>-4.37</v>
      </c>
      <c r="C1508" s="4">
        <v>-0.81</v>
      </c>
      <c r="D1508" s="4">
        <v>-0.48</v>
      </c>
      <c r="E1508" s="4">
        <v>-1.014721502543571E-2</v>
      </c>
      <c r="F1508" s="3">
        <v>1506</v>
      </c>
      <c r="G1508" s="3">
        <v>2</v>
      </c>
      <c r="H1508" s="5">
        <v>32547054.6021</v>
      </c>
      <c r="I1508" s="5">
        <v>29356194.6021</v>
      </c>
      <c r="J1508" s="5">
        <v>67200</v>
      </c>
      <c r="K1508" s="5">
        <v>3258060</v>
      </c>
      <c r="L1508" s="5">
        <v>8629930</v>
      </c>
      <c r="M1508" s="5">
        <v>-6719510</v>
      </c>
      <c r="N1508" s="5">
        <v>-4713600</v>
      </c>
    </row>
    <row r="1509" spans="1:14" x14ac:dyDescent="0.25">
      <c r="A1509" s="3" t="s">
        <v>1520</v>
      </c>
      <c r="B1509" s="4">
        <v>-2.4500000000000002</v>
      </c>
      <c r="C1509" s="4">
        <v>-0.41</v>
      </c>
      <c r="D1509" s="4">
        <v>-0.32</v>
      </c>
      <c r="E1509" s="4">
        <v>-1.0148933813456169E-2</v>
      </c>
      <c r="F1509" s="3">
        <v>1507</v>
      </c>
      <c r="G1509" s="3">
        <v>2</v>
      </c>
      <c r="H1509" s="5">
        <v>14224962.949999999</v>
      </c>
      <c r="I1509" s="5">
        <v>15301962.949999999</v>
      </c>
      <c r="J1509" s="5">
        <v>2115000</v>
      </c>
      <c r="K1509" s="5">
        <v>1038000</v>
      </c>
      <c r="L1509" s="5">
        <v>5543000</v>
      </c>
      <c r="M1509" s="5">
        <v>-6254000</v>
      </c>
      <c r="N1509" s="5">
        <v>-5886000</v>
      </c>
    </row>
    <row r="1510" spans="1:14" x14ac:dyDescent="0.25">
      <c r="A1510" s="3" t="s">
        <v>1521</v>
      </c>
      <c r="B1510" s="4">
        <v>-3.23</v>
      </c>
      <c r="C1510" s="4">
        <v>-0.56999999999999995</v>
      </c>
      <c r="D1510" s="4">
        <v>-0.48</v>
      </c>
      <c r="E1510" s="4">
        <v>-1.015933790655554E-2</v>
      </c>
      <c r="F1510" s="3">
        <v>1508</v>
      </c>
      <c r="G1510" s="3">
        <v>2</v>
      </c>
      <c r="H1510" s="5">
        <v>337932109.12</v>
      </c>
      <c r="I1510" s="5">
        <v>306239109.12</v>
      </c>
      <c r="J1510" s="5">
        <v>0</v>
      </c>
      <c r="K1510" s="5">
        <v>31693000</v>
      </c>
      <c r="L1510" s="5">
        <v>0</v>
      </c>
      <c r="M1510" s="5">
        <v>-94893000</v>
      </c>
      <c r="N1510" s="5">
        <v>-86919000</v>
      </c>
    </row>
    <row r="1511" spans="1:14" x14ac:dyDescent="0.25">
      <c r="A1511" s="3" t="s">
        <v>1522</v>
      </c>
      <c r="B1511" s="4">
        <v>-1.75</v>
      </c>
      <c r="C1511" s="4">
        <v>-0.27</v>
      </c>
      <c r="D1511" s="4">
        <v>-0.23</v>
      </c>
      <c r="E1511" s="4">
        <v>-1.0160306474851621E-2</v>
      </c>
      <c r="F1511" s="3">
        <v>1509</v>
      </c>
      <c r="G1511" s="3">
        <v>2</v>
      </c>
      <c r="H1511" s="5">
        <v>173032766.69999999</v>
      </c>
      <c r="I1511" s="5">
        <v>113129766.7</v>
      </c>
      <c r="J1511" s="5">
        <v>1677000</v>
      </c>
      <c r="K1511" s="5">
        <v>61580000</v>
      </c>
      <c r="L1511" s="5">
        <v>1454000</v>
      </c>
      <c r="M1511" s="5">
        <v>-64491000</v>
      </c>
      <c r="N1511" s="5">
        <v>-79279000</v>
      </c>
    </row>
    <row r="1512" spans="1:14" x14ac:dyDescent="0.25">
      <c r="A1512" s="3" t="s">
        <v>1523</v>
      </c>
      <c r="B1512" s="4">
        <v>-1.77</v>
      </c>
      <c r="C1512" s="4">
        <v>-0.28000000000000003</v>
      </c>
      <c r="D1512" s="4">
        <v>-0.27</v>
      </c>
      <c r="E1512" s="4">
        <v>-1.018453777678195E-2</v>
      </c>
      <c r="F1512" s="3">
        <v>1510</v>
      </c>
      <c r="G1512" s="3">
        <v>2</v>
      </c>
      <c r="H1512" s="5">
        <v>431833798.20999998</v>
      </c>
      <c r="I1512" s="5">
        <v>348828798.20999998</v>
      </c>
      <c r="J1512" s="5">
        <v>0</v>
      </c>
      <c r="K1512" s="5">
        <v>83005000</v>
      </c>
      <c r="L1512" s="5">
        <v>0</v>
      </c>
      <c r="M1512" s="5">
        <v>-196613000</v>
      </c>
      <c r="N1512" s="5">
        <v>-167383000</v>
      </c>
    </row>
    <row r="1513" spans="1:14" x14ac:dyDescent="0.25">
      <c r="A1513" s="3" t="s">
        <v>1524</v>
      </c>
      <c r="B1513" s="4">
        <v>-2.0499999999999998</v>
      </c>
      <c r="C1513" s="4">
        <v>-0.34</v>
      </c>
      <c r="D1513" s="4">
        <v>-0.28999999999999998</v>
      </c>
      <c r="E1513" s="4">
        <v>-1.0188459712505539E-2</v>
      </c>
      <c r="F1513" s="3">
        <v>1511</v>
      </c>
      <c r="G1513" s="3">
        <v>2</v>
      </c>
      <c r="H1513" s="5">
        <v>190720734.22</v>
      </c>
      <c r="I1513" s="5">
        <v>163074734.22</v>
      </c>
      <c r="J1513" s="5">
        <v>0</v>
      </c>
      <c r="K1513" s="5">
        <v>27646000</v>
      </c>
      <c r="L1513" s="5">
        <v>0</v>
      </c>
      <c r="M1513" s="5">
        <v>-79476000</v>
      </c>
      <c r="N1513" s="5">
        <v>-70780000</v>
      </c>
    </row>
    <row r="1514" spans="1:14" x14ac:dyDescent="0.25">
      <c r="A1514" s="3" t="s">
        <v>1525</v>
      </c>
      <c r="B1514" s="4">
        <v>4.62</v>
      </c>
      <c r="C1514" s="4">
        <v>1.03</v>
      </c>
      <c r="D1514" s="4">
        <v>0.56999999999999995</v>
      </c>
      <c r="E1514" s="4">
        <v>-1.019233946580995E-2</v>
      </c>
      <c r="F1514" s="3">
        <v>1512</v>
      </c>
      <c r="G1514" s="3">
        <v>2</v>
      </c>
      <c r="H1514" s="5">
        <v>391763388.06</v>
      </c>
      <c r="I1514" s="5">
        <v>638541388.05999994</v>
      </c>
      <c r="J1514" s="5">
        <v>301373000</v>
      </c>
      <c r="K1514" s="5">
        <v>54595000</v>
      </c>
      <c r="L1514" s="5">
        <v>277467000</v>
      </c>
      <c r="M1514" s="5">
        <v>138265000</v>
      </c>
      <c r="N1514" s="5">
        <v>531824000</v>
      </c>
    </row>
    <row r="1515" spans="1:14" x14ac:dyDescent="0.25">
      <c r="A1515" s="3" t="s">
        <v>1526</v>
      </c>
      <c r="B1515" s="4">
        <v>-2.68</v>
      </c>
      <c r="C1515" s="4">
        <v>-0.47</v>
      </c>
      <c r="D1515" s="4">
        <v>-0.4</v>
      </c>
      <c r="E1515" s="4">
        <v>-1.019537593713018E-2</v>
      </c>
      <c r="F1515" s="3">
        <v>1513</v>
      </c>
      <c r="G1515" s="3">
        <v>2</v>
      </c>
      <c r="H1515" s="5">
        <v>275601062.24000001</v>
      </c>
      <c r="I1515" s="5">
        <v>242383062.24000001</v>
      </c>
      <c r="J1515" s="5">
        <v>0</v>
      </c>
      <c r="K1515" s="5">
        <v>33218000</v>
      </c>
      <c r="L1515" s="5">
        <v>0</v>
      </c>
      <c r="M1515" s="5">
        <v>-90572000</v>
      </c>
      <c r="N1515" s="5">
        <v>-80604000</v>
      </c>
    </row>
    <row r="1516" spans="1:14" x14ac:dyDescent="0.25">
      <c r="A1516" s="3" t="s">
        <v>1527</v>
      </c>
      <c r="B1516" s="4">
        <v>2.58</v>
      </c>
      <c r="C1516" s="4">
        <v>0.62</v>
      </c>
      <c r="D1516" s="4">
        <v>0.15</v>
      </c>
      <c r="E1516" s="4">
        <v>-1.019539850745417E-2</v>
      </c>
      <c r="F1516" s="3">
        <v>1514</v>
      </c>
      <c r="G1516" s="3">
        <v>2</v>
      </c>
      <c r="H1516" s="5">
        <v>10074725</v>
      </c>
      <c r="I1516" s="5">
        <v>16641725</v>
      </c>
      <c r="J1516" s="5">
        <v>7549000</v>
      </c>
      <c r="K1516" s="5">
        <v>982000</v>
      </c>
      <c r="L1516" s="5">
        <v>19392000</v>
      </c>
      <c r="M1516" s="5">
        <v>6446000</v>
      </c>
      <c r="N1516" s="5">
        <v>5773000</v>
      </c>
    </row>
    <row r="1517" spans="1:14" x14ac:dyDescent="0.25">
      <c r="A1517" s="3" t="s">
        <v>1528</v>
      </c>
      <c r="B1517" s="4">
        <v>0.05</v>
      </c>
      <c r="C1517" s="4">
        <v>1.58</v>
      </c>
      <c r="D1517" s="4">
        <v>-22.4</v>
      </c>
      <c r="E1517" s="4">
        <v>-1.0205698124981351E-2</v>
      </c>
      <c r="F1517" s="3">
        <v>1515</v>
      </c>
      <c r="G1517" s="3">
        <v>2</v>
      </c>
      <c r="H1517" s="5">
        <v>28338.272799999999</v>
      </c>
      <c r="I1517" s="5">
        <v>-408841.72720000002</v>
      </c>
      <c r="J1517" s="5">
        <v>0</v>
      </c>
      <c r="K1517" s="5">
        <v>437180</v>
      </c>
      <c r="L1517" s="5">
        <v>0</v>
      </c>
      <c r="M1517" s="5">
        <v>-8070840</v>
      </c>
      <c r="N1517" s="5">
        <v>-11254630</v>
      </c>
    </row>
    <row r="1518" spans="1:14" x14ac:dyDescent="0.25">
      <c r="A1518" s="3" t="s">
        <v>1529</v>
      </c>
      <c r="B1518" s="4">
        <v>-3.6</v>
      </c>
      <c r="C1518" s="4">
        <v>-0.67</v>
      </c>
      <c r="D1518" s="4">
        <v>-0.41</v>
      </c>
      <c r="E1518" s="4">
        <v>-1.0205770179865721E-2</v>
      </c>
      <c r="F1518" s="3">
        <v>1516</v>
      </c>
      <c r="G1518" s="3">
        <v>2</v>
      </c>
      <c r="H1518" s="5">
        <v>17235792</v>
      </c>
      <c r="I1518" s="5">
        <v>16546202</v>
      </c>
      <c r="J1518" s="5">
        <v>1391130</v>
      </c>
      <c r="K1518" s="5">
        <v>2080720</v>
      </c>
      <c r="L1518" s="5">
        <v>10120260</v>
      </c>
      <c r="M1518" s="5">
        <v>-4590410</v>
      </c>
      <c r="N1518" s="5">
        <v>-5679080</v>
      </c>
    </row>
    <row r="1519" spans="1:14" x14ac:dyDescent="0.25">
      <c r="A1519" s="3" t="s">
        <v>1530</v>
      </c>
      <c r="B1519" s="4">
        <v>0.74</v>
      </c>
      <c r="C1519" s="4">
        <v>0.22</v>
      </c>
      <c r="D1519" s="4">
        <v>0.13</v>
      </c>
      <c r="E1519" s="4">
        <v>-1.0216186992925249E-2</v>
      </c>
      <c r="F1519" s="3">
        <v>1517</v>
      </c>
      <c r="G1519" s="3">
        <v>2</v>
      </c>
      <c r="H1519" s="5">
        <v>703518137.23000002</v>
      </c>
      <c r="I1519" s="5">
        <v>2549096137.23</v>
      </c>
      <c r="J1519" s="5">
        <v>2830189410</v>
      </c>
      <c r="K1519" s="5">
        <v>984611410</v>
      </c>
      <c r="L1519" s="5">
        <v>5871781750</v>
      </c>
      <c r="M1519" s="5">
        <v>3453838670</v>
      </c>
      <c r="N1519" s="5">
        <v>1539905770</v>
      </c>
    </row>
    <row r="1520" spans="1:14" x14ac:dyDescent="0.25">
      <c r="A1520" s="3" t="s">
        <v>1531</v>
      </c>
      <c r="B1520" s="4">
        <v>-1.68</v>
      </c>
      <c r="C1520" s="4">
        <v>-0.28000000000000003</v>
      </c>
      <c r="D1520" s="4">
        <v>-0.24</v>
      </c>
      <c r="E1520" s="4">
        <v>-1.0234453548323129E-2</v>
      </c>
      <c r="F1520" s="3">
        <v>1518</v>
      </c>
      <c r="G1520" s="3">
        <v>2</v>
      </c>
      <c r="H1520" s="5">
        <v>8697603.3300000001</v>
      </c>
      <c r="I1520" s="5">
        <v>6774923.3300000001</v>
      </c>
      <c r="J1520" s="5">
        <v>0</v>
      </c>
      <c r="K1520" s="5">
        <v>1922680</v>
      </c>
      <c r="L1520" s="5">
        <v>26986630</v>
      </c>
      <c r="M1520" s="5">
        <v>-4029100</v>
      </c>
      <c r="N1520" s="5">
        <v>-5615610</v>
      </c>
    </row>
    <row r="1521" spans="1:14" x14ac:dyDescent="0.25">
      <c r="A1521" s="3" t="s">
        <v>1532</v>
      </c>
      <c r="B1521" s="4">
        <v>-10.25</v>
      </c>
      <c r="C1521" s="4">
        <v>-2.1</v>
      </c>
      <c r="D1521" s="4">
        <v>-0.51</v>
      </c>
      <c r="E1521" s="4">
        <v>-1.024102446015177E-2</v>
      </c>
      <c r="F1521" s="3">
        <v>1519</v>
      </c>
      <c r="G1521" s="3">
        <v>2</v>
      </c>
      <c r="H1521" s="5">
        <v>255910855.99000001</v>
      </c>
      <c r="I1521" s="5">
        <v>243693855.99000001</v>
      </c>
      <c r="J1521" s="5">
        <v>0</v>
      </c>
      <c r="K1521" s="5">
        <v>12217000</v>
      </c>
      <c r="L1521" s="5">
        <v>26918000</v>
      </c>
      <c r="M1521" s="5">
        <v>-23770000</v>
      </c>
      <c r="N1521" s="5">
        <v>-24045000</v>
      </c>
    </row>
    <row r="1522" spans="1:14" x14ac:dyDescent="0.25">
      <c r="A1522" s="3" t="s">
        <v>1533</v>
      </c>
      <c r="B1522" s="4">
        <v>-1.87</v>
      </c>
      <c r="C1522" s="4">
        <v>-0.32</v>
      </c>
      <c r="D1522" s="4">
        <v>-0.28999999999999998</v>
      </c>
      <c r="E1522" s="4">
        <v>-1.024207820102402E-2</v>
      </c>
      <c r="F1522" s="3">
        <v>1520</v>
      </c>
      <c r="G1522" s="3">
        <v>2</v>
      </c>
      <c r="H1522" s="5">
        <v>490842928.17000002</v>
      </c>
      <c r="I1522" s="5">
        <v>341506928.17000002</v>
      </c>
      <c r="J1522" s="5">
        <v>0</v>
      </c>
      <c r="K1522" s="5">
        <v>149336000</v>
      </c>
      <c r="L1522" s="5">
        <v>37000</v>
      </c>
      <c r="M1522" s="5">
        <v>-183041000</v>
      </c>
      <c r="N1522" s="5">
        <v>-160868000</v>
      </c>
    </row>
    <row r="1523" spans="1:14" x14ac:dyDescent="0.25">
      <c r="A1523" s="3" t="s">
        <v>1534</v>
      </c>
      <c r="B1523" s="4">
        <v>-2.81</v>
      </c>
      <c r="C1523" s="4">
        <v>-0.52</v>
      </c>
      <c r="D1523" s="4">
        <v>-0.37</v>
      </c>
      <c r="E1523" s="4">
        <v>-1.0253597218407949E-2</v>
      </c>
      <c r="F1523" s="3">
        <v>1521</v>
      </c>
      <c r="G1523" s="3">
        <v>2</v>
      </c>
      <c r="H1523" s="5">
        <v>303795712.05000001</v>
      </c>
      <c r="I1523" s="5">
        <v>248152712.05000001</v>
      </c>
      <c r="J1523" s="5">
        <v>0</v>
      </c>
      <c r="K1523" s="5">
        <v>55643000</v>
      </c>
      <c r="L1523" s="5">
        <v>2271000</v>
      </c>
      <c r="M1523" s="5">
        <v>-88310000</v>
      </c>
      <c r="N1523" s="5">
        <v>-83581000</v>
      </c>
    </row>
    <row r="1524" spans="1:14" x14ac:dyDescent="0.25">
      <c r="A1524" s="3" t="s">
        <v>1535</v>
      </c>
      <c r="B1524" s="4">
        <v>-2</v>
      </c>
      <c r="C1524" s="4">
        <v>-0.37</v>
      </c>
      <c r="D1524" s="4">
        <v>-0.09</v>
      </c>
      <c r="E1524" s="4">
        <v>-1.026750603048418E-2</v>
      </c>
      <c r="F1524" s="3">
        <v>1522</v>
      </c>
      <c r="G1524" s="3">
        <v>2</v>
      </c>
      <c r="H1524" s="5">
        <v>49217.684300000001</v>
      </c>
      <c r="I1524" s="5">
        <v>14449997.6843</v>
      </c>
      <c r="J1524" s="5">
        <v>15996920</v>
      </c>
      <c r="K1524" s="5">
        <v>1596140</v>
      </c>
      <c r="L1524" s="5">
        <v>12209240</v>
      </c>
      <c r="M1524" s="5">
        <v>-7237050</v>
      </c>
      <c r="N1524" s="5">
        <v>-8625820</v>
      </c>
    </row>
    <row r="1525" spans="1:14" x14ac:dyDescent="0.25">
      <c r="A1525" s="3" t="s">
        <v>1536</v>
      </c>
      <c r="B1525" s="4">
        <v>-1.93</v>
      </c>
      <c r="C1525" s="4">
        <v>-0.35</v>
      </c>
      <c r="D1525" s="4">
        <v>-0.2</v>
      </c>
      <c r="E1525" s="4">
        <v>-1.027426254868738E-2</v>
      </c>
      <c r="F1525" s="3">
        <v>1523</v>
      </c>
      <c r="G1525" s="3">
        <v>2</v>
      </c>
      <c r="H1525" s="5">
        <v>68444478.900000006</v>
      </c>
      <c r="I1525" s="5">
        <v>38078478.900000013</v>
      </c>
      <c r="J1525" s="5">
        <v>0</v>
      </c>
      <c r="K1525" s="5">
        <v>30366000</v>
      </c>
      <c r="L1525" s="5">
        <v>371967000</v>
      </c>
      <c r="M1525" s="5">
        <v>-19752000</v>
      </c>
      <c r="N1525" s="5">
        <v>-62188000</v>
      </c>
    </row>
    <row r="1526" spans="1:14" x14ac:dyDescent="0.25">
      <c r="A1526" s="3" t="s">
        <v>1537</v>
      </c>
      <c r="B1526" s="4">
        <v>-1.47</v>
      </c>
      <c r="C1526" s="4">
        <v>-0.26</v>
      </c>
      <c r="D1526" s="4">
        <v>-0.11</v>
      </c>
      <c r="E1526" s="4">
        <v>-1.0281562308425271E-2</v>
      </c>
      <c r="F1526" s="3">
        <v>1524</v>
      </c>
      <c r="G1526" s="3">
        <v>2</v>
      </c>
      <c r="H1526" s="5">
        <v>62218864.399999999</v>
      </c>
      <c r="I1526" s="5">
        <v>63342864.400000013</v>
      </c>
      <c r="J1526" s="5">
        <v>88822000</v>
      </c>
      <c r="K1526" s="5">
        <v>87698000</v>
      </c>
      <c r="L1526" s="5">
        <v>305775000</v>
      </c>
      <c r="M1526" s="5">
        <v>-43173000</v>
      </c>
      <c r="N1526" s="5">
        <v>-63896000</v>
      </c>
    </row>
    <row r="1527" spans="1:14" x14ac:dyDescent="0.25">
      <c r="A1527" s="3" t="s">
        <v>1538</v>
      </c>
      <c r="B1527" s="4">
        <v>-3.63</v>
      </c>
      <c r="C1527" s="4">
        <v>7.0000000000000007E-2</v>
      </c>
      <c r="D1527" s="4">
        <v>-12</v>
      </c>
      <c r="E1527" s="4">
        <v>-1.0284817447033899E-2</v>
      </c>
      <c r="F1527" s="3">
        <v>1525</v>
      </c>
      <c r="G1527" s="3">
        <v>2</v>
      </c>
      <c r="H1527" s="5">
        <v>427461.20199999999</v>
      </c>
      <c r="I1527" s="5">
        <v>1813461.202</v>
      </c>
      <c r="J1527" s="5">
        <v>1398000</v>
      </c>
      <c r="K1527" s="5">
        <v>12000</v>
      </c>
      <c r="L1527" s="5">
        <v>361000</v>
      </c>
      <c r="M1527" s="5">
        <v>-499000</v>
      </c>
      <c r="N1527" s="5">
        <v>-144000</v>
      </c>
    </row>
    <row r="1528" spans="1:14" x14ac:dyDescent="0.25">
      <c r="A1528" s="3" t="s">
        <v>1539</v>
      </c>
      <c r="B1528" s="4">
        <v>-7.68</v>
      </c>
      <c r="C1528" s="4">
        <v>-1.58</v>
      </c>
      <c r="D1528" s="4">
        <v>-0.31</v>
      </c>
      <c r="E1528" s="4">
        <v>-1.0290602227998741E-2</v>
      </c>
      <c r="F1528" s="3">
        <v>1526</v>
      </c>
      <c r="G1528" s="3">
        <v>2</v>
      </c>
      <c r="H1528" s="5">
        <v>181182006.80000001</v>
      </c>
      <c r="I1528" s="5">
        <v>217874006.80000001</v>
      </c>
      <c r="J1528" s="5">
        <v>55151000</v>
      </c>
      <c r="K1528" s="5">
        <v>18459000</v>
      </c>
      <c r="L1528" s="5">
        <v>74890000</v>
      </c>
      <c r="M1528" s="5">
        <v>-28363000</v>
      </c>
      <c r="N1528" s="5">
        <v>-43708000</v>
      </c>
    </row>
    <row r="1529" spans="1:14" x14ac:dyDescent="0.25">
      <c r="A1529" s="3" t="s">
        <v>1540</v>
      </c>
      <c r="B1529" s="4">
        <v>-3.03</v>
      </c>
      <c r="C1529" s="4">
        <v>-0.59</v>
      </c>
      <c r="D1529" s="4">
        <v>-0.24</v>
      </c>
      <c r="E1529" s="4">
        <v>-1.0294612596665869E-2</v>
      </c>
      <c r="F1529" s="3">
        <v>1527</v>
      </c>
      <c r="G1529" s="3">
        <v>2</v>
      </c>
      <c r="H1529" s="5">
        <v>36477013.530000001</v>
      </c>
      <c r="I1529" s="5">
        <v>39021013.530000001</v>
      </c>
      <c r="J1529" s="5">
        <v>10423000</v>
      </c>
      <c r="K1529" s="5">
        <v>7879000</v>
      </c>
      <c r="L1529" s="5">
        <v>32591000</v>
      </c>
      <c r="M1529" s="5">
        <v>-12896000</v>
      </c>
      <c r="N1529" s="5">
        <v>-20739000</v>
      </c>
    </row>
    <row r="1530" spans="1:14" x14ac:dyDescent="0.25">
      <c r="A1530" s="3" t="s">
        <v>1541</v>
      </c>
      <c r="B1530" s="4">
        <v>-0.42</v>
      </c>
      <c r="C1530" s="4">
        <v>0.1</v>
      </c>
      <c r="D1530" s="4">
        <v>-2.23</v>
      </c>
      <c r="E1530" s="4">
        <v>-1.030021268852915E-2</v>
      </c>
      <c r="F1530" s="3">
        <v>1528</v>
      </c>
      <c r="G1530" s="3">
        <v>2</v>
      </c>
      <c r="H1530" s="5">
        <v>3248.2345999999998</v>
      </c>
      <c r="I1530" s="5">
        <v>89018.234599999996</v>
      </c>
      <c r="J1530" s="5">
        <v>93900</v>
      </c>
      <c r="K1530" s="5">
        <v>8130</v>
      </c>
      <c r="L1530" s="5">
        <v>429340</v>
      </c>
      <c r="M1530" s="5">
        <v>-209640</v>
      </c>
      <c r="N1530" s="5">
        <v>-271400</v>
      </c>
    </row>
    <row r="1531" spans="1:14" x14ac:dyDescent="0.25">
      <c r="A1531" s="3" t="s">
        <v>1542</v>
      </c>
      <c r="B1531" s="4">
        <v>-2.23</v>
      </c>
      <c r="C1531" s="4">
        <v>-0.62</v>
      </c>
      <c r="D1531" s="4">
        <v>2.73</v>
      </c>
      <c r="E1531" s="4">
        <v>-1.0303508979956201E-2</v>
      </c>
      <c r="F1531" s="3">
        <v>1529</v>
      </c>
      <c r="G1531" s="3">
        <v>2</v>
      </c>
      <c r="H1531" s="5">
        <v>483169.4</v>
      </c>
      <c r="I1531" s="5">
        <v>28504169.399999999</v>
      </c>
      <c r="J1531" s="5">
        <v>28182000</v>
      </c>
      <c r="K1531" s="5">
        <v>161000</v>
      </c>
      <c r="L1531" s="5">
        <v>311000</v>
      </c>
      <c r="M1531" s="5">
        <v>-12785000</v>
      </c>
      <c r="N1531" s="5">
        <v>21078000</v>
      </c>
    </row>
    <row r="1532" spans="1:14" x14ac:dyDescent="0.25">
      <c r="A1532" s="3" t="s">
        <v>1543</v>
      </c>
      <c r="B1532" s="4">
        <v>3.78</v>
      </c>
      <c r="C1532" s="4">
        <v>0.85</v>
      </c>
      <c r="D1532" s="4">
        <v>-0.05</v>
      </c>
      <c r="E1532" s="4">
        <v>-1.0312130761321051E-2</v>
      </c>
      <c r="F1532" s="3">
        <v>1530</v>
      </c>
      <c r="G1532" s="3">
        <v>2</v>
      </c>
      <c r="H1532" s="5">
        <v>1716727.5190000001</v>
      </c>
      <c r="I1532" s="5">
        <v>327931727.51899999</v>
      </c>
      <c r="J1532" s="5">
        <v>445722000</v>
      </c>
      <c r="K1532" s="5">
        <v>119507000</v>
      </c>
      <c r="L1532" s="5">
        <v>1798120000</v>
      </c>
      <c r="M1532" s="5">
        <v>86668000</v>
      </c>
      <c r="N1532" s="5">
        <v>-35477000</v>
      </c>
    </row>
    <row r="1533" spans="1:14" x14ac:dyDescent="0.25">
      <c r="A1533" s="3" t="s">
        <v>1544</v>
      </c>
      <c r="B1533" s="4">
        <v>-2.11</v>
      </c>
      <c r="C1533" s="4">
        <v>-0.39</v>
      </c>
      <c r="D1533" s="4">
        <v>-0.38</v>
      </c>
      <c r="E1533" s="4">
        <v>-1.0313153752592921E-2</v>
      </c>
      <c r="F1533" s="3">
        <v>1531</v>
      </c>
      <c r="G1533" s="3">
        <v>2</v>
      </c>
      <c r="H1533" s="5">
        <v>3711727.98</v>
      </c>
      <c r="I1533" s="5">
        <v>2271727.98</v>
      </c>
      <c r="J1533" s="5">
        <v>0</v>
      </c>
      <c r="K1533" s="5">
        <v>1440000</v>
      </c>
      <c r="L1533" s="5">
        <v>0</v>
      </c>
      <c r="M1533" s="5">
        <v>-1079000</v>
      </c>
      <c r="N1533" s="5">
        <v>-920000</v>
      </c>
    </row>
    <row r="1534" spans="1:14" x14ac:dyDescent="0.25">
      <c r="A1534" s="3" t="s">
        <v>1545</v>
      </c>
      <c r="B1534" s="4">
        <v>-2.19</v>
      </c>
      <c r="C1534" s="4">
        <v>-0.41</v>
      </c>
      <c r="D1534" s="4">
        <v>-0.35</v>
      </c>
      <c r="E1534" s="4">
        <v>-1.03156402413127E-2</v>
      </c>
      <c r="F1534" s="3">
        <v>1532</v>
      </c>
      <c r="G1534" s="3">
        <v>2</v>
      </c>
      <c r="H1534" s="5">
        <v>305695141.41000003</v>
      </c>
      <c r="I1534" s="5">
        <v>149024141.41</v>
      </c>
      <c r="J1534" s="5">
        <v>11558000</v>
      </c>
      <c r="K1534" s="5">
        <v>168229000</v>
      </c>
      <c r="L1534" s="5">
        <v>0</v>
      </c>
      <c r="M1534" s="5">
        <v>-68108000</v>
      </c>
      <c r="N1534" s="5">
        <v>-61431000</v>
      </c>
    </row>
    <row r="1535" spans="1:14" x14ac:dyDescent="0.25">
      <c r="A1535" s="3" t="s">
        <v>1546</v>
      </c>
      <c r="B1535" s="4">
        <v>-8.8000000000000007</v>
      </c>
      <c r="C1535" s="4">
        <v>-1.8</v>
      </c>
      <c r="D1535" s="4">
        <v>-0.74</v>
      </c>
      <c r="E1535" s="4">
        <v>-1.03160186870769E-2</v>
      </c>
      <c r="F1535" s="3">
        <v>1533</v>
      </c>
      <c r="G1535" s="3">
        <v>2</v>
      </c>
      <c r="H1535" s="5">
        <v>291831618.54000002</v>
      </c>
      <c r="I1535" s="5">
        <v>304573618.54000002</v>
      </c>
      <c r="J1535" s="5">
        <v>17755000</v>
      </c>
      <c r="K1535" s="5">
        <v>5013000</v>
      </c>
      <c r="L1535" s="5">
        <v>46028000</v>
      </c>
      <c r="M1535" s="5">
        <v>-34616000</v>
      </c>
      <c r="N1535" s="5">
        <v>-61410000</v>
      </c>
    </row>
    <row r="1536" spans="1:14" x14ac:dyDescent="0.25">
      <c r="A1536" s="3" t="s">
        <v>1547</v>
      </c>
      <c r="B1536" s="4">
        <v>-1.6</v>
      </c>
      <c r="C1536" s="4">
        <v>-0.28999999999999998</v>
      </c>
      <c r="D1536" s="4">
        <v>-0.27</v>
      </c>
      <c r="E1536" s="4">
        <v>-1.0318647880646729E-2</v>
      </c>
      <c r="F1536" s="3">
        <v>1534</v>
      </c>
      <c r="G1536" s="3">
        <v>2</v>
      </c>
      <c r="H1536" s="5">
        <v>10901666</v>
      </c>
      <c r="I1536" s="5">
        <v>3309666</v>
      </c>
      <c r="J1536" s="5">
        <v>0</v>
      </c>
      <c r="K1536" s="5">
        <v>7592000</v>
      </c>
      <c r="L1536" s="5">
        <v>11000</v>
      </c>
      <c r="M1536" s="5">
        <v>-2070000</v>
      </c>
      <c r="N1536" s="5">
        <v>-2070000</v>
      </c>
    </row>
    <row r="1537" spans="1:14" x14ac:dyDescent="0.25">
      <c r="A1537" s="3" t="s">
        <v>1548</v>
      </c>
      <c r="B1537" s="4">
        <v>-1.37</v>
      </c>
      <c r="C1537" s="4">
        <v>-0.25</v>
      </c>
      <c r="D1537" s="4">
        <v>-0.15</v>
      </c>
      <c r="E1537" s="4">
        <v>-1.03222768646916E-2</v>
      </c>
      <c r="F1537" s="3">
        <v>1535</v>
      </c>
      <c r="G1537" s="3">
        <v>2</v>
      </c>
      <c r="H1537" s="5">
        <v>32618543.302999999</v>
      </c>
      <c r="I1537" s="5">
        <v>8246173.3029999994</v>
      </c>
      <c r="J1537" s="5">
        <v>0</v>
      </c>
      <c r="K1537" s="5">
        <v>24372370</v>
      </c>
      <c r="L1537" s="5">
        <v>32551200</v>
      </c>
      <c r="M1537" s="5">
        <v>-6000790</v>
      </c>
      <c r="N1537" s="5">
        <v>-6183730</v>
      </c>
    </row>
    <row r="1538" spans="1:14" x14ac:dyDescent="0.25">
      <c r="A1538" s="3" t="s">
        <v>1549</v>
      </c>
      <c r="B1538" s="4">
        <v>-3.92</v>
      </c>
      <c r="C1538" s="4">
        <v>0.2</v>
      </c>
      <c r="D1538" s="4">
        <v>-15.08</v>
      </c>
      <c r="E1538" s="4">
        <v>-1.03238537765025E-2</v>
      </c>
      <c r="F1538" s="3">
        <v>1536</v>
      </c>
      <c r="G1538" s="3">
        <v>2</v>
      </c>
      <c r="H1538" s="5">
        <v>1435868.595</v>
      </c>
      <c r="I1538" s="5">
        <v>1600028.595</v>
      </c>
      <c r="J1538" s="5">
        <v>164570</v>
      </c>
      <c r="K1538" s="5">
        <v>410</v>
      </c>
      <c r="L1538" s="5">
        <v>4150</v>
      </c>
      <c r="M1538" s="5">
        <v>-408390</v>
      </c>
      <c r="N1538" s="5">
        <v>-464340</v>
      </c>
    </row>
    <row r="1539" spans="1:14" x14ac:dyDescent="0.25">
      <c r="A1539" s="3" t="s">
        <v>1550</v>
      </c>
      <c r="B1539" s="4">
        <v>-0.34</v>
      </c>
      <c r="C1539" s="4">
        <v>-0.04</v>
      </c>
      <c r="D1539" s="4">
        <v>-0.01</v>
      </c>
      <c r="E1539" s="4">
        <v>-1.0325992932101879E-2</v>
      </c>
      <c r="F1539" s="3">
        <v>1537</v>
      </c>
      <c r="G1539" s="3">
        <v>2</v>
      </c>
      <c r="H1539" s="5">
        <v>5438504.6100000003</v>
      </c>
      <c r="I1539" s="5">
        <v>2356504.61</v>
      </c>
      <c r="J1539" s="5">
        <v>0</v>
      </c>
      <c r="K1539" s="5">
        <v>3082000</v>
      </c>
      <c r="L1539" s="5">
        <v>0</v>
      </c>
      <c r="M1539" s="5">
        <v>-6847000</v>
      </c>
      <c r="N1539" s="5">
        <v>-3160000</v>
      </c>
    </row>
    <row r="1540" spans="1:14" x14ac:dyDescent="0.25">
      <c r="A1540" s="3" t="s">
        <v>1551</v>
      </c>
      <c r="B1540" s="4">
        <v>-0.89</v>
      </c>
      <c r="C1540" s="4">
        <v>-0.15</v>
      </c>
      <c r="D1540" s="4">
        <v>-0.13</v>
      </c>
      <c r="E1540" s="4">
        <v>-1.032656461485173E-2</v>
      </c>
      <c r="F1540" s="3">
        <v>1538</v>
      </c>
      <c r="G1540" s="3">
        <v>2</v>
      </c>
      <c r="H1540" s="5">
        <v>263.71879999999999</v>
      </c>
      <c r="I1540" s="5">
        <v>2152613.7187999999</v>
      </c>
      <c r="J1540" s="5">
        <v>2325640</v>
      </c>
      <c r="K1540" s="5">
        <v>173290</v>
      </c>
      <c r="L1540" s="5">
        <v>2384490</v>
      </c>
      <c r="M1540" s="5">
        <v>-2421720</v>
      </c>
      <c r="N1540" s="5">
        <v>-5698390</v>
      </c>
    </row>
    <row r="1541" spans="1:14" x14ac:dyDescent="0.25">
      <c r="A1541" s="3" t="s">
        <v>1552</v>
      </c>
      <c r="B1541" s="4">
        <v>-1.32</v>
      </c>
      <c r="C1541" s="4">
        <v>-0.24</v>
      </c>
      <c r="D1541" s="4">
        <v>-0.22</v>
      </c>
      <c r="E1541" s="4">
        <v>-1.0337832472205081E-2</v>
      </c>
      <c r="F1541" s="3">
        <v>1539</v>
      </c>
      <c r="G1541" s="3">
        <v>2</v>
      </c>
      <c r="H1541" s="5">
        <v>16709290.880000001</v>
      </c>
      <c r="I1541" s="5">
        <v>11284290.880000001</v>
      </c>
      <c r="J1541" s="5">
        <v>0</v>
      </c>
      <c r="K1541" s="5">
        <v>5425000</v>
      </c>
      <c r="L1541" s="5">
        <v>16608000</v>
      </c>
      <c r="M1541" s="5">
        <v>-8533000</v>
      </c>
      <c r="N1541" s="5">
        <v>-9470000</v>
      </c>
    </row>
    <row r="1542" spans="1:14" x14ac:dyDescent="0.25">
      <c r="A1542" s="3" t="s">
        <v>1553</v>
      </c>
      <c r="B1542" s="4">
        <v>-4.28</v>
      </c>
      <c r="C1542" s="4">
        <v>-0.85</v>
      </c>
      <c r="D1542" s="4">
        <v>-0.6</v>
      </c>
      <c r="E1542" s="4">
        <v>-1.034164062369731E-2</v>
      </c>
      <c r="F1542" s="3">
        <v>1540</v>
      </c>
      <c r="G1542" s="3">
        <v>2</v>
      </c>
      <c r="H1542" s="5">
        <v>244830812.68000001</v>
      </c>
      <c r="I1542" s="5">
        <v>220260812.68000001</v>
      </c>
      <c r="J1542" s="5">
        <v>0</v>
      </c>
      <c r="K1542" s="5">
        <v>24570000</v>
      </c>
      <c r="L1542" s="5">
        <v>18720000</v>
      </c>
      <c r="M1542" s="5">
        <v>-51520000</v>
      </c>
      <c r="N1542" s="5">
        <v>-132065000</v>
      </c>
    </row>
    <row r="1543" spans="1:14" x14ac:dyDescent="0.25">
      <c r="A1543" s="3" t="s">
        <v>1554</v>
      </c>
      <c r="B1543" s="4">
        <v>4.28</v>
      </c>
      <c r="C1543" s="4">
        <v>0.94</v>
      </c>
      <c r="D1543" s="4">
        <v>0.04</v>
      </c>
      <c r="E1543" s="4">
        <v>-1.034418734384725E-2</v>
      </c>
      <c r="F1543" s="3">
        <v>1541</v>
      </c>
      <c r="G1543" s="3">
        <v>2</v>
      </c>
      <c r="H1543" s="5">
        <v>1358889673.6700001</v>
      </c>
      <c r="I1543" s="5">
        <v>688889673.67000008</v>
      </c>
      <c r="J1543" s="5">
        <v>369000000</v>
      </c>
      <c r="K1543" s="5">
        <v>1039000000</v>
      </c>
      <c r="L1543" s="5">
        <v>6581000000</v>
      </c>
      <c r="M1543" s="5">
        <v>161000000</v>
      </c>
      <c r="N1543" s="5">
        <v>91000000</v>
      </c>
    </row>
    <row r="1544" spans="1:14" x14ac:dyDescent="0.25">
      <c r="A1544" s="3" t="s">
        <v>1555</v>
      </c>
      <c r="B1544" s="4">
        <v>-4.3099999999999996</v>
      </c>
      <c r="C1544" s="4">
        <v>-0.88</v>
      </c>
      <c r="D1544" s="4">
        <v>-0.28999999999999998</v>
      </c>
      <c r="E1544" s="4">
        <v>-1.034995400374677E-2</v>
      </c>
      <c r="F1544" s="3">
        <v>1542</v>
      </c>
      <c r="G1544" s="3">
        <v>2</v>
      </c>
      <c r="H1544" s="5">
        <v>19037641.730799999</v>
      </c>
      <c r="I1544" s="5">
        <v>17980031.730799999</v>
      </c>
      <c r="J1544" s="5">
        <v>204260</v>
      </c>
      <c r="K1544" s="5">
        <v>1261870</v>
      </c>
      <c r="L1544" s="5">
        <v>11105360</v>
      </c>
      <c r="M1544" s="5">
        <v>-4173370</v>
      </c>
      <c r="N1544" s="5">
        <v>-4398480</v>
      </c>
    </row>
    <row r="1545" spans="1:14" x14ac:dyDescent="0.25">
      <c r="A1545" s="3" t="s">
        <v>1556</v>
      </c>
      <c r="B1545" s="4">
        <v>4.4400000000000004</v>
      </c>
      <c r="C1545" s="4">
        <v>0.96</v>
      </c>
      <c r="D1545" s="4">
        <v>0.11</v>
      </c>
      <c r="E1545" s="4">
        <v>-1.037192423492903E-2</v>
      </c>
      <c r="F1545" s="3">
        <v>1543</v>
      </c>
      <c r="G1545" s="3">
        <v>2</v>
      </c>
      <c r="H1545" s="5">
        <v>2819284307.3499999</v>
      </c>
      <c r="I1545" s="5">
        <v>4286084307.3499999</v>
      </c>
      <c r="J1545" s="5">
        <v>2940800000</v>
      </c>
      <c r="K1545" s="5">
        <v>1474000000</v>
      </c>
      <c r="L1545" s="5">
        <v>4209700000</v>
      </c>
      <c r="M1545" s="5">
        <v>966400000</v>
      </c>
      <c r="N1545" s="5">
        <v>934200000</v>
      </c>
    </row>
    <row r="1546" spans="1:14" x14ac:dyDescent="0.25">
      <c r="A1546" s="3" t="s">
        <v>1557</v>
      </c>
      <c r="B1546" s="4">
        <v>-2.48</v>
      </c>
      <c r="C1546" s="4">
        <v>-0.5</v>
      </c>
      <c r="D1546" s="4">
        <v>-0.28000000000000003</v>
      </c>
      <c r="E1546" s="4">
        <v>-1.038269255318503E-2</v>
      </c>
      <c r="F1546" s="3">
        <v>1544</v>
      </c>
      <c r="G1546" s="3">
        <v>2</v>
      </c>
      <c r="H1546" s="5">
        <v>102.36227100000001</v>
      </c>
      <c r="I1546" s="5">
        <v>26805202.362271</v>
      </c>
      <c r="J1546" s="5">
        <v>26890740</v>
      </c>
      <c r="K1546" s="5">
        <v>85640</v>
      </c>
      <c r="L1546" s="5">
        <v>21757000</v>
      </c>
      <c r="M1546" s="5">
        <v>-10812970</v>
      </c>
      <c r="N1546" s="5">
        <v>-31142600</v>
      </c>
    </row>
    <row r="1547" spans="1:14" x14ac:dyDescent="0.25">
      <c r="A1547" s="3" t="s">
        <v>1558</v>
      </c>
      <c r="B1547" s="4">
        <v>-0.48</v>
      </c>
      <c r="C1547" s="4">
        <v>-0.09</v>
      </c>
      <c r="D1547" s="4">
        <v>-0.02</v>
      </c>
      <c r="E1547" s="4">
        <v>-1.038574111399259E-2</v>
      </c>
      <c r="F1547" s="3">
        <v>1545</v>
      </c>
      <c r="G1547" s="3">
        <v>2</v>
      </c>
      <c r="H1547" s="5">
        <v>34652599</v>
      </c>
      <c r="I1547" s="5">
        <v>1400599</v>
      </c>
      <c r="J1547" s="5">
        <v>0</v>
      </c>
      <c r="K1547" s="5">
        <v>33252000</v>
      </c>
      <c r="L1547" s="5">
        <v>20818000</v>
      </c>
      <c r="M1547" s="5">
        <v>-2933000</v>
      </c>
      <c r="N1547" s="5">
        <v>-4826000</v>
      </c>
    </row>
    <row r="1548" spans="1:14" x14ac:dyDescent="0.25">
      <c r="A1548" s="3" t="s">
        <v>1559</v>
      </c>
      <c r="B1548" s="4">
        <v>0.35</v>
      </c>
      <c r="C1548" s="4">
        <v>0.08</v>
      </c>
      <c r="D1548" s="4">
        <v>0.08</v>
      </c>
      <c r="E1548" s="4">
        <v>-1.038896360182918E-2</v>
      </c>
      <c r="F1548" s="3">
        <v>1546</v>
      </c>
      <c r="G1548" s="3">
        <v>2</v>
      </c>
      <c r="H1548" s="5">
        <v>5390000</v>
      </c>
      <c r="I1548" s="5">
        <v>1897000</v>
      </c>
      <c r="J1548" s="5">
        <v>0</v>
      </c>
      <c r="K1548" s="5">
        <v>3493000</v>
      </c>
      <c r="L1548" s="5">
        <v>3272000</v>
      </c>
      <c r="M1548" s="5">
        <v>5443000</v>
      </c>
      <c r="N1548" s="5">
        <v>743000</v>
      </c>
    </row>
    <row r="1549" spans="1:14" x14ac:dyDescent="0.25">
      <c r="A1549" s="3" t="s">
        <v>1560</v>
      </c>
      <c r="B1549" s="4">
        <v>-4.7300000000000004</v>
      </c>
      <c r="C1549" s="4">
        <v>-0.99</v>
      </c>
      <c r="D1549" s="4">
        <v>-0.22</v>
      </c>
      <c r="E1549" s="4">
        <v>-1.039433385558601E-2</v>
      </c>
      <c r="F1549" s="3">
        <v>1547</v>
      </c>
      <c r="G1549" s="3">
        <v>2</v>
      </c>
      <c r="H1549" s="5">
        <v>29394262.850000001</v>
      </c>
      <c r="I1549" s="5">
        <v>33746262.850000001</v>
      </c>
      <c r="J1549" s="5">
        <v>10324000</v>
      </c>
      <c r="K1549" s="5">
        <v>5972000</v>
      </c>
      <c r="L1549" s="5">
        <v>79720000</v>
      </c>
      <c r="M1549" s="5">
        <v>-7135000</v>
      </c>
      <c r="N1549" s="5">
        <v>-11801000</v>
      </c>
    </row>
    <row r="1550" spans="1:14" x14ac:dyDescent="0.25">
      <c r="A1550" s="3" t="s">
        <v>1561</v>
      </c>
      <c r="B1550" s="4">
        <v>2.33</v>
      </c>
      <c r="C1550" s="4">
        <v>0.48</v>
      </c>
      <c r="D1550" s="4">
        <v>0.4</v>
      </c>
      <c r="E1550" s="4">
        <v>-1.0396953198792001E-2</v>
      </c>
      <c r="F1550" s="3">
        <v>1548</v>
      </c>
      <c r="G1550" s="3">
        <v>2</v>
      </c>
      <c r="H1550" s="5">
        <v>4295125107.3599997</v>
      </c>
      <c r="I1550" s="5">
        <v>3795733107.3600001</v>
      </c>
      <c r="J1550" s="5">
        <v>0</v>
      </c>
      <c r="K1550" s="5">
        <v>499392000</v>
      </c>
      <c r="L1550" s="5">
        <v>4261885000</v>
      </c>
      <c r="M1550" s="5">
        <v>1630457000</v>
      </c>
      <c r="N1550" s="5">
        <v>1220048000</v>
      </c>
    </row>
    <row r="1551" spans="1:14" x14ac:dyDescent="0.25">
      <c r="A1551" s="3" t="s">
        <v>1562</v>
      </c>
      <c r="B1551" s="4">
        <v>0.65</v>
      </c>
      <c r="C1551" s="4">
        <v>0.14000000000000001</v>
      </c>
      <c r="D1551" s="4">
        <v>0.1</v>
      </c>
      <c r="E1551" s="4">
        <v>-1.039742007749974E-2</v>
      </c>
      <c r="F1551" s="3">
        <v>1549</v>
      </c>
      <c r="G1551" s="3">
        <v>2</v>
      </c>
      <c r="H1551" s="5">
        <v>8034368.9400000004</v>
      </c>
      <c r="I1551" s="5">
        <v>4242048.9400000004</v>
      </c>
      <c r="J1551" s="5">
        <v>0</v>
      </c>
      <c r="K1551" s="5">
        <v>3792320</v>
      </c>
      <c r="L1551" s="5">
        <v>16020000</v>
      </c>
      <c r="M1551" s="5">
        <v>6538290</v>
      </c>
      <c r="N1551" s="5">
        <v>3594730</v>
      </c>
    </row>
    <row r="1552" spans="1:14" x14ac:dyDescent="0.25">
      <c r="A1552" s="3" t="s">
        <v>1563</v>
      </c>
      <c r="B1552" s="4">
        <v>-3.1</v>
      </c>
      <c r="C1552" s="4">
        <v>-0.62</v>
      </c>
      <c r="D1552" s="4">
        <v>-0.56999999999999995</v>
      </c>
      <c r="E1552" s="4">
        <v>-1.0401626854887399E-2</v>
      </c>
      <c r="F1552" s="3">
        <v>1550</v>
      </c>
      <c r="G1552" s="3">
        <v>2</v>
      </c>
      <c r="H1552" s="5">
        <v>24581826</v>
      </c>
      <c r="I1552" s="5">
        <v>24673176</v>
      </c>
      <c r="J1552" s="5">
        <v>150000</v>
      </c>
      <c r="K1552" s="5">
        <v>58650</v>
      </c>
      <c r="L1552" s="5">
        <v>615870</v>
      </c>
      <c r="M1552" s="5">
        <v>-7962060</v>
      </c>
      <c r="N1552" s="5">
        <v>-8706150</v>
      </c>
    </row>
    <row r="1553" spans="1:14" x14ac:dyDescent="0.25">
      <c r="A1553" s="3" t="s">
        <v>1564</v>
      </c>
      <c r="B1553" s="4">
        <v>2.27</v>
      </c>
      <c r="C1553" s="4">
        <v>0.48</v>
      </c>
      <c r="D1553" s="4">
        <v>0.13</v>
      </c>
      <c r="E1553" s="4">
        <v>-1.04119016822022E-2</v>
      </c>
      <c r="F1553" s="3">
        <v>1551</v>
      </c>
      <c r="G1553" s="3">
        <v>2</v>
      </c>
      <c r="H1553" s="5">
        <v>70188463.601300001</v>
      </c>
      <c r="I1553" s="5">
        <v>62366463.601300001</v>
      </c>
      <c r="J1553" s="5">
        <v>9684000</v>
      </c>
      <c r="K1553" s="5">
        <v>17506000</v>
      </c>
      <c r="L1553" s="5">
        <v>285391000</v>
      </c>
      <c r="M1553" s="5">
        <v>27464000</v>
      </c>
      <c r="N1553" s="5">
        <v>10284000</v>
      </c>
    </row>
    <row r="1554" spans="1:14" x14ac:dyDescent="0.25">
      <c r="A1554" s="3" t="s">
        <v>1565</v>
      </c>
      <c r="B1554" s="4">
        <v>-5.24</v>
      </c>
      <c r="C1554" s="4">
        <v>-1.0900000000000001</v>
      </c>
      <c r="D1554" s="4">
        <v>-0.46</v>
      </c>
      <c r="E1554" s="4">
        <v>-1.0413917073039781E-2</v>
      </c>
      <c r="F1554" s="3">
        <v>1552</v>
      </c>
      <c r="G1554" s="3">
        <v>2</v>
      </c>
      <c r="H1554" s="5">
        <v>18266429.0295</v>
      </c>
      <c r="I1554" s="5">
        <v>19962039.0295</v>
      </c>
      <c r="J1554" s="5">
        <v>2360490</v>
      </c>
      <c r="K1554" s="5">
        <v>664880</v>
      </c>
      <c r="L1554" s="5">
        <v>7738840</v>
      </c>
      <c r="M1554" s="5">
        <v>-3808220</v>
      </c>
      <c r="N1554" s="5">
        <v>-4476760</v>
      </c>
    </row>
    <row r="1555" spans="1:14" x14ac:dyDescent="0.25">
      <c r="A1555" s="3" t="s">
        <v>1566</v>
      </c>
      <c r="B1555" s="4">
        <v>0</v>
      </c>
      <c r="C1555" s="4">
        <v>-0.01</v>
      </c>
      <c r="D1555" s="4">
        <v>0.17</v>
      </c>
      <c r="E1555" s="4">
        <v>-1.041502262636403E-2</v>
      </c>
      <c r="F1555" s="3">
        <v>1553</v>
      </c>
      <c r="G1555" s="3">
        <v>2</v>
      </c>
      <c r="H1555" s="5">
        <v>199.999999</v>
      </c>
      <c r="I1555" s="5">
        <v>59.999999000000003</v>
      </c>
      <c r="J1555" s="5">
        <v>0</v>
      </c>
      <c r="K1555" s="5">
        <v>140</v>
      </c>
      <c r="L1555" s="5">
        <v>0</v>
      </c>
      <c r="M1555" s="5">
        <v>-160360</v>
      </c>
      <c r="N1555" s="5">
        <v>5660</v>
      </c>
    </row>
    <row r="1556" spans="1:14" x14ac:dyDescent="0.25">
      <c r="A1556" s="3" t="s">
        <v>1567</v>
      </c>
      <c r="B1556" s="4">
        <v>-7.21</v>
      </c>
      <c r="C1556" s="4">
        <v>-1.5</v>
      </c>
      <c r="D1556" s="4">
        <v>-0.77</v>
      </c>
      <c r="E1556" s="4">
        <v>-1.043908126221099E-2</v>
      </c>
      <c r="F1556" s="3">
        <v>1554</v>
      </c>
      <c r="G1556" s="3">
        <v>2</v>
      </c>
      <c r="H1556" s="5">
        <v>83927624.879999995</v>
      </c>
      <c r="I1556" s="5">
        <v>63280624.880000003</v>
      </c>
      <c r="J1556" s="5">
        <v>10523000</v>
      </c>
      <c r="K1556" s="5">
        <v>31170000</v>
      </c>
      <c r="L1556" s="5">
        <v>9680000</v>
      </c>
      <c r="M1556" s="5">
        <v>-8782000</v>
      </c>
      <c r="N1556" s="5">
        <v>-41746000</v>
      </c>
    </row>
    <row r="1557" spans="1:14" x14ac:dyDescent="0.25">
      <c r="A1557" s="3" t="s">
        <v>1568</v>
      </c>
      <c r="B1557" s="4">
        <v>-0.8</v>
      </c>
      <c r="C1557" s="4">
        <v>-0.17</v>
      </c>
      <c r="D1557" s="4">
        <v>-0.15</v>
      </c>
      <c r="E1557" s="4">
        <v>-1.044391273330935E-2</v>
      </c>
      <c r="F1557" s="3">
        <v>1555</v>
      </c>
      <c r="G1557" s="3">
        <v>2</v>
      </c>
      <c r="H1557" s="5">
        <v>93890992.045000002</v>
      </c>
      <c r="I1557" s="5">
        <v>15658992.045</v>
      </c>
      <c r="J1557" s="5">
        <v>0</v>
      </c>
      <c r="K1557" s="5">
        <v>78232000</v>
      </c>
      <c r="L1557" s="5">
        <v>26033000</v>
      </c>
      <c r="M1557" s="5">
        <v>-19552000</v>
      </c>
      <c r="N1557" s="5">
        <v>-15628000</v>
      </c>
    </row>
    <row r="1558" spans="1:14" x14ac:dyDescent="0.25">
      <c r="A1558" s="3" t="s">
        <v>1569</v>
      </c>
      <c r="B1558" s="4">
        <v>-0.5</v>
      </c>
      <c r="C1558" s="4">
        <v>-0.11</v>
      </c>
      <c r="D1558" s="4">
        <v>-0.11</v>
      </c>
      <c r="E1558" s="4">
        <v>-1.0448511155824909E-2</v>
      </c>
      <c r="F1558" s="3">
        <v>1556</v>
      </c>
      <c r="G1558" s="3">
        <v>2</v>
      </c>
      <c r="H1558" s="5">
        <v>345012366.06</v>
      </c>
      <c r="I1558" s="5">
        <v>38772366.060000002</v>
      </c>
      <c r="J1558" s="5">
        <v>10929000</v>
      </c>
      <c r="K1558" s="5">
        <v>317169000</v>
      </c>
      <c r="L1558" s="5">
        <v>57775000</v>
      </c>
      <c r="M1558" s="5">
        <v>-76808000</v>
      </c>
      <c r="N1558" s="5">
        <v>-95894000</v>
      </c>
    </row>
    <row r="1559" spans="1:14" x14ac:dyDescent="0.25">
      <c r="A1559" s="3" t="s">
        <v>1570</v>
      </c>
      <c r="B1559" s="4">
        <v>-3.58</v>
      </c>
      <c r="C1559" s="4">
        <v>-0.74</v>
      </c>
      <c r="D1559" s="4">
        <v>-0.63</v>
      </c>
      <c r="E1559" s="4">
        <v>-1.046284242506621E-2</v>
      </c>
      <c r="F1559" s="3">
        <v>1557</v>
      </c>
      <c r="G1559" s="3">
        <v>2</v>
      </c>
      <c r="H1559" s="5">
        <v>89340513.060000002</v>
      </c>
      <c r="I1559" s="5">
        <v>65264513.060000002</v>
      </c>
      <c r="J1559" s="5">
        <v>1702000</v>
      </c>
      <c r="K1559" s="5">
        <v>25778000</v>
      </c>
      <c r="L1559" s="5">
        <v>135000</v>
      </c>
      <c r="M1559" s="5">
        <v>-18208000</v>
      </c>
      <c r="N1559" s="5">
        <v>-18435000</v>
      </c>
    </row>
    <row r="1560" spans="1:14" x14ac:dyDescent="0.25">
      <c r="A1560" s="3" t="s">
        <v>1571</v>
      </c>
      <c r="B1560" s="4">
        <v>-0.25</v>
      </c>
      <c r="C1560" s="4">
        <v>-7.0000000000000007E-2</v>
      </c>
      <c r="D1560" s="4">
        <v>-0.04</v>
      </c>
      <c r="E1560" s="4">
        <v>-1.047416368415147E-2</v>
      </c>
      <c r="F1560" s="3">
        <v>1558</v>
      </c>
      <c r="G1560" s="3">
        <v>2</v>
      </c>
      <c r="H1560" s="5">
        <v>52749053.090000004</v>
      </c>
      <c r="I1560" s="5">
        <v>-1970946.909999996</v>
      </c>
      <c r="J1560" s="5">
        <v>0</v>
      </c>
      <c r="K1560" s="5">
        <v>54720000</v>
      </c>
      <c r="L1560" s="5">
        <v>226972000</v>
      </c>
      <c r="M1560" s="5">
        <v>7739000</v>
      </c>
      <c r="N1560" s="5">
        <v>-6271000</v>
      </c>
    </row>
    <row r="1561" spans="1:14" x14ac:dyDescent="0.25">
      <c r="A1561" s="3" t="s">
        <v>1572</v>
      </c>
      <c r="B1561" s="4">
        <v>-5.38</v>
      </c>
      <c r="C1561" s="4">
        <v>-1.1200000000000001</v>
      </c>
      <c r="D1561" s="4">
        <v>-0.81</v>
      </c>
      <c r="E1561" s="4">
        <v>-1.048146494453678E-2</v>
      </c>
      <c r="F1561" s="3">
        <v>1559</v>
      </c>
      <c r="G1561" s="3">
        <v>2</v>
      </c>
      <c r="H1561" s="5">
        <v>35864053.68</v>
      </c>
      <c r="I1561" s="5">
        <v>35596053.68</v>
      </c>
      <c r="J1561" s="5">
        <v>137000</v>
      </c>
      <c r="K1561" s="5">
        <v>405000</v>
      </c>
      <c r="L1561" s="5">
        <v>1271000</v>
      </c>
      <c r="M1561" s="5">
        <v>-6611000</v>
      </c>
      <c r="N1561" s="5">
        <v>-7121000</v>
      </c>
    </row>
    <row r="1562" spans="1:14" x14ac:dyDescent="0.25">
      <c r="A1562" s="3" t="s">
        <v>1573</v>
      </c>
      <c r="B1562" s="4">
        <v>0.78</v>
      </c>
      <c r="C1562" s="4">
        <v>0.14000000000000001</v>
      </c>
      <c r="D1562" s="4">
        <v>0.04</v>
      </c>
      <c r="E1562" s="4">
        <v>-1.0489453911026779E-2</v>
      </c>
      <c r="F1562" s="3">
        <v>1560</v>
      </c>
      <c r="G1562" s="3">
        <v>2</v>
      </c>
      <c r="H1562" s="5">
        <v>2398.8384000000001</v>
      </c>
      <c r="I1562" s="5">
        <v>103391398.83840001</v>
      </c>
      <c r="J1562" s="5">
        <v>234286000</v>
      </c>
      <c r="K1562" s="5">
        <v>130897000</v>
      </c>
      <c r="L1562" s="5">
        <v>849826000</v>
      </c>
      <c r="M1562" s="5">
        <v>132430000</v>
      </c>
      <c r="N1562" s="5">
        <v>23298000</v>
      </c>
    </row>
    <row r="1563" spans="1:14" x14ac:dyDescent="0.25">
      <c r="A1563" s="3" t="s">
        <v>1574</v>
      </c>
      <c r="B1563" s="4">
        <v>-7.0000000000000007E-2</v>
      </c>
      <c r="C1563" s="4">
        <v>0.43</v>
      </c>
      <c r="D1563" s="4">
        <v>-7.13</v>
      </c>
      <c r="E1563" s="4">
        <v>-1.0508568879427631E-2</v>
      </c>
      <c r="F1563" s="3">
        <v>1561</v>
      </c>
      <c r="G1563" s="3">
        <v>2</v>
      </c>
      <c r="H1563" s="5">
        <v>9212.9843999999994</v>
      </c>
      <c r="I1563" s="5">
        <v>76062.984400000001</v>
      </c>
      <c r="J1563" s="5">
        <v>71460</v>
      </c>
      <c r="K1563" s="5">
        <v>4610</v>
      </c>
      <c r="L1563" s="5">
        <v>13740</v>
      </c>
      <c r="M1563" s="5">
        <v>-1109450</v>
      </c>
      <c r="N1563" s="5">
        <v>-1439740</v>
      </c>
    </row>
    <row r="1564" spans="1:14" x14ac:dyDescent="0.25">
      <c r="A1564" s="3" t="s">
        <v>1575</v>
      </c>
      <c r="B1564" s="4">
        <v>-1.59</v>
      </c>
      <c r="C1564" s="4">
        <v>-0.35</v>
      </c>
      <c r="D1564" s="4">
        <v>-0.34</v>
      </c>
      <c r="E1564" s="4">
        <v>-1.0511701914473089E-2</v>
      </c>
      <c r="F1564" s="3">
        <v>1562</v>
      </c>
      <c r="G1564" s="3">
        <v>2</v>
      </c>
      <c r="H1564" s="5">
        <v>130107072</v>
      </c>
      <c r="I1564" s="5">
        <v>42878072</v>
      </c>
      <c r="J1564" s="5">
        <v>0</v>
      </c>
      <c r="K1564" s="5">
        <v>87229000</v>
      </c>
      <c r="L1564" s="5">
        <v>0</v>
      </c>
      <c r="M1564" s="5">
        <v>-27003000</v>
      </c>
      <c r="N1564" s="5">
        <v>-73897000</v>
      </c>
    </row>
    <row r="1565" spans="1:14" x14ac:dyDescent="0.25">
      <c r="A1565" s="3" t="s">
        <v>1576</v>
      </c>
      <c r="B1565" s="4">
        <v>0.54</v>
      </c>
      <c r="C1565" s="4">
        <v>0.08</v>
      </c>
      <c r="D1565" s="4">
        <v>0.04</v>
      </c>
      <c r="E1565" s="4">
        <v>-1.051427461638367E-2</v>
      </c>
      <c r="F1565" s="3">
        <v>1563</v>
      </c>
      <c r="G1565" s="3">
        <v>2</v>
      </c>
      <c r="H1565" s="5">
        <v>7557246.5599999996</v>
      </c>
      <c r="I1565" s="5">
        <v>-67793753.439999998</v>
      </c>
      <c r="J1565" s="5">
        <v>0</v>
      </c>
      <c r="K1565" s="5">
        <v>75351000</v>
      </c>
      <c r="L1565" s="5">
        <v>339104000</v>
      </c>
      <c r="M1565" s="5">
        <v>-125199000</v>
      </c>
      <c r="N1565" s="5">
        <v>30833000</v>
      </c>
    </row>
    <row r="1566" spans="1:14" x14ac:dyDescent="0.25">
      <c r="A1566" s="3" t="s">
        <v>1577</v>
      </c>
      <c r="B1566" s="4">
        <v>-2.84</v>
      </c>
      <c r="C1566" s="4">
        <v>-0.62</v>
      </c>
      <c r="D1566" s="4">
        <v>-0.32</v>
      </c>
      <c r="E1566" s="4">
        <v>-1.051432053857377E-2</v>
      </c>
      <c r="F1566" s="3">
        <v>1564</v>
      </c>
      <c r="G1566" s="3">
        <v>2</v>
      </c>
      <c r="H1566" s="5">
        <v>24300455.086800002</v>
      </c>
      <c r="I1566" s="5">
        <v>20794565.086800002</v>
      </c>
      <c r="J1566" s="5">
        <v>7362840</v>
      </c>
      <c r="K1566" s="5">
        <v>10868730</v>
      </c>
      <c r="L1566" s="5">
        <v>14604620</v>
      </c>
      <c r="M1566" s="5">
        <v>-7327010</v>
      </c>
      <c r="N1566" s="5">
        <v>-10345260</v>
      </c>
    </row>
    <row r="1567" spans="1:14" x14ac:dyDescent="0.25">
      <c r="A1567" s="3" t="s">
        <v>1578</v>
      </c>
      <c r="B1567" s="4">
        <v>-3.18</v>
      </c>
      <c r="C1567" s="4">
        <v>-0.69</v>
      </c>
      <c r="D1567" s="4">
        <v>-0.45</v>
      </c>
      <c r="E1567" s="4">
        <v>-1.053122013948191E-2</v>
      </c>
      <c r="F1567" s="3">
        <v>1565</v>
      </c>
      <c r="G1567" s="3">
        <v>2</v>
      </c>
      <c r="H1567" s="5">
        <v>117611172.12</v>
      </c>
      <c r="I1567" s="5">
        <v>113764172.12</v>
      </c>
      <c r="J1567" s="5">
        <v>196000</v>
      </c>
      <c r="K1567" s="5">
        <v>4043000</v>
      </c>
      <c r="L1567" s="5">
        <v>77000</v>
      </c>
      <c r="M1567" s="5">
        <v>-35802000</v>
      </c>
      <c r="N1567" s="5">
        <v>-32898000</v>
      </c>
    </row>
    <row r="1568" spans="1:14" x14ac:dyDescent="0.25">
      <c r="A1568" s="3" t="s">
        <v>1579</v>
      </c>
      <c r="B1568" s="4">
        <v>2.0699999999999998</v>
      </c>
      <c r="C1568" s="4">
        <v>0.4</v>
      </c>
      <c r="D1568" s="4">
        <v>0.01</v>
      </c>
      <c r="E1568" s="4">
        <v>-1.054241474330639E-2</v>
      </c>
      <c r="F1568" s="3">
        <v>1566</v>
      </c>
      <c r="G1568" s="3">
        <v>2</v>
      </c>
      <c r="H1568" s="5">
        <v>7747613849.5</v>
      </c>
      <c r="I1568" s="5">
        <v>8102613849.5</v>
      </c>
      <c r="J1568" s="5">
        <v>6156000000</v>
      </c>
      <c r="K1568" s="5">
        <v>5801000000</v>
      </c>
      <c r="L1568" s="5">
        <v>20537000000</v>
      </c>
      <c r="M1568" s="5">
        <v>3912000000</v>
      </c>
      <c r="N1568" s="5">
        <v>3275000000</v>
      </c>
    </row>
    <row r="1569" spans="1:14" x14ac:dyDescent="0.25">
      <c r="A1569" s="3" t="s">
        <v>1580</v>
      </c>
      <c r="B1569" s="4">
        <v>1.52</v>
      </c>
      <c r="C1569" s="4">
        <v>0.27</v>
      </c>
      <c r="D1569" s="4">
        <v>0.17</v>
      </c>
      <c r="E1569" s="4">
        <v>-1.054676089591499E-2</v>
      </c>
      <c r="F1569" s="3">
        <v>1567</v>
      </c>
      <c r="G1569" s="3">
        <v>2</v>
      </c>
      <c r="H1569" s="5">
        <v>219976600</v>
      </c>
      <c r="I1569" s="5">
        <v>221427600</v>
      </c>
      <c r="J1569" s="5">
        <v>4000000</v>
      </c>
      <c r="K1569" s="5">
        <v>2549000</v>
      </c>
      <c r="L1569" s="5">
        <v>234078000</v>
      </c>
      <c r="M1569" s="5">
        <v>145497000</v>
      </c>
      <c r="N1569" s="5">
        <v>55404000</v>
      </c>
    </row>
    <row r="1570" spans="1:14" x14ac:dyDescent="0.25">
      <c r="A1570" s="3" t="s">
        <v>1581</v>
      </c>
      <c r="B1570" s="4">
        <v>0.02</v>
      </c>
      <c r="C1570" s="4">
        <v>-0.04</v>
      </c>
      <c r="D1570" s="4">
        <v>-0.03</v>
      </c>
      <c r="E1570" s="4">
        <v>-1.0552662390351681E-2</v>
      </c>
      <c r="F1570" s="3">
        <v>1568</v>
      </c>
      <c r="G1570" s="3">
        <v>2</v>
      </c>
      <c r="H1570" s="5">
        <v>5030764.05</v>
      </c>
      <c r="I1570" s="5">
        <v>390424.04999999981</v>
      </c>
      <c r="J1570" s="5">
        <v>0</v>
      </c>
      <c r="K1570" s="5">
        <v>4640340</v>
      </c>
      <c r="L1570" s="5">
        <v>42296100</v>
      </c>
      <c r="M1570" s="5">
        <v>16239610</v>
      </c>
      <c r="N1570" s="5">
        <v>-2748370</v>
      </c>
    </row>
    <row r="1571" spans="1:14" x14ac:dyDescent="0.25">
      <c r="A1571" s="3" t="s">
        <v>1582</v>
      </c>
      <c r="B1571" s="4">
        <v>0.98</v>
      </c>
      <c r="C1571" s="4">
        <v>0.15</v>
      </c>
      <c r="D1571" s="4">
        <v>0.14000000000000001</v>
      </c>
      <c r="E1571" s="4">
        <v>-1.0565054152178821E-2</v>
      </c>
      <c r="F1571" s="3">
        <v>1569</v>
      </c>
      <c r="G1571" s="3">
        <v>2</v>
      </c>
      <c r="H1571" s="5">
        <v>435079203.19999999</v>
      </c>
      <c r="I1571" s="5">
        <v>138915203.19999999</v>
      </c>
      <c r="J1571" s="5">
        <v>38686000</v>
      </c>
      <c r="K1571" s="5">
        <v>334850000</v>
      </c>
      <c r="L1571" s="5">
        <v>341330000</v>
      </c>
      <c r="M1571" s="5">
        <v>142025000</v>
      </c>
      <c r="N1571" s="5">
        <v>124105000</v>
      </c>
    </row>
    <row r="1572" spans="1:14" x14ac:dyDescent="0.25">
      <c r="A1572" s="3" t="s">
        <v>1583</v>
      </c>
      <c r="B1572" s="4">
        <v>-3.76</v>
      </c>
      <c r="C1572" s="4">
        <v>-0.81</v>
      </c>
      <c r="D1572" s="4">
        <v>-0.7</v>
      </c>
      <c r="E1572" s="4">
        <v>-1.056719515766257E-2</v>
      </c>
      <c r="F1572" s="3">
        <v>1570</v>
      </c>
      <c r="G1572" s="3">
        <v>2</v>
      </c>
      <c r="H1572" s="5">
        <v>84808917.909799993</v>
      </c>
      <c r="I1572" s="5">
        <v>78093917.909799993</v>
      </c>
      <c r="J1572" s="5">
        <v>0</v>
      </c>
      <c r="K1572" s="5">
        <v>6715000</v>
      </c>
      <c r="L1572" s="5">
        <v>5861000</v>
      </c>
      <c r="M1572" s="5">
        <v>-20783000</v>
      </c>
      <c r="N1572" s="5">
        <v>-21511000</v>
      </c>
    </row>
    <row r="1573" spans="1:14" x14ac:dyDescent="0.25">
      <c r="A1573" s="3" t="s">
        <v>1584</v>
      </c>
      <c r="B1573" s="4">
        <v>0.55000000000000004</v>
      </c>
      <c r="C1573" s="4">
        <v>0.06</v>
      </c>
      <c r="D1573" s="4">
        <v>0.06</v>
      </c>
      <c r="E1573" s="4">
        <v>-1.0574392982954661E-2</v>
      </c>
      <c r="F1573" s="3">
        <v>1571</v>
      </c>
      <c r="G1573" s="3">
        <v>2</v>
      </c>
      <c r="H1573" s="5">
        <v>6944968.4400000004</v>
      </c>
      <c r="I1573" s="5">
        <v>6944968.4400000004</v>
      </c>
      <c r="J1573" s="5">
        <v>0</v>
      </c>
      <c r="K1573" s="5">
        <v>0</v>
      </c>
      <c r="L1573" s="5">
        <v>15121000</v>
      </c>
      <c r="M1573" s="5">
        <v>12613000</v>
      </c>
      <c r="N1573" s="5">
        <v>12619000</v>
      </c>
    </row>
    <row r="1574" spans="1:14" x14ac:dyDescent="0.25">
      <c r="A1574" s="3" t="s">
        <v>1585</v>
      </c>
      <c r="B1574" s="4">
        <v>0.93</v>
      </c>
      <c r="C1574" s="4">
        <v>0.14000000000000001</v>
      </c>
      <c r="D1574" s="4">
        <v>0.05</v>
      </c>
      <c r="E1574" s="4">
        <v>-1.058036296990544E-2</v>
      </c>
      <c r="F1574" s="3">
        <v>1572</v>
      </c>
      <c r="G1574" s="3">
        <v>2</v>
      </c>
      <c r="H1574" s="5">
        <v>6712154.2000000002</v>
      </c>
      <c r="I1574" s="5">
        <v>5541694.2000000002</v>
      </c>
      <c r="J1574" s="5">
        <v>0</v>
      </c>
      <c r="K1574" s="5">
        <v>1170460</v>
      </c>
      <c r="L1574" s="5">
        <v>32044580</v>
      </c>
      <c r="M1574" s="5">
        <v>5959240</v>
      </c>
      <c r="N1574" s="5">
        <v>3119100</v>
      </c>
    </row>
    <row r="1575" spans="1:14" x14ac:dyDescent="0.25">
      <c r="A1575" s="3" t="s">
        <v>1586</v>
      </c>
      <c r="B1575" s="4">
        <v>0.88</v>
      </c>
      <c r="C1575" s="4">
        <v>0.12</v>
      </c>
      <c r="D1575" s="4">
        <v>0.1</v>
      </c>
      <c r="E1575" s="4">
        <v>-1.059755902256144E-2</v>
      </c>
      <c r="F1575" s="3">
        <v>1573</v>
      </c>
      <c r="G1575" s="3">
        <v>2</v>
      </c>
      <c r="H1575" s="5">
        <v>130124740.56</v>
      </c>
      <c r="I1575" s="5">
        <v>229946740.56</v>
      </c>
      <c r="J1575" s="5">
        <v>107593000</v>
      </c>
      <c r="K1575" s="5">
        <v>7771000</v>
      </c>
      <c r="L1575" s="5">
        <v>356262000</v>
      </c>
      <c r="M1575" s="5">
        <v>260968000</v>
      </c>
      <c r="N1575" s="5">
        <v>150950000</v>
      </c>
    </row>
    <row r="1576" spans="1:14" x14ac:dyDescent="0.25">
      <c r="A1576" s="3" t="s">
        <v>1587</v>
      </c>
      <c r="B1576" s="4">
        <v>-2.58</v>
      </c>
      <c r="C1576" s="4">
        <v>0.2</v>
      </c>
      <c r="D1576" s="4">
        <v>-12.21</v>
      </c>
      <c r="E1576" s="4">
        <v>-1.05995767121667E-2</v>
      </c>
      <c r="F1576" s="3">
        <v>1574</v>
      </c>
      <c r="G1576" s="3">
        <v>2</v>
      </c>
      <c r="H1576" s="5">
        <v>412930.929</v>
      </c>
      <c r="I1576" s="5">
        <v>405120.929</v>
      </c>
      <c r="J1576" s="5">
        <v>0</v>
      </c>
      <c r="K1576" s="5">
        <v>7810</v>
      </c>
      <c r="L1576" s="5">
        <v>10</v>
      </c>
      <c r="M1576" s="5">
        <v>-157190</v>
      </c>
      <c r="N1576" s="5">
        <v>-142880</v>
      </c>
    </row>
    <row r="1577" spans="1:14" x14ac:dyDescent="0.25">
      <c r="A1577" s="3" t="s">
        <v>1588</v>
      </c>
      <c r="B1577" s="4">
        <v>-1.0900000000000001</v>
      </c>
      <c r="C1577" s="4">
        <v>-0.28000000000000003</v>
      </c>
      <c r="D1577" s="4">
        <v>-0.24</v>
      </c>
      <c r="E1577" s="4">
        <v>-1.05996166844507E-2</v>
      </c>
      <c r="F1577" s="3">
        <v>1575</v>
      </c>
      <c r="G1577" s="3">
        <v>2</v>
      </c>
      <c r="H1577" s="5">
        <v>5029803.96</v>
      </c>
      <c r="I1577" s="5">
        <v>4468043.96</v>
      </c>
      <c r="J1577" s="5">
        <v>109600</v>
      </c>
      <c r="K1577" s="5">
        <v>671360</v>
      </c>
      <c r="L1577" s="5">
        <v>1828980</v>
      </c>
      <c r="M1577" s="5">
        <v>-4098590</v>
      </c>
      <c r="N1577" s="5">
        <v>-8352650</v>
      </c>
    </row>
    <row r="1578" spans="1:14" x14ac:dyDescent="0.25">
      <c r="A1578" s="3" t="s">
        <v>1589</v>
      </c>
      <c r="B1578" s="4">
        <v>1.03</v>
      </c>
      <c r="C1578" s="4">
        <v>0.15</v>
      </c>
      <c r="D1578" s="4">
        <v>0.08</v>
      </c>
      <c r="E1578" s="4">
        <v>-1.0607574340129241E-2</v>
      </c>
      <c r="F1578" s="3">
        <v>1576</v>
      </c>
      <c r="G1578" s="3">
        <v>2</v>
      </c>
      <c r="H1578" s="5">
        <v>58795781.68</v>
      </c>
      <c r="I1578" s="5">
        <v>58425781.68</v>
      </c>
      <c r="J1578" s="5">
        <v>0</v>
      </c>
      <c r="K1578" s="5">
        <v>370000</v>
      </c>
      <c r="L1578" s="5">
        <v>406399000</v>
      </c>
      <c r="M1578" s="5">
        <v>56673000</v>
      </c>
      <c r="N1578" s="5">
        <v>20271000</v>
      </c>
    </row>
    <row r="1579" spans="1:14" x14ac:dyDescent="0.25">
      <c r="A1579" s="3" t="s">
        <v>1590</v>
      </c>
      <c r="B1579" s="4">
        <v>-6.19</v>
      </c>
      <c r="C1579" s="4">
        <v>-1.38</v>
      </c>
      <c r="D1579" s="4">
        <v>-0.17</v>
      </c>
      <c r="E1579" s="4">
        <v>-1.060791536448904E-2</v>
      </c>
      <c r="F1579" s="3">
        <v>1577</v>
      </c>
      <c r="G1579" s="3">
        <v>2</v>
      </c>
      <c r="H1579" s="5">
        <v>551433542.17999995</v>
      </c>
      <c r="I1579" s="5">
        <v>512384542.17999989</v>
      </c>
      <c r="J1579" s="5">
        <v>0</v>
      </c>
      <c r="K1579" s="5">
        <v>39049000</v>
      </c>
      <c r="L1579" s="5">
        <v>3490220000</v>
      </c>
      <c r="M1579" s="5">
        <v>-82762000</v>
      </c>
      <c r="N1579" s="5">
        <v>-46659000</v>
      </c>
    </row>
    <row r="1580" spans="1:14" x14ac:dyDescent="0.25">
      <c r="A1580" s="3" t="s">
        <v>1591</v>
      </c>
      <c r="B1580" s="4">
        <v>-2.1800000000000002</v>
      </c>
      <c r="C1580" s="4">
        <v>-0.52</v>
      </c>
      <c r="D1580" s="4">
        <v>-0.28000000000000003</v>
      </c>
      <c r="E1580" s="4">
        <v>-1.0626155938126269E-2</v>
      </c>
      <c r="F1580" s="3">
        <v>1578</v>
      </c>
      <c r="G1580" s="3">
        <v>2</v>
      </c>
      <c r="H1580" s="5">
        <v>5296981224.8400002</v>
      </c>
      <c r="I1580" s="5">
        <v>5901568224.8400002</v>
      </c>
      <c r="J1580" s="5">
        <v>2211452000</v>
      </c>
      <c r="K1580" s="5">
        <v>1606865000</v>
      </c>
      <c r="L1580" s="5">
        <v>807832000</v>
      </c>
      <c r="M1580" s="5">
        <v>-2705179000</v>
      </c>
      <c r="N1580" s="5">
        <v>-2713942000</v>
      </c>
    </row>
    <row r="1581" spans="1:14" x14ac:dyDescent="0.25">
      <c r="A1581" s="3" t="s">
        <v>1592</v>
      </c>
      <c r="B1581" s="4">
        <v>0.49</v>
      </c>
      <c r="C1581" s="4">
        <v>0.03</v>
      </c>
      <c r="D1581" s="4">
        <v>0.01</v>
      </c>
      <c r="E1581" s="4">
        <v>-1.063358370270309E-2</v>
      </c>
      <c r="F1581" s="3">
        <v>1579</v>
      </c>
      <c r="G1581" s="3">
        <v>2</v>
      </c>
      <c r="H1581" s="5">
        <v>1005550.71905</v>
      </c>
      <c r="I1581" s="5">
        <v>434210.71905000001</v>
      </c>
      <c r="J1581" s="5">
        <v>0</v>
      </c>
      <c r="K1581" s="5">
        <v>571340</v>
      </c>
      <c r="L1581" s="5">
        <v>4435780</v>
      </c>
      <c r="M1581" s="5">
        <v>880830</v>
      </c>
      <c r="N1581" s="5">
        <v>37690</v>
      </c>
    </row>
    <row r="1582" spans="1:14" x14ac:dyDescent="0.25">
      <c r="A1582" s="3" t="s">
        <v>1593</v>
      </c>
      <c r="B1582" s="4">
        <v>-1.29</v>
      </c>
      <c r="C1582" s="4">
        <v>1.1100000000000001</v>
      </c>
      <c r="D1582" s="4">
        <v>-21.88</v>
      </c>
      <c r="E1582" s="4">
        <v>-1.063403470922219E-2</v>
      </c>
      <c r="F1582" s="3">
        <v>1580</v>
      </c>
      <c r="G1582" s="3">
        <v>2</v>
      </c>
      <c r="H1582" s="5">
        <v>6026059.6600000001</v>
      </c>
      <c r="I1582" s="5">
        <v>12767629.66</v>
      </c>
      <c r="J1582" s="5">
        <v>6744670</v>
      </c>
      <c r="K1582" s="5">
        <v>3100</v>
      </c>
      <c r="L1582" s="5">
        <v>0</v>
      </c>
      <c r="M1582" s="5">
        <v>-9912140</v>
      </c>
      <c r="N1582" s="5">
        <v>-10305450</v>
      </c>
    </row>
    <row r="1583" spans="1:14" x14ac:dyDescent="0.25">
      <c r="A1583" s="3" t="s">
        <v>1594</v>
      </c>
      <c r="B1583" s="4">
        <v>-2.79</v>
      </c>
      <c r="C1583" s="4">
        <v>-0.64</v>
      </c>
      <c r="D1583" s="4">
        <v>-0.5</v>
      </c>
      <c r="E1583" s="4">
        <v>-1.0637776259483169E-2</v>
      </c>
      <c r="F1583" s="3">
        <v>1581</v>
      </c>
      <c r="G1583" s="3">
        <v>2</v>
      </c>
      <c r="H1583" s="5">
        <v>52745658.674999997</v>
      </c>
      <c r="I1583" s="5">
        <v>34581658.674999997</v>
      </c>
      <c r="J1583" s="5">
        <v>0</v>
      </c>
      <c r="K1583" s="5">
        <v>18164000</v>
      </c>
      <c r="L1583" s="5">
        <v>3964000</v>
      </c>
      <c r="M1583" s="5">
        <v>-12384000</v>
      </c>
      <c r="N1583" s="5">
        <v>-11767000</v>
      </c>
    </row>
    <row r="1584" spans="1:14" x14ac:dyDescent="0.25">
      <c r="A1584" s="3" t="s">
        <v>1595</v>
      </c>
      <c r="B1584" s="4">
        <v>-0.93</v>
      </c>
      <c r="C1584" s="4">
        <v>-0.27</v>
      </c>
      <c r="D1584" s="4">
        <v>-0.22</v>
      </c>
      <c r="E1584" s="4">
        <v>-1.066589231543447E-2</v>
      </c>
      <c r="F1584" s="3">
        <v>1582</v>
      </c>
      <c r="G1584" s="3">
        <v>2</v>
      </c>
      <c r="H1584" s="5">
        <v>138497798.40000001</v>
      </c>
      <c r="I1584" s="5">
        <v>110624798.40000001</v>
      </c>
      <c r="J1584" s="5">
        <v>0</v>
      </c>
      <c r="K1584" s="5">
        <v>27873000</v>
      </c>
      <c r="L1584" s="5">
        <v>0</v>
      </c>
      <c r="M1584" s="5">
        <v>-119042000</v>
      </c>
      <c r="N1584" s="5">
        <v>-108790000</v>
      </c>
    </row>
    <row r="1585" spans="1:14" x14ac:dyDescent="0.25">
      <c r="A1585" s="3" t="s">
        <v>1596</v>
      </c>
      <c r="B1585" s="4">
        <v>1.48</v>
      </c>
      <c r="C1585" s="4">
        <v>0.22</v>
      </c>
      <c r="D1585" s="4">
        <v>0.13</v>
      </c>
      <c r="E1585" s="4">
        <v>-1.067418821450899E-2</v>
      </c>
      <c r="F1585" s="3">
        <v>1583</v>
      </c>
      <c r="G1585" s="3">
        <v>2</v>
      </c>
      <c r="H1585" s="5">
        <v>10822553679.700001</v>
      </c>
      <c r="I1585" s="5">
        <v>6793844679.7000008</v>
      </c>
      <c r="J1585" s="5">
        <v>333600000</v>
      </c>
      <c r="K1585" s="5">
        <v>4362309000</v>
      </c>
      <c r="L1585" s="5">
        <v>34474814000</v>
      </c>
      <c r="M1585" s="5">
        <v>4587440000</v>
      </c>
      <c r="N1585" s="5">
        <v>2931703000</v>
      </c>
    </row>
    <row r="1586" spans="1:14" x14ac:dyDescent="0.25">
      <c r="A1586" s="3" t="s">
        <v>1597</v>
      </c>
      <c r="B1586" s="4">
        <v>-0.87</v>
      </c>
      <c r="C1586" s="4">
        <v>-0.26</v>
      </c>
      <c r="D1586" s="4">
        <v>-0.24</v>
      </c>
      <c r="E1586" s="4">
        <v>-1.067799199575749E-2</v>
      </c>
      <c r="F1586" s="3">
        <v>1584</v>
      </c>
      <c r="G1586" s="3">
        <v>2</v>
      </c>
      <c r="H1586" s="5">
        <v>122256365.63</v>
      </c>
      <c r="I1586" s="5">
        <v>81503365.629999995</v>
      </c>
      <c r="J1586" s="5">
        <v>0</v>
      </c>
      <c r="K1586" s="5">
        <v>40753000</v>
      </c>
      <c r="L1586" s="5">
        <v>14170000</v>
      </c>
      <c r="M1586" s="5">
        <v>-93901000</v>
      </c>
      <c r="N1586" s="5">
        <v>-86599000</v>
      </c>
    </row>
    <row r="1587" spans="1:14" x14ac:dyDescent="0.25">
      <c r="A1587" s="3" t="s">
        <v>1598</v>
      </c>
      <c r="B1587" s="4">
        <v>-7.28</v>
      </c>
      <c r="C1587" s="4">
        <v>-1.61</v>
      </c>
      <c r="D1587" s="4">
        <v>-0.59</v>
      </c>
      <c r="E1587" s="4">
        <v>-1.067886402109538E-2</v>
      </c>
      <c r="F1587" s="3">
        <v>1585</v>
      </c>
      <c r="G1587" s="3">
        <v>2</v>
      </c>
      <c r="H1587" s="5">
        <v>27045949.199999999</v>
      </c>
      <c r="I1587" s="5">
        <v>27150729.199999999</v>
      </c>
      <c r="J1587" s="5">
        <v>619610</v>
      </c>
      <c r="K1587" s="5">
        <v>514830</v>
      </c>
      <c r="L1587" s="5">
        <v>3773320</v>
      </c>
      <c r="M1587" s="5">
        <v>-3728540</v>
      </c>
      <c r="N1587" s="5">
        <v>-3932970</v>
      </c>
    </row>
    <row r="1588" spans="1:14" x14ac:dyDescent="0.25">
      <c r="A1588" s="3" t="s">
        <v>1599</v>
      </c>
      <c r="B1588" s="4">
        <v>-2.4700000000000002</v>
      </c>
      <c r="C1588" s="4">
        <v>-0.59</v>
      </c>
      <c r="D1588" s="4">
        <v>-0.45</v>
      </c>
      <c r="E1588" s="4">
        <v>-1.0681717673829839E-2</v>
      </c>
      <c r="F1588" s="3">
        <v>1586</v>
      </c>
      <c r="G1588" s="3">
        <v>2</v>
      </c>
      <c r="H1588" s="5">
        <v>669719158.67999995</v>
      </c>
      <c r="I1588" s="5">
        <v>630505158.67999995</v>
      </c>
      <c r="J1588" s="5">
        <v>71905000</v>
      </c>
      <c r="K1588" s="5">
        <v>111119000</v>
      </c>
      <c r="L1588" s="5">
        <v>0</v>
      </c>
      <c r="M1588" s="5">
        <v>-255699000</v>
      </c>
      <c r="N1588" s="5">
        <v>-247297000</v>
      </c>
    </row>
    <row r="1589" spans="1:14" x14ac:dyDescent="0.25">
      <c r="A1589" s="3" t="s">
        <v>1600</v>
      </c>
      <c r="B1589" s="4">
        <v>-1.46</v>
      </c>
      <c r="C1589" s="4">
        <v>-0.38</v>
      </c>
      <c r="D1589" s="4">
        <v>-0.36</v>
      </c>
      <c r="E1589" s="4">
        <v>-1.068270046273348E-2</v>
      </c>
      <c r="F1589" s="3">
        <v>1587</v>
      </c>
      <c r="G1589" s="3">
        <v>2</v>
      </c>
      <c r="H1589" s="5">
        <v>257118471.72</v>
      </c>
      <c r="I1589" s="5">
        <v>192422471.72</v>
      </c>
      <c r="J1589" s="5">
        <v>0</v>
      </c>
      <c r="K1589" s="5">
        <v>64696000</v>
      </c>
      <c r="L1589" s="5">
        <v>0</v>
      </c>
      <c r="M1589" s="5">
        <v>-131800000</v>
      </c>
      <c r="N1589" s="5">
        <v>-168385000</v>
      </c>
    </row>
    <row r="1590" spans="1:14" x14ac:dyDescent="0.25">
      <c r="A1590" s="3" t="s">
        <v>1601</v>
      </c>
      <c r="B1590" s="4">
        <v>-5.94</v>
      </c>
      <c r="C1590" s="4">
        <v>-1.3</v>
      </c>
      <c r="D1590" s="4">
        <v>-1</v>
      </c>
      <c r="E1590" s="4">
        <v>-1.06916058567333E-2</v>
      </c>
      <c r="F1590" s="3">
        <v>1588</v>
      </c>
      <c r="G1590" s="3">
        <v>2</v>
      </c>
      <c r="H1590" s="5">
        <v>229093972.65000001</v>
      </c>
      <c r="I1590" s="5">
        <v>215933972.65000001</v>
      </c>
      <c r="J1590" s="5">
        <v>0</v>
      </c>
      <c r="K1590" s="5">
        <v>13160000</v>
      </c>
      <c r="L1590" s="5">
        <v>0</v>
      </c>
      <c r="M1590" s="5">
        <v>-36373000</v>
      </c>
      <c r="N1590" s="5">
        <v>-34907000</v>
      </c>
    </row>
    <row r="1591" spans="1:14" x14ac:dyDescent="0.25">
      <c r="A1591" s="3" t="s">
        <v>1602</v>
      </c>
      <c r="B1591" s="4">
        <v>-2.4300000000000002</v>
      </c>
      <c r="C1591" s="4">
        <v>-0.57999999999999996</v>
      </c>
      <c r="D1591" s="4">
        <v>-0.53</v>
      </c>
      <c r="E1591" s="4">
        <v>-1.0693013102223731E-2</v>
      </c>
      <c r="F1591" s="3">
        <v>1589</v>
      </c>
      <c r="G1591" s="3">
        <v>2</v>
      </c>
      <c r="H1591" s="5">
        <v>41895209.020000003</v>
      </c>
      <c r="I1591" s="5">
        <v>26052359.02</v>
      </c>
      <c r="J1591" s="5">
        <v>0</v>
      </c>
      <c r="K1591" s="5">
        <v>15842850</v>
      </c>
      <c r="L1591" s="5">
        <v>86030</v>
      </c>
      <c r="M1591" s="5">
        <v>-10730130</v>
      </c>
      <c r="N1591" s="5">
        <v>-10417810</v>
      </c>
    </row>
    <row r="1592" spans="1:14" x14ac:dyDescent="0.25">
      <c r="A1592" s="3" t="s">
        <v>1603</v>
      </c>
      <c r="B1592" s="4">
        <v>-1.87</v>
      </c>
      <c r="C1592" s="4">
        <v>-0.47</v>
      </c>
      <c r="D1592" s="4">
        <v>-0.39</v>
      </c>
      <c r="E1592" s="4">
        <v>-1.069477257201595E-2</v>
      </c>
      <c r="F1592" s="3">
        <v>1590</v>
      </c>
      <c r="G1592" s="3">
        <v>2</v>
      </c>
      <c r="H1592" s="5">
        <v>330758735.23000002</v>
      </c>
      <c r="I1592" s="5">
        <v>283911735.23000002</v>
      </c>
      <c r="J1592" s="5">
        <v>0</v>
      </c>
      <c r="K1592" s="5">
        <v>46847000</v>
      </c>
      <c r="L1592" s="5">
        <v>0</v>
      </c>
      <c r="M1592" s="5">
        <v>-151873000</v>
      </c>
      <c r="N1592" s="5">
        <v>-138200000</v>
      </c>
    </row>
    <row r="1593" spans="1:14" x14ac:dyDescent="0.25">
      <c r="A1593" s="3" t="s">
        <v>1604</v>
      </c>
      <c r="B1593" s="4">
        <v>-2.89</v>
      </c>
      <c r="C1593" s="4">
        <v>-0.68</v>
      </c>
      <c r="D1593" s="4">
        <v>-0.57999999999999996</v>
      </c>
      <c r="E1593" s="4">
        <v>-1.070689084319028E-2</v>
      </c>
      <c r="F1593" s="3">
        <v>1591</v>
      </c>
      <c r="G1593" s="3">
        <v>2</v>
      </c>
      <c r="H1593" s="5">
        <v>128058396.2</v>
      </c>
      <c r="I1593" s="5">
        <v>105814396.2</v>
      </c>
      <c r="J1593" s="5">
        <v>0</v>
      </c>
      <c r="K1593" s="5">
        <v>22244000</v>
      </c>
      <c r="L1593" s="5">
        <v>0</v>
      </c>
      <c r="M1593" s="5">
        <v>-36563000</v>
      </c>
      <c r="N1593" s="5">
        <v>-35478000</v>
      </c>
    </row>
    <row r="1594" spans="1:14" x14ac:dyDescent="0.25">
      <c r="A1594" s="3" t="s">
        <v>1605</v>
      </c>
      <c r="B1594" s="4">
        <v>-1.3</v>
      </c>
      <c r="C1594" s="4">
        <v>-0.36</v>
      </c>
      <c r="D1594" s="4">
        <v>-0.33</v>
      </c>
      <c r="E1594" s="4">
        <v>-1.071815346012529E-2</v>
      </c>
      <c r="F1594" s="3">
        <v>1592</v>
      </c>
      <c r="G1594" s="3">
        <v>2</v>
      </c>
      <c r="H1594" s="5">
        <v>106889353.36</v>
      </c>
      <c r="I1594" s="5">
        <v>35805353.359999999</v>
      </c>
      <c r="J1594" s="5">
        <v>0</v>
      </c>
      <c r="K1594" s="5">
        <v>71084000</v>
      </c>
      <c r="L1594" s="5">
        <v>0</v>
      </c>
      <c r="M1594" s="5">
        <v>-27604000</v>
      </c>
      <c r="N1594" s="5">
        <v>-25504000</v>
      </c>
    </row>
    <row r="1595" spans="1:14" x14ac:dyDescent="0.25">
      <c r="A1595" s="3" t="s">
        <v>1606</v>
      </c>
      <c r="B1595" s="4">
        <v>-0.3</v>
      </c>
      <c r="C1595" s="4">
        <v>-0.16</v>
      </c>
      <c r="D1595" s="4">
        <v>-0.12</v>
      </c>
      <c r="E1595" s="4">
        <v>-1.071869233141625E-2</v>
      </c>
      <c r="F1595" s="3">
        <v>1593</v>
      </c>
      <c r="G1595" s="3">
        <v>2</v>
      </c>
      <c r="H1595" s="5">
        <v>10440116.4</v>
      </c>
      <c r="I1595" s="5">
        <v>13464116.4</v>
      </c>
      <c r="J1595" s="5">
        <v>26459000</v>
      </c>
      <c r="K1595" s="5">
        <v>23435000</v>
      </c>
      <c r="L1595" s="5">
        <v>44290000</v>
      </c>
      <c r="M1595" s="5">
        <v>-44428000</v>
      </c>
      <c r="N1595" s="5">
        <v>-47922000</v>
      </c>
    </row>
    <row r="1596" spans="1:14" x14ac:dyDescent="0.25">
      <c r="A1596" s="3" t="s">
        <v>1607</v>
      </c>
      <c r="B1596" s="4">
        <v>0.78</v>
      </c>
      <c r="C1596" s="4">
        <v>0.06</v>
      </c>
      <c r="D1596" s="4">
        <v>0.02</v>
      </c>
      <c r="E1596" s="4">
        <v>-1.072446082029746E-2</v>
      </c>
      <c r="F1596" s="3">
        <v>1594</v>
      </c>
      <c r="G1596" s="3">
        <v>2</v>
      </c>
      <c r="H1596" s="5">
        <v>2118509465.5999999</v>
      </c>
      <c r="I1596" s="5">
        <v>12223583465.6</v>
      </c>
      <c r="J1596" s="5">
        <v>13634753000</v>
      </c>
      <c r="K1596" s="5">
        <v>3529679000</v>
      </c>
      <c r="L1596" s="5">
        <v>29225238000</v>
      </c>
      <c r="M1596" s="5">
        <v>15582849000</v>
      </c>
      <c r="N1596" s="5">
        <v>764059000</v>
      </c>
    </row>
    <row r="1597" spans="1:14" x14ac:dyDescent="0.25">
      <c r="A1597" s="3" t="s">
        <v>1608</v>
      </c>
      <c r="B1597" s="4">
        <v>1.53</v>
      </c>
      <c r="C1597" s="4">
        <v>0.21</v>
      </c>
      <c r="D1597" s="4">
        <v>0.15</v>
      </c>
      <c r="E1597" s="4">
        <v>-1.073016979685382E-2</v>
      </c>
      <c r="F1597" s="3">
        <v>1595</v>
      </c>
      <c r="G1597" s="3">
        <v>2</v>
      </c>
      <c r="H1597" s="5">
        <v>88077881304.399994</v>
      </c>
      <c r="I1597" s="5">
        <v>48927619304.399986</v>
      </c>
      <c r="J1597" s="5">
        <v>12233048000</v>
      </c>
      <c r="K1597" s="5">
        <v>51383310000</v>
      </c>
      <c r="L1597" s="5">
        <v>105295236000</v>
      </c>
      <c r="M1597" s="5">
        <v>32001884000</v>
      </c>
      <c r="N1597" s="5">
        <v>29697609000</v>
      </c>
    </row>
    <row r="1598" spans="1:14" x14ac:dyDescent="0.25">
      <c r="A1598" s="3" t="s">
        <v>1609</v>
      </c>
      <c r="B1598" s="4">
        <v>-3.69</v>
      </c>
      <c r="C1598" s="4">
        <v>-0.88</v>
      </c>
      <c r="D1598" s="4">
        <v>-0.28999999999999998</v>
      </c>
      <c r="E1598" s="4">
        <v>-1.073368475696557E-2</v>
      </c>
      <c r="F1598" s="3">
        <v>1596</v>
      </c>
      <c r="G1598" s="3">
        <v>2</v>
      </c>
      <c r="H1598" s="5">
        <v>13182858.52</v>
      </c>
      <c r="I1598" s="5">
        <v>18419858.52</v>
      </c>
      <c r="J1598" s="5">
        <v>5957000</v>
      </c>
      <c r="K1598" s="5">
        <v>720000</v>
      </c>
      <c r="L1598" s="5">
        <v>29579000</v>
      </c>
      <c r="M1598" s="5">
        <v>-4992000</v>
      </c>
      <c r="N1598" s="5">
        <v>-6122000</v>
      </c>
    </row>
    <row r="1599" spans="1:14" x14ac:dyDescent="0.25">
      <c r="A1599" s="3" t="s">
        <v>1610</v>
      </c>
      <c r="B1599" s="4">
        <v>1.24</v>
      </c>
      <c r="C1599" s="4">
        <v>0.15</v>
      </c>
      <c r="D1599" s="4">
        <v>0.1</v>
      </c>
      <c r="E1599" s="4">
        <v>-1.073368960661285E-2</v>
      </c>
      <c r="F1599" s="3">
        <v>1597</v>
      </c>
      <c r="G1599" s="3">
        <v>2</v>
      </c>
      <c r="H1599" s="5">
        <v>8259660.96</v>
      </c>
      <c r="I1599" s="5">
        <v>45349660.959999993</v>
      </c>
      <c r="J1599" s="5">
        <v>67470000</v>
      </c>
      <c r="K1599" s="5">
        <v>30380000</v>
      </c>
      <c r="L1599" s="5">
        <v>1063409000</v>
      </c>
      <c r="M1599" s="5">
        <v>36526000</v>
      </c>
      <c r="N1599" s="5">
        <v>39789000</v>
      </c>
    </row>
    <row r="1600" spans="1:14" x14ac:dyDescent="0.25">
      <c r="A1600" s="3" t="s">
        <v>1611</v>
      </c>
      <c r="B1600" s="4">
        <v>1.68</v>
      </c>
      <c r="C1600" s="4">
        <v>0.24</v>
      </c>
      <c r="D1600" s="4">
        <v>0.16</v>
      </c>
      <c r="E1600" s="4">
        <v>-1.07343980346891E-2</v>
      </c>
      <c r="F1600" s="3">
        <v>1598</v>
      </c>
      <c r="G1600" s="3">
        <v>2</v>
      </c>
      <c r="H1600" s="5">
        <v>132975277.5</v>
      </c>
      <c r="I1600" s="5">
        <v>79305277.5</v>
      </c>
      <c r="J1600" s="5">
        <v>1221000</v>
      </c>
      <c r="K1600" s="5">
        <v>54891000</v>
      </c>
      <c r="L1600" s="5">
        <v>303331000</v>
      </c>
      <c r="M1600" s="5">
        <v>47271000</v>
      </c>
      <c r="N1600" s="5">
        <v>28626000</v>
      </c>
    </row>
    <row r="1601" spans="1:14" x14ac:dyDescent="0.25">
      <c r="A1601" s="3" t="s">
        <v>1612</v>
      </c>
      <c r="B1601" s="4">
        <v>-4.4400000000000004</v>
      </c>
      <c r="C1601" s="4">
        <v>-1.05</v>
      </c>
      <c r="D1601" s="4">
        <v>-0.16</v>
      </c>
      <c r="E1601" s="4">
        <v>-1.073560830342297E-2</v>
      </c>
      <c r="F1601" s="3">
        <v>1599</v>
      </c>
      <c r="G1601" s="3">
        <v>2</v>
      </c>
      <c r="H1601" s="5">
        <v>43374229.500399999</v>
      </c>
      <c r="I1601" s="5">
        <v>38196409.500399999</v>
      </c>
      <c r="J1601" s="5">
        <v>10153450</v>
      </c>
      <c r="K1601" s="5">
        <v>15331270</v>
      </c>
      <c r="L1601" s="5">
        <v>128932650</v>
      </c>
      <c r="M1601" s="5">
        <v>-8601140</v>
      </c>
      <c r="N1601" s="5">
        <v>-7419410</v>
      </c>
    </row>
    <row r="1602" spans="1:14" x14ac:dyDescent="0.25">
      <c r="A1602" s="3" t="s">
        <v>1613</v>
      </c>
      <c r="B1602" s="4">
        <v>-2.42</v>
      </c>
      <c r="C1602" s="4">
        <v>-0.6</v>
      </c>
      <c r="D1602" s="4">
        <v>-0.44</v>
      </c>
      <c r="E1602" s="4">
        <v>-1.073962828275217E-2</v>
      </c>
      <c r="F1602" s="3">
        <v>1600</v>
      </c>
      <c r="G1602" s="3">
        <v>2</v>
      </c>
      <c r="H1602" s="5">
        <v>1456697243.02</v>
      </c>
      <c r="I1602" s="5">
        <v>1267515243.02</v>
      </c>
      <c r="J1602" s="5">
        <v>0</v>
      </c>
      <c r="K1602" s="5">
        <v>189182000</v>
      </c>
      <c r="L1602" s="5">
        <v>57877000</v>
      </c>
      <c r="M1602" s="5">
        <v>-523963000</v>
      </c>
      <c r="N1602" s="5">
        <v>-519021000</v>
      </c>
    </row>
    <row r="1603" spans="1:14" x14ac:dyDescent="0.25">
      <c r="A1603" s="3" t="s">
        <v>1614</v>
      </c>
      <c r="B1603" s="4">
        <v>0.57999999999999996</v>
      </c>
      <c r="C1603" s="4">
        <v>0.01</v>
      </c>
      <c r="D1603" s="4">
        <v>0.01</v>
      </c>
      <c r="E1603" s="4">
        <v>-1.074707376800571E-2</v>
      </c>
      <c r="F1603" s="3">
        <v>1601</v>
      </c>
      <c r="G1603" s="3">
        <v>2</v>
      </c>
      <c r="H1603" s="5">
        <v>81.646269000000004</v>
      </c>
      <c r="I1603" s="5">
        <v>12276081.646268999</v>
      </c>
      <c r="J1603" s="5">
        <v>32680000</v>
      </c>
      <c r="K1603" s="5">
        <v>20404000</v>
      </c>
      <c r="L1603" s="5">
        <v>786955000</v>
      </c>
      <c r="M1603" s="5">
        <v>21209000</v>
      </c>
      <c r="N1603" s="5">
        <v>3302000</v>
      </c>
    </row>
    <row r="1604" spans="1:14" x14ac:dyDescent="0.25">
      <c r="A1604" s="3" t="s">
        <v>1615</v>
      </c>
      <c r="B1604" s="4">
        <v>0.97</v>
      </c>
      <c r="C1604" s="4">
        <v>0.09</v>
      </c>
      <c r="D1604" s="4">
        <v>0.06</v>
      </c>
      <c r="E1604" s="4">
        <v>-1.0747658801188531E-2</v>
      </c>
      <c r="F1604" s="3">
        <v>1602</v>
      </c>
      <c r="G1604" s="3">
        <v>2</v>
      </c>
      <c r="H1604" s="5">
        <v>1349452007.28</v>
      </c>
      <c r="I1604" s="5">
        <v>1550904007.28</v>
      </c>
      <c r="J1604" s="5">
        <v>4324111000</v>
      </c>
      <c r="K1604" s="5">
        <v>4122659000</v>
      </c>
      <c r="L1604" s="5">
        <v>10562971000</v>
      </c>
      <c r="M1604" s="5">
        <v>1591503000</v>
      </c>
      <c r="N1604" s="5">
        <v>1039573000</v>
      </c>
    </row>
    <row r="1605" spans="1:14" x14ac:dyDescent="0.25">
      <c r="A1605" s="3" t="s">
        <v>1616</v>
      </c>
      <c r="B1605" s="4">
        <v>-5.77</v>
      </c>
      <c r="C1605" s="4">
        <v>-1.33</v>
      </c>
      <c r="D1605" s="4">
        <v>-0.3</v>
      </c>
      <c r="E1605" s="4">
        <v>-1.074847131420158E-2</v>
      </c>
      <c r="F1605" s="3">
        <v>1603</v>
      </c>
      <c r="G1605" s="3">
        <v>2</v>
      </c>
      <c r="H1605" s="5">
        <v>5712173.5530000003</v>
      </c>
      <c r="I1605" s="5">
        <v>5935173.5530000003</v>
      </c>
      <c r="J1605" s="5">
        <v>677000</v>
      </c>
      <c r="K1605" s="5">
        <v>454000</v>
      </c>
      <c r="L1605" s="5">
        <v>15705000</v>
      </c>
      <c r="M1605" s="5">
        <v>-1028000</v>
      </c>
      <c r="N1605" s="5">
        <v>-2394000</v>
      </c>
    </row>
    <row r="1606" spans="1:14" x14ac:dyDescent="0.25">
      <c r="A1606" s="3" t="s">
        <v>1617</v>
      </c>
      <c r="B1606" s="4">
        <v>-1.07</v>
      </c>
      <c r="C1606" s="4">
        <v>-0.33</v>
      </c>
      <c r="D1606" s="4">
        <v>-0.21</v>
      </c>
      <c r="E1606" s="4">
        <v>-1.075067605118463E-2</v>
      </c>
      <c r="F1606" s="3">
        <v>1604</v>
      </c>
      <c r="G1606" s="3">
        <v>2</v>
      </c>
      <c r="H1606" s="5">
        <v>704760</v>
      </c>
      <c r="I1606" s="5">
        <v>3204760</v>
      </c>
      <c r="J1606" s="5">
        <v>3700000</v>
      </c>
      <c r="K1606" s="5">
        <v>1200000</v>
      </c>
      <c r="L1606" s="5">
        <v>100000</v>
      </c>
      <c r="M1606" s="5">
        <v>-3000000</v>
      </c>
      <c r="N1606" s="5">
        <v>-3000000</v>
      </c>
    </row>
    <row r="1607" spans="1:14" x14ac:dyDescent="0.25">
      <c r="A1607" s="3" t="s">
        <v>1618</v>
      </c>
      <c r="B1607" s="4">
        <v>0.91</v>
      </c>
      <c r="C1607" s="4">
        <v>0.08</v>
      </c>
      <c r="D1607" s="4">
        <v>0</v>
      </c>
      <c r="E1607" s="4">
        <v>-1.075099133348556E-2</v>
      </c>
      <c r="F1607" s="3">
        <v>1605</v>
      </c>
      <c r="G1607" s="3">
        <v>2</v>
      </c>
      <c r="H1607" s="5">
        <v>2960492817.8000002</v>
      </c>
      <c r="I1607" s="5">
        <v>1070492817.8</v>
      </c>
      <c r="J1607" s="5">
        <v>3155000000</v>
      </c>
      <c r="K1607" s="5">
        <v>5045000000</v>
      </c>
      <c r="L1607" s="5">
        <v>4724000000</v>
      </c>
      <c r="M1607" s="5">
        <v>1173000000</v>
      </c>
      <c r="N1607" s="5">
        <v>388000000</v>
      </c>
    </row>
    <row r="1608" spans="1:14" x14ac:dyDescent="0.25">
      <c r="A1608" s="3" t="s">
        <v>1619</v>
      </c>
      <c r="B1608" s="4">
        <v>-0.05</v>
      </c>
      <c r="C1608" s="4">
        <v>-0.12</v>
      </c>
      <c r="D1608" s="4">
        <v>-0.09</v>
      </c>
      <c r="E1608" s="4">
        <v>-1.0752060966052839E-2</v>
      </c>
      <c r="F1608" s="3">
        <v>1606</v>
      </c>
      <c r="G1608" s="3">
        <v>2</v>
      </c>
      <c r="H1608" s="5">
        <v>107297484</v>
      </c>
      <c r="I1608" s="5">
        <v>-1881516</v>
      </c>
      <c r="J1608" s="5">
        <v>0</v>
      </c>
      <c r="K1608" s="5">
        <v>109179000</v>
      </c>
      <c r="L1608" s="5">
        <v>289429000</v>
      </c>
      <c r="M1608" s="5">
        <v>38346000</v>
      </c>
      <c r="N1608" s="5">
        <v>-28687000</v>
      </c>
    </row>
    <row r="1609" spans="1:14" x14ac:dyDescent="0.25">
      <c r="A1609" s="3" t="s">
        <v>1620</v>
      </c>
      <c r="B1609" s="4">
        <v>0.65</v>
      </c>
      <c r="C1609" s="4">
        <v>0.02</v>
      </c>
      <c r="D1609" s="4">
        <v>0.02</v>
      </c>
      <c r="E1609" s="4">
        <v>-1.075957557429328E-2</v>
      </c>
      <c r="F1609" s="3">
        <v>1607</v>
      </c>
      <c r="G1609" s="3">
        <v>2</v>
      </c>
      <c r="H1609" s="5">
        <v>6286631.3200000003</v>
      </c>
      <c r="I1609" s="5">
        <v>3409591.32</v>
      </c>
      <c r="J1609" s="5">
        <v>1299010</v>
      </c>
      <c r="K1609" s="5">
        <v>4176050</v>
      </c>
      <c r="L1609" s="5">
        <v>18588590</v>
      </c>
      <c r="M1609" s="5">
        <v>5209420</v>
      </c>
      <c r="N1609" s="5">
        <v>5307370</v>
      </c>
    </row>
    <row r="1610" spans="1:14" x14ac:dyDescent="0.25">
      <c r="A1610" s="3" t="s">
        <v>1621</v>
      </c>
      <c r="B1610" s="4">
        <v>-4.3600000000000003</v>
      </c>
      <c r="C1610" s="4">
        <v>-1</v>
      </c>
      <c r="D1610" s="4">
        <v>-0.78</v>
      </c>
      <c r="E1610" s="4">
        <v>-1.076025356173267E-2</v>
      </c>
      <c r="F1610" s="3">
        <v>1608</v>
      </c>
      <c r="G1610" s="3">
        <v>2</v>
      </c>
      <c r="H1610" s="5">
        <v>30285490.5</v>
      </c>
      <c r="I1610" s="5">
        <v>26696170.5</v>
      </c>
      <c r="J1610" s="5">
        <v>0</v>
      </c>
      <c r="K1610" s="5">
        <v>3589320</v>
      </c>
      <c r="L1610" s="5">
        <v>398140</v>
      </c>
      <c r="M1610" s="5">
        <v>-6126640</v>
      </c>
      <c r="N1610" s="5">
        <v>-3200140</v>
      </c>
    </row>
    <row r="1611" spans="1:14" x14ac:dyDescent="0.25">
      <c r="A1611" s="3" t="s">
        <v>1622</v>
      </c>
      <c r="B1611" s="4">
        <v>1.95</v>
      </c>
      <c r="C1611" s="4">
        <v>0.28999999999999998</v>
      </c>
      <c r="D1611" s="4">
        <v>0.13</v>
      </c>
      <c r="E1611" s="4">
        <v>-1.0762825633170421E-2</v>
      </c>
      <c r="F1611" s="3">
        <v>1609</v>
      </c>
      <c r="G1611" s="3">
        <v>2</v>
      </c>
      <c r="H1611" s="5">
        <v>10975.456222999999</v>
      </c>
      <c r="I1611" s="5">
        <v>32514805.456223</v>
      </c>
      <c r="J1611" s="5">
        <v>33628360</v>
      </c>
      <c r="K1611" s="5">
        <v>1124530</v>
      </c>
      <c r="L1611" s="5">
        <v>84182080</v>
      </c>
      <c r="M1611" s="5">
        <v>16659220</v>
      </c>
      <c r="N1611" s="5">
        <v>14060750</v>
      </c>
    </row>
    <row r="1612" spans="1:14" x14ac:dyDescent="0.25">
      <c r="A1612" s="3" t="s">
        <v>1623</v>
      </c>
      <c r="B1612" s="4">
        <v>0.72</v>
      </c>
      <c r="C1612" s="4">
        <v>0.04</v>
      </c>
      <c r="D1612" s="4">
        <v>-0.15</v>
      </c>
      <c r="E1612" s="4">
        <v>-1.0777906251961509E-2</v>
      </c>
      <c r="F1612" s="3">
        <v>1610</v>
      </c>
      <c r="G1612" s="3">
        <v>2</v>
      </c>
      <c r="H1612" s="5">
        <v>16056322.614928</v>
      </c>
      <c r="I1612" s="5">
        <v>-9069677.3850720003</v>
      </c>
      <c r="J1612" s="5">
        <v>1825000</v>
      </c>
      <c r="K1612" s="5">
        <v>26951000</v>
      </c>
      <c r="L1612" s="5">
        <v>35142000</v>
      </c>
      <c r="M1612" s="5">
        <v>-12670000</v>
      </c>
      <c r="N1612" s="5">
        <v>-15454000</v>
      </c>
    </row>
    <row r="1613" spans="1:14" x14ac:dyDescent="0.25">
      <c r="A1613" s="3" t="s">
        <v>1624</v>
      </c>
      <c r="B1613" s="4">
        <v>4.41</v>
      </c>
      <c r="C1613" s="4">
        <v>0.82</v>
      </c>
      <c r="D1613" s="4">
        <v>0</v>
      </c>
      <c r="E1613" s="4">
        <v>-1.0779086408392769E-2</v>
      </c>
      <c r="F1613" s="3">
        <v>1611</v>
      </c>
      <c r="G1613" s="3">
        <v>2</v>
      </c>
      <c r="H1613" s="5">
        <v>13545039082.959999</v>
      </c>
      <c r="I1613" s="5">
        <v>25438039082.959999</v>
      </c>
      <c r="J1613" s="5">
        <v>18857000000</v>
      </c>
      <c r="K1613" s="5">
        <v>6964000000</v>
      </c>
      <c r="L1613" s="5">
        <v>16959000000</v>
      </c>
      <c r="M1613" s="5">
        <v>5772000000</v>
      </c>
      <c r="N1613" s="5">
        <v>1307000000</v>
      </c>
    </row>
    <row r="1614" spans="1:14" x14ac:dyDescent="0.25">
      <c r="A1614" s="3" t="s">
        <v>1625</v>
      </c>
      <c r="B1614" s="4">
        <v>0.99</v>
      </c>
      <c r="C1614" s="4">
        <v>0.08</v>
      </c>
      <c r="D1614" s="4">
        <v>7.0000000000000007E-2</v>
      </c>
      <c r="E1614" s="4">
        <v>-1.078700179301964E-2</v>
      </c>
      <c r="F1614" s="3">
        <v>1612</v>
      </c>
      <c r="G1614" s="3">
        <v>2</v>
      </c>
      <c r="H1614" s="5">
        <v>6569912.7000000002</v>
      </c>
      <c r="I1614" s="5">
        <v>6651762.6999999993</v>
      </c>
      <c r="J1614" s="5">
        <v>4000000</v>
      </c>
      <c r="K1614" s="5">
        <v>3918150</v>
      </c>
      <c r="L1614" s="5">
        <v>18742200</v>
      </c>
      <c r="M1614" s="5">
        <v>6716200</v>
      </c>
      <c r="N1614" s="5">
        <v>5603230</v>
      </c>
    </row>
    <row r="1615" spans="1:14" x14ac:dyDescent="0.25">
      <c r="A1615" s="3" t="s">
        <v>1626</v>
      </c>
      <c r="B1615" s="4">
        <v>1.71</v>
      </c>
      <c r="C1615" s="4">
        <v>0.23</v>
      </c>
      <c r="D1615" s="4">
        <v>7.0000000000000007E-2</v>
      </c>
      <c r="E1615" s="4">
        <v>-1.079922049799235E-2</v>
      </c>
      <c r="F1615" s="3">
        <v>1613</v>
      </c>
      <c r="G1615" s="3">
        <v>2</v>
      </c>
      <c r="H1615" s="5">
        <v>778422759.25</v>
      </c>
      <c r="I1615" s="5">
        <v>655488759.25</v>
      </c>
      <c r="J1615" s="5">
        <v>281508000</v>
      </c>
      <c r="K1615" s="5">
        <v>404442000</v>
      </c>
      <c r="L1615" s="5">
        <v>2027848000</v>
      </c>
      <c r="M1615" s="5">
        <v>383561000</v>
      </c>
      <c r="N1615" s="5">
        <v>261562000</v>
      </c>
    </row>
    <row r="1616" spans="1:14" x14ac:dyDescent="0.25">
      <c r="A1616" s="3" t="s">
        <v>1627</v>
      </c>
      <c r="B1616" s="4">
        <v>-0.05</v>
      </c>
      <c r="C1616" s="4">
        <v>-0.14000000000000001</v>
      </c>
      <c r="D1616" s="4">
        <v>-0.06</v>
      </c>
      <c r="E1616" s="4">
        <v>-1.0804061100349229E-2</v>
      </c>
      <c r="F1616" s="3">
        <v>1614</v>
      </c>
      <c r="G1616" s="3">
        <v>2</v>
      </c>
      <c r="H1616" s="5">
        <v>2346737.6</v>
      </c>
      <c r="I1616" s="5">
        <v>1228737.6000000001</v>
      </c>
      <c r="J1616" s="5">
        <v>661000</v>
      </c>
      <c r="K1616" s="5">
        <v>1779000</v>
      </c>
      <c r="L1616" s="5">
        <v>0</v>
      </c>
      <c r="M1616" s="5">
        <v>-24919000</v>
      </c>
      <c r="N1616" s="5">
        <v>-1787000</v>
      </c>
    </row>
    <row r="1617" spans="1:14" x14ac:dyDescent="0.25">
      <c r="A1617" s="3" t="s">
        <v>1628</v>
      </c>
      <c r="B1617" s="4">
        <v>3.41</v>
      </c>
      <c r="C1617" s="4">
        <v>0.56999999999999995</v>
      </c>
      <c r="D1617" s="4">
        <v>0.4</v>
      </c>
      <c r="E1617" s="4">
        <v>-1.080534495094624E-2</v>
      </c>
      <c r="F1617" s="3">
        <v>1615</v>
      </c>
      <c r="G1617" s="3">
        <v>2</v>
      </c>
      <c r="H1617" s="5">
        <v>5838750</v>
      </c>
      <c r="I1617" s="5">
        <v>6189140</v>
      </c>
      <c r="J1617" s="5">
        <v>402200</v>
      </c>
      <c r="K1617" s="5">
        <v>51810</v>
      </c>
      <c r="L1617" s="5">
        <v>4561960</v>
      </c>
      <c r="M1617" s="5">
        <v>1816280</v>
      </c>
      <c r="N1617" s="5">
        <v>1548350</v>
      </c>
    </row>
    <row r="1618" spans="1:14" x14ac:dyDescent="0.25">
      <c r="A1618" s="3" t="s">
        <v>1629</v>
      </c>
      <c r="B1618" s="4">
        <v>-2.4</v>
      </c>
      <c r="C1618" s="4">
        <v>-0.63</v>
      </c>
      <c r="D1618" s="4">
        <v>-0.28999999999999998</v>
      </c>
      <c r="E1618" s="4">
        <v>-1.080975211652711E-2</v>
      </c>
      <c r="F1618" s="3">
        <v>1616</v>
      </c>
      <c r="G1618" s="3">
        <v>2</v>
      </c>
      <c r="H1618" s="5">
        <v>12089305.24</v>
      </c>
      <c r="I1618" s="5">
        <v>13536885.24</v>
      </c>
      <c r="J1618" s="5">
        <v>1641500</v>
      </c>
      <c r="K1618" s="5">
        <v>193920</v>
      </c>
      <c r="L1618" s="5">
        <v>6729940</v>
      </c>
      <c r="M1618" s="5">
        <v>-5635220</v>
      </c>
      <c r="N1618" s="5">
        <v>-7329060</v>
      </c>
    </row>
    <row r="1619" spans="1:14" x14ac:dyDescent="0.25">
      <c r="A1619" s="3" t="s">
        <v>1630</v>
      </c>
      <c r="B1619" s="4">
        <v>-4.0599999999999996</v>
      </c>
      <c r="C1619" s="4">
        <v>-0.98</v>
      </c>
      <c r="D1619" s="4">
        <v>-0.44</v>
      </c>
      <c r="E1619" s="4">
        <v>-1.0822555614980869E-2</v>
      </c>
      <c r="F1619" s="3">
        <v>1617</v>
      </c>
      <c r="G1619" s="3">
        <v>2</v>
      </c>
      <c r="H1619" s="5">
        <v>194075047.59999999</v>
      </c>
      <c r="I1619" s="5">
        <v>203716047.59999999</v>
      </c>
      <c r="J1619" s="5">
        <v>28905000</v>
      </c>
      <c r="K1619" s="5">
        <v>19264000</v>
      </c>
      <c r="L1619" s="5">
        <v>59345000</v>
      </c>
      <c r="M1619" s="5">
        <v>-50224000</v>
      </c>
      <c r="N1619" s="5">
        <v>-65276000</v>
      </c>
    </row>
    <row r="1620" spans="1:14" x14ac:dyDescent="0.25">
      <c r="A1620" s="3" t="s">
        <v>1631</v>
      </c>
      <c r="B1620" s="4">
        <v>0.26</v>
      </c>
      <c r="C1620" s="4">
        <v>-0.08</v>
      </c>
      <c r="D1620" s="4">
        <v>-0.06</v>
      </c>
      <c r="E1620" s="4">
        <v>-1.082256483487189E-2</v>
      </c>
      <c r="F1620" s="3">
        <v>1618</v>
      </c>
      <c r="G1620" s="3">
        <v>2</v>
      </c>
      <c r="H1620" s="5">
        <v>8441605.3699999992</v>
      </c>
      <c r="I1620" s="5">
        <v>-2108954.6300000008</v>
      </c>
      <c r="J1620" s="5">
        <v>0</v>
      </c>
      <c r="K1620" s="5">
        <v>10550560</v>
      </c>
      <c r="L1620" s="5">
        <v>83548890</v>
      </c>
      <c r="M1620" s="5">
        <v>-8059300</v>
      </c>
      <c r="N1620" s="5">
        <v>-7933630</v>
      </c>
    </row>
    <row r="1621" spans="1:14" x14ac:dyDescent="0.25">
      <c r="A1621" s="3" t="s">
        <v>1632</v>
      </c>
      <c r="B1621" s="4">
        <v>-0.18</v>
      </c>
      <c r="C1621" s="4">
        <v>-0.17</v>
      </c>
      <c r="D1621" s="4">
        <v>-0.14000000000000001</v>
      </c>
      <c r="E1621" s="4">
        <v>-1.0825714459950651E-2</v>
      </c>
      <c r="F1621" s="3">
        <v>1619</v>
      </c>
      <c r="G1621" s="3">
        <v>2</v>
      </c>
      <c r="H1621" s="5">
        <v>480.26459999999997</v>
      </c>
      <c r="I1621" s="5">
        <v>52490.264599999988</v>
      </c>
      <c r="J1621" s="5">
        <v>94730</v>
      </c>
      <c r="K1621" s="5">
        <v>42720</v>
      </c>
      <c r="L1621" s="5">
        <v>37650</v>
      </c>
      <c r="M1621" s="5">
        <v>-293190</v>
      </c>
      <c r="N1621" s="5">
        <v>-322250</v>
      </c>
    </row>
    <row r="1622" spans="1:14" x14ac:dyDescent="0.25">
      <c r="A1622" s="3" t="s">
        <v>1633</v>
      </c>
      <c r="B1622" s="4">
        <v>-13.72</v>
      </c>
      <c r="C1622" s="4">
        <v>-3.01</v>
      </c>
      <c r="D1622" s="4">
        <v>-1.05</v>
      </c>
      <c r="E1622" s="4">
        <v>-1.082685575676688E-2</v>
      </c>
      <c r="F1622" s="3">
        <v>1620</v>
      </c>
      <c r="G1622" s="3">
        <v>2</v>
      </c>
      <c r="H1622" s="5">
        <v>218636172.88</v>
      </c>
      <c r="I1622" s="5">
        <v>215018172.88</v>
      </c>
      <c r="J1622" s="5">
        <v>106000</v>
      </c>
      <c r="K1622" s="5">
        <v>3724000</v>
      </c>
      <c r="L1622" s="5">
        <v>0</v>
      </c>
      <c r="M1622" s="5">
        <v>-15670000</v>
      </c>
      <c r="N1622" s="5">
        <v>-11863000</v>
      </c>
    </row>
    <row r="1623" spans="1:14" x14ac:dyDescent="0.25">
      <c r="A1623" s="3" t="s">
        <v>1634</v>
      </c>
      <c r="B1623" s="4">
        <v>-3.39</v>
      </c>
      <c r="C1623" s="4">
        <v>-0.84</v>
      </c>
      <c r="D1623" s="4">
        <v>-0.45</v>
      </c>
      <c r="E1623" s="4">
        <v>-1.083465092506016E-2</v>
      </c>
      <c r="F1623" s="3">
        <v>1621</v>
      </c>
      <c r="G1623" s="3">
        <v>2</v>
      </c>
      <c r="H1623" s="5">
        <v>256025377.96000001</v>
      </c>
      <c r="I1623" s="5">
        <v>199365377.96000001</v>
      </c>
      <c r="J1623" s="5">
        <v>49273000</v>
      </c>
      <c r="K1623" s="5">
        <v>105933000</v>
      </c>
      <c r="L1623" s="5">
        <v>51292000</v>
      </c>
      <c r="M1623" s="5">
        <v>-58871000</v>
      </c>
      <c r="N1623" s="5">
        <v>-59965000</v>
      </c>
    </row>
    <row r="1624" spans="1:14" x14ac:dyDescent="0.25">
      <c r="A1624" s="3" t="s">
        <v>1635</v>
      </c>
      <c r="B1624" s="4">
        <v>-2.37</v>
      </c>
      <c r="C1624" s="4">
        <v>-0.62</v>
      </c>
      <c r="D1624" s="4">
        <v>-0.48</v>
      </c>
      <c r="E1624" s="4">
        <v>-1.0836077631576501E-2</v>
      </c>
      <c r="F1624" s="3">
        <v>1622</v>
      </c>
      <c r="G1624" s="3">
        <v>2</v>
      </c>
      <c r="H1624" s="5">
        <v>126883641.36</v>
      </c>
      <c r="I1624" s="5">
        <v>110189641.36</v>
      </c>
      <c r="J1624" s="5">
        <v>217000</v>
      </c>
      <c r="K1624" s="5">
        <v>16911000</v>
      </c>
      <c r="L1624" s="5">
        <v>28051000</v>
      </c>
      <c r="M1624" s="5">
        <v>-46557000</v>
      </c>
      <c r="N1624" s="5">
        <v>-46889000</v>
      </c>
    </row>
    <row r="1625" spans="1:14" x14ac:dyDescent="0.25">
      <c r="A1625" s="3" t="s">
        <v>1636</v>
      </c>
      <c r="B1625" s="4">
        <v>-1.08</v>
      </c>
      <c r="C1625" s="4">
        <v>-0.36</v>
      </c>
      <c r="D1625" s="4">
        <v>-0.28999999999999998</v>
      </c>
      <c r="E1625" s="4">
        <v>-1.0846599879150969E-2</v>
      </c>
      <c r="F1625" s="3">
        <v>1623</v>
      </c>
      <c r="G1625" s="3">
        <v>2</v>
      </c>
      <c r="H1625" s="5">
        <v>236015550.53999999</v>
      </c>
      <c r="I1625" s="5">
        <v>59517550.539999992</v>
      </c>
      <c r="J1625" s="5">
        <v>0</v>
      </c>
      <c r="K1625" s="5">
        <v>176498000</v>
      </c>
      <c r="L1625" s="5">
        <v>0</v>
      </c>
      <c r="M1625" s="5">
        <v>-55180000</v>
      </c>
      <c r="N1625" s="5">
        <v>-52403000</v>
      </c>
    </row>
    <row r="1626" spans="1:14" x14ac:dyDescent="0.25">
      <c r="A1626" s="3" t="s">
        <v>1637</v>
      </c>
      <c r="B1626" s="4">
        <v>-0.24</v>
      </c>
      <c r="C1626" s="4">
        <v>-0.19</v>
      </c>
      <c r="D1626" s="4">
        <v>-0.15</v>
      </c>
      <c r="E1626" s="4">
        <v>-1.084829546637461E-2</v>
      </c>
      <c r="F1626" s="3">
        <v>1624</v>
      </c>
      <c r="G1626" s="3">
        <v>2</v>
      </c>
      <c r="H1626" s="5">
        <v>26236962.48</v>
      </c>
      <c r="I1626" s="5">
        <v>3141962.48</v>
      </c>
      <c r="J1626" s="5">
        <v>0</v>
      </c>
      <c r="K1626" s="5">
        <v>23095000</v>
      </c>
      <c r="L1626" s="5">
        <v>0</v>
      </c>
      <c r="M1626" s="5">
        <v>-12903000</v>
      </c>
      <c r="N1626" s="5">
        <v>-8136000</v>
      </c>
    </row>
    <row r="1627" spans="1:14" x14ac:dyDescent="0.25">
      <c r="A1627" s="3" t="s">
        <v>1638</v>
      </c>
      <c r="B1627" s="4">
        <v>-2.02</v>
      </c>
      <c r="C1627" s="4">
        <v>-0.55000000000000004</v>
      </c>
      <c r="D1627" s="4">
        <v>-0.47</v>
      </c>
      <c r="E1627" s="4">
        <v>-1.08485155552955E-2</v>
      </c>
      <c r="F1627" s="3">
        <v>1625</v>
      </c>
      <c r="G1627" s="3">
        <v>2</v>
      </c>
      <c r="H1627" s="5">
        <v>149017912.96000001</v>
      </c>
      <c r="I1627" s="5">
        <v>97547912.960000008</v>
      </c>
      <c r="J1627" s="5">
        <v>0</v>
      </c>
      <c r="K1627" s="5">
        <v>51470000</v>
      </c>
      <c r="L1627" s="5">
        <v>683000</v>
      </c>
      <c r="M1627" s="5">
        <v>-48247000</v>
      </c>
      <c r="N1627" s="5">
        <v>-45431000</v>
      </c>
    </row>
    <row r="1628" spans="1:14" x14ac:dyDescent="0.25">
      <c r="A1628" s="3" t="s">
        <v>1639</v>
      </c>
      <c r="B1628" s="4">
        <v>-0.35</v>
      </c>
      <c r="C1628" s="4">
        <v>1.4</v>
      </c>
      <c r="D1628" s="4">
        <v>-24.32</v>
      </c>
      <c r="E1628" s="4">
        <v>-1.084858792623962E-2</v>
      </c>
      <c r="F1628" s="3">
        <v>1626</v>
      </c>
      <c r="G1628" s="3">
        <v>2</v>
      </c>
      <c r="H1628" s="5">
        <v>369.95600000000002</v>
      </c>
      <c r="I1628" s="5">
        <v>3276319.9559999998</v>
      </c>
      <c r="J1628" s="5">
        <v>3278020</v>
      </c>
      <c r="K1628" s="5">
        <v>2070</v>
      </c>
      <c r="L1628" s="5">
        <v>0</v>
      </c>
      <c r="M1628" s="5">
        <v>-9464910</v>
      </c>
      <c r="N1628" s="5">
        <v>-25938470</v>
      </c>
    </row>
    <row r="1629" spans="1:14" x14ac:dyDescent="0.25">
      <c r="A1629" s="3" t="s">
        <v>1640</v>
      </c>
      <c r="B1629" s="4">
        <v>-0.01</v>
      </c>
      <c r="C1629" s="4">
        <v>0.38</v>
      </c>
      <c r="D1629" s="4">
        <v>-7.96</v>
      </c>
      <c r="E1629" s="4">
        <v>-1.0850281354615359E-2</v>
      </c>
      <c r="F1629" s="3">
        <v>1627</v>
      </c>
      <c r="G1629" s="3">
        <v>2</v>
      </c>
      <c r="H1629" s="5">
        <v>33975</v>
      </c>
      <c r="I1629" s="5">
        <v>27565</v>
      </c>
      <c r="J1629" s="5">
        <v>0</v>
      </c>
      <c r="K1629" s="5">
        <v>6410</v>
      </c>
      <c r="L1629" s="5">
        <v>328600</v>
      </c>
      <c r="M1629" s="5">
        <v>-2263880</v>
      </c>
      <c r="N1629" s="5">
        <v>-2719220</v>
      </c>
    </row>
    <row r="1630" spans="1:14" x14ac:dyDescent="0.25">
      <c r="A1630" s="3" t="s">
        <v>1641</v>
      </c>
      <c r="B1630" s="4">
        <v>1.24</v>
      </c>
      <c r="C1630" s="4">
        <v>0.11</v>
      </c>
      <c r="D1630" s="4">
        <v>0.09</v>
      </c>
      <c r="E1630" s="4">
        <v>-1.0851193061248191E-2</v>
      </c>
      <c r="F1630" s="3">
        <v>1628</v>
      </c>
      <c r="G1630" s="3">
        <v>2</v>
      </c>
      <c r="H1630" s="5">
        <v>53383050.649999999</v>
      </c>
      <c r="I1630" s="5">
        <v>5819050.6499999994</v>
      </c>
      <c r="J1630" s="5">
        <v>0</v>
      </c>
      <c r="K1630" s="5">
        <v>47564000</v>
      </c>
      <c r="L1630" s="5">
        <v>67610000</v>
      </c>
      <c r="M1630" s="5">
        <v>4684000</v>
      </c>
      <c r="N1630" s="5">
        <v>11138000</v>
      </c>
    </row>
    <row r="1631" spans="1:14" x14ac:dyDescent="0.25">
      <c r="A1631" s="3" t="s">
        <v>1642</v>
      </c>
      <c r="B1631" s="4">
        <v>1.81</v>
      </c>
      <c r="C1631" s="4">
        <v>0.23</v>
      </c>
      <c r="D1631" s="4">
        <v>0.1</v>
      </c>
      <c r="E1631" s="4">
        <v>-1.08553254752306E-2</v>
      </c>
      <c r="F1631" s="3">
        <v>1629</v>
      </c>
      <c r="G1631" s="3">
        <v>2</v>
      </c>
      <c r="H1631" s="5">
        <v>163830576</v>
      </c>
      <c r="I1631" s="5">
        <v>118566606</v>
      </c>
      <c r="J1631" s="5">
        <v>0</v>
      </c>
      <c r="K1631" s="5">
        <v>45263970</v>
      </c>
      <c r="L1631" s="5">
        <v>85813770</v>
      </c>
      <c r="M1631" s="5">
        <v>65563550</v>
      </c>
      <c r="N1631" s="5">
        <v>49301520</v>
      </c>
    </row>
    <row r="1632" spans="1:14" x14ac:dyDescent="0.25">
      <c r="A1632" s="3" t="s">
        <v>1643</v>
      </c>
      <c r="B1632" s="4">
        <v>-0.53</v>
      </c>
      <c r="C1632" s="4">
        <v>-0.25</v>
      </c>
      <c r="D1632" s="4">
        <v>-0.22</v>
      </c>
      <c r="E1632" s="4">
        <v>-1.085567332928865E-2</v>
      </c>
      <c r="F1632" s="3">
        <v>1630</v>
      </c>
      <c r="G1632" s="3">
        <v>2</v>
      </c>
      <c r="H1632" s="5">
        <v>552833360.55999994</v>
      </c>
      <c r="I1632" s="5">
        <v>81445360.559999943</v>
      </c>
      <c r="J1632" s="5">
        <v>0</v>
      </c>
      <c r="K1632" s="5">
        <v>471388000</v>
      </c>
      <c r="L1632" s="5">
        <v>135157000</v>
      </c>
      <c r="M1632" s="5">
        <v>-153661000</v>
      </c>
      <c r="N1632" s="5">
        <v>-122310000</v>
      </c>
    </row>
    <row r="1633" spans="1:14" x14ac:dyDescent="0.25">
      <c r="A1633" s="3" t="s">
        <v>1644</v>
      </c>
      <c r="B1633" s="4">
        <v>-0.13</v>
      </c>
      <c r="C1633" s="4">
        <v>-0.17</v>
      </c>
      <c r="D1633" s="4">
        <v>-0.15</v>
      </c>
      <c r="E1633" s="4">
        <v>-1.0858589515013541E-2</v>
      </c>
      <c r="F1633" s="3">
        <v>1631</v>
      </c>
      <c r="G1633" s="3">
        <v>2</v>
      </c>
      <c r="H1633" s="5">
        <v>147339082.80000001</v>
      </c>
      <c r="I1633" s="5">
        <v>18765082.800000008</v>
      </c>
      <c r="J1633" s="5">
        <v>0</v>
      </c>
      <c r="K1633" s="5">
        <v>128574000</v>
      </c>
      <c r="L1633" s="5">
        <v>0</v>
      </c>
      <c r="M1633" s="5">
        <v>-140314000</v>
      </c>
      <c r="N1633" s="5">
        <v>-24342000</v>
      </c>
    </row>
    <row r="1634" spans="1:14" x14ac:dyDescent="0.25">
      <c r="A1634" s="3" t="s">
        <v>1645</v>
      </c>
      <c r="B1634" s="4">
        <v>-1.77</v>
      </c>
      <c r="C1634" s="4">
        <v>-0.5</v>
      </c>
      <c r="D1634" s="4">
        <v>-0.48</v>
      </c>
      <c r="E1634" s="4">
        <v>-1.086070668922765E-2</v>
      </c>
      <c r="F1634" s="3">
        <v>1632</v>
      </c>
      <c r="G1634" s="3">
        <v>2</v>
      </c>
      <c r="H1634" s="5">
        <v>204119082.44999999</v>
      </c>
      <c r="I1634" s="5">
        <v>138119082.44999999</v>
      </c>
      <c r="J1634" s="5">
        <v>0</v>
      </c>
      <c r="K1634" s="5">
        <v>66000000</v>
      </c>
      <c r="L1634" s="5">
        <v>43000000</v>
      </c>
      <c r="M1634" s="5">
        <v>-78000000</v>
      </c>
      <c r="N1634" s="5">
        <v>-75000000</v>
      </c>
    </row>
    <row r="1635" spans="1:14" x14ac:dyDescent="0.25">
      <c r="A1635" s="3" t="s">
        <v>1646</v>
      </c>
      <c r="B1635" s="4">
        <v>-3.15</v>
      </c>
      <c r="C1635" s="4">
        <v>-0.8</v>
      </c>
      <c r="D1635" s="4">
        <v>-0.44</v>
      </c>
      <c r="E1635" s="4">
        <v>-1.086568840715468E-2</v>
      </c>
      <c r="F1635" s="3">
        <v>1633</v>
      </c>
      <c r="G1635" s="3">
        <v>2</v>
      </c>
      <c r="H1635" s="5">
        <v>13728000</v>
      </c>
      <c r="I1635" s="5">
        <v>17246210</v>
      </c>
      <c r="J1635" s="5">
        <v>3974160</v>
      </c>
      <c r="K1635" s="5">
        <v>455950</v>
      </c>
      <c r="L1635" s="5">
        <v>19275670</v>
      </c>
      <c r="M1635" s="5">
        <v>-5470560</v>
      </c>
      <c r="N1635" s="5">
        <v>-6981070</v>
      </c>
    </row>
    <row r="1636" spans="1:14" x14ac:dyDescent="0.25">
      <c r="A1636" s="3" t="s">
        <v>1647</v>
      </c>
      <c r="B1636" s="4">
        <v>-3.78</v>
      </c>
      <c r="C1636" s="4">
        <v>-0.91</v>
      </c>
      <c r="D1636" s="4">
        <v>-0.87</v>
      </c>
      <c r="E1636" s="4">
        <v>-1.087654626823059E-2</v>
      </c>
      <c r="F1636" s="3">
        <v>1634</v>
      </c>
      <c r="G1636" s="3">
        <v>2</v>
      </c>
      <c r="H1636" s="5">
        <v>313216608</v>
      </c>
      <c r="I1636" s="5">
        <v>279465608</v>
      </c>
      <c r="J1636" s="5">
        <v>0</v>
      </c>
      <c r="K1636" s="5">
        <v>33751000</v>
      </c>
      <c r="L1636" s="5">
        <v>0</v>
      </c>
      <c r="M1636" s="5">
        <v>-74014000</v>
      </c>
      <c r="N1636" s="5">
        <v>-69628000</v>
      </c>
    </row>
    <row r="1637" spans="1:14" x14ac:dyDescent="0.25">
      <c r="A1637" s="3" t="s">
        <v>1648</v>
      </c>
      <c r="B1637" s="4">
        <v>-0.79</v>
      </c>
      <c r="C1637" s="4">
        <v>-0.31</v>
      </c>
      <c r="D1637" s="4">
        <v>-0.27</v>
      </c>
      <c r="E1637" s="4">
        <v>-1.0877760756138921E-2</v>
      </c>
      <c r="F1637" s="3">
        <v>1635</v>
      </c>
      <c r="G1637" s="3">
        <v>2</v>
      </c>
      <c r="H1637" s="5">
        <v>1056017.32</v>
      </c>
      <c r="I1637" s="5">
        <v>348977.32000000012</v>
      </c>
      <c r="J1637" s="5">
        <v>0</v>
      </c>
      <c r="K1637" s="5">
        <v>707040</v>
      </c>
      <c r="L1637" s="5">
        <v>2418700</v>
      </c>
      <c r="M1637" s="5">
        <v>-439140</v>
      </c>
      <c r="N1637" s="5">
        <v>-499520</v>
      </c>
    </row>
    <row r="1638" spans="1:14" x14ac:dyDescent="0.25">
      <c r="A1638" s="3" t="s">
        <v>1649</v>
      </c>
      <c r="B1638" s="4">
        <v>0.26</v>
      </c>
      <c r="C1638" s="4">
        <v>-0.1</v>
      </c>
      <c r="D1638" s="4">
        <v>-7.0000000000000007E-2</v>
      </c>
      <c r="E1638" s="4">
        <v>-1.088228107547831E-2</v>
      </c>
      <c r="F1638" s="3">
        <v>1636</v>
      </c>
      <c r="G1638" s="3">
        <v>2</v>
      </c>
      <c r="H1638" s="5">
        <v>6891.9049000000005</v>
      </c>
      <c r="I1638" s="5">
        <v>237891.90489999999</v>
      </c>
      <c r="J1638" s="5">
        <v>575620</v>
      </c>
      <c r="K1638" s="5">
        <v>344620</v>
      </c>
      <c r="L1638" s="5">
        <v>6345320</v>
      </c>
      <c r="M1638" s="5">
        <v>898250</v>
      </c>
      <c r="N1638" s="5">
        <v>-765210</v>
      </c>
    </row>
    <row r="1639" spans="1:14" x14ac:dyDescent="0.25">
      <c r="A1639" s="3" t="s">
        <v>1650</v>
      </c>
      <c r="B1639" s="4">
        <v>2.8</v>
      </c>
      <c r="C1639" s="4">
        <v>0.42</v>
      </c>
      <c r="D1639" s="4">
        <v>0.17</v>
      </c>
      <c r="E1639" s="4">
        <v>-1.090557511992403E-2</v>
      </c>
      <c r="F1639" s="3">
        <v>1637</v>
      </c>
      <c r="G1639" s="3">
        <v>2</v>
      </c>
      <c r="H1639" s="5">
        <v>3313715187.1999998</v>
      </c>
      <c r="I1639" s="5">
        <v>2540988187.1999998</v>
      </c>
      <c r="J1639" s="5">
        <v>0</v>
      </c>
      <c r="K1639" s="5">
        <v>772727000</v>
      </c>
      <c r="L1639" s="5">
        <v>4948587000</v>
      </c>
      <c r="M1639" s="5">
        <v>906189000</v>
      </c>
      <c r="N1639" s="5">
        <v>566223000</v>
      </c>
    </row>
    <row r="1640" spans="1:14" x14ac:dyDescent="0.25">
      <c r="A1640" s="3" t="s">
        <v>1651</v>
      </c>
      <c r="B1640" s="4">
        <v>-1.1200000000000001</v>
      </c>
      <c r="C1640" s="4">
        <v>-0.39</v>
      </c>
      <c r="D1640" s="4">
        <v>-0.28999999999999998</v>
      </c>
      <c r="E1640" s="4">
        <v>-1.090852387740603E-2</v>
      </c>
      <c r="F1640" s="3">
        <v>1638</v>
      </c>
      <c r="G1640" s="3">
        <v>2</v>
      </c>
      <c r="H1640" s="5">
        <v>94575653.620000005</v>
      </c>
      <c r="I1640" s="5">
        <v>68796653.620000005</v>
      </c>
      <c r="J1640" s="5">
        <v>0</v>
      </c>
      <c r="K1640" s="5">
        <v>25779000</v>
      </c>
      <c r="L1640" s="5">
        <v>566000</v>
      </c>
      <c r="M1640" s="5">
        <v>-61272000</v>
      </c>
      <c r="N1640" s="5">
        <v>-26433000</v>
      </c>
    </row>
    <row r="1641" spans="1:14" x14ac:dyDescent="0.25">
      <c r="A1641" s="3" t="s">
        <v>1652</v>
      </c>
      <c r="B1641" s="4">
        <v>54.36</v>
      </c>
      <c r="C1641" s="4">
        <v>11.47</v>
      </c>
      <c r="D1641" s="4">
        <v>7.0000000000000007E-2</v>
      </c>
      <c r="E1641" s="4">
        <v>-1.090897420885433E-2</v>
      </c>
      <c r="F1641" s="3">
        <v>1639</v>
      </c>
      <c r="G1641" s="3">
        <v>2</v>
      </c>
      <c r="H1641" s="5">
        <v>6883300</v>
      </c>
      <c r="I1641" s="5">
        <v>7066300</v>
      </c>
      <c r="J1641" s="5">
        <v>497000</v>
      </c>
      <c r="K1641" s="5">
        <v>314000</v>
      </c>
      <c r="L1641" s="5">
        <v>4216000</v>
      </c>
      <c r="M1641" s="5">
        <v>130000</v>
      </c>
      <c r="N1641" s="5">
        <v>172000</v>
      </c>
    </row>
    <row r="1642" spans="1:14" x14ac:dyDescent="0.25">
      <c r="A1642" s="3" t="s">
        <v>1653</v>
      </c>
      <c r="B1642" s="4">
        <v>-8.23</v>
      </c>
      <c r="C1642" s="4">
        <v>-1.83</v>
      </c>
      <c r="D1642" s="4">
        <v>-1.56</v>
      </c>
      <c r="E1642" s="4">
        <v>-1.0913664412209159E-2</v>
      </c>
      <c r="F1642" s="3">
        <v>1640</v>
      </c>
      <c r="G1642" s="3">
        <v>2</v>
      </c>
      <c r="H1642" s="5">
        <v>1412130074</v>
      </c>
      <c r="I1642" s="5">
        <v>1334739074</v>
      </c>
      <c r="J1642" s="5">
        <v>0</v>
      </c>
      <c r="K1642" s="5">
        <v>77391000</v>
      </c>
      <c r="L1642" s="5">
        <v>87371000</v>
      </c>
      <c r="M1642" s="5">
        <v>-162273000</v>
      </c>
      <c r="N1642" s="5">
        <v>-301743000</v>
      </c>
    </row>
    <row r="1643" spans="1:14" x14ac:dyDescent="0.25">
      <c r="A1643" s="3" t="s">
        <v>1654</v>
      </c>
      <c r="B1643" s="4">
        <v>1.54</v>
      </c>
      <c r="C1643" s="4">
        <v>0.15</v>
      </c>
      <c r="D1643" s="4">
        <v>0.1</v>
      </c>
      <c r="E1643" s="4">
        <v>-1.091936577752517E-2</v>
      </c>
      <c r="F1643" s="3">
        <v>1641</v>
      </c>
      <c r="G1643" s="3">
        <v>2</v>
      </c>
      <c r="H1643" s="5">
        <v>10255646.3256</v>
      </c>
      <c r="I1643" s="5">
        <v>10727116.3256</v>
      </c>
      <c r="J1643" s="5">
        <v>1655930</v>
      </c>
      <c r="K1643" s="5">
        <v>1184460</v>
      </c>
      <c r="L1643" s="5">
        <v>49840290</v>
      </c>
      <c r="M1643" s="5">
        <v>6960420</v>
      </c>
      <c r="N1643" s="5">
        <v>3073830</v>
      </c>
    </row>
    <row r="1644" spans="1:14" x14ac:dyDescent="0.25">
      <c r="A1644" s="3" t="s">
        <v>1655</v>
      </c>
      <c r="B1644" s="4">
        <v>1.1299999999999999</v>
      </c>
      <c r="C1644" s="4">
        <v>0.39</v>
      </c>
      <c r="D1644" s="4">
        <v>-4.9000000000000004</v>
      </c>
      <c r="E1644" s="4">
        <v>-1.0936675064350939E-2</v>
      </c>
      <c r="F1644" s="3">
        <v>1642</v>
      </c>
      <c r="G1644" s="3">
        <v>2</v>
      </c>
      <c r="H1644" s="5">
        <v>3361.8238000000001</v>
      </c>
      <c r="I1644" s="5">
        <v>-27858.176200000002</v>
      </c>
      <c r="J1644" s="5">
        <v>5940</v>
      </c>
      <c r="K1644" s="5">
        <v>37160</v>
      </c>
      <c r="L1644" s="5">
        <v>249180</v>
      </c>
      <c r="M1644" s="5">
        <v>-24620</v>
      </c>
      <c r="N1644" s="5">
        <v>-328850</v>
      </c>
    </row>
    <row r="1645" spans="1:14" x14ac:dyDescent="0.25">
      <c r="A1645" s="3" t="s">
        <v>1656</v>
      </c>
      <c r="B1645" s="4">
        <v>1.42</v>
      </c>
      <c r="C1645" s="4">
        <v>0.12</v>
      </c>
      <c r="D1645" s="4">
        <v>0.06</v>
      </c>
      <c r="E1645" s="4">
        <v>-1.0939492236513641E-2</v>
      </c>
      <c r="F1645" s="3">
        <v>1643</v>
      </c>
      <c r="G1645" s="3">
        <v>2</v>
      </c>
      <c r="H1645" s="5">
        <v>398266526.45999998</v>
      </c>
      <c r="I1645" s="5">
        <v>396376526.45999998</v>
      </c>
      <c r="J1645" s="5">
        <v>80760000</v>
      </c>
      <c r="K1645" s="5">
        <v>82650000</v>
      </c>
      <c r="L1645" s="5">
        <v>478988000</v>
      </c>
      <c r="M1645" s="5">
        <v>279530000</v>
      </c>
      <c r="N1645" s="5">
        <v>58490000</v>
      </c>
    </row>
    <row r="1646" spans="1:14" x14ac:dyDescent="0.25">
      <c r="A1646" s="3" t="s">
        <v>1657</v>
      </c>
      <c r="B1646" s="4">
        <v>-12.19</v>
      </c>
      <c r="C1646" s="4">
        <v>-2.78</v>
      </c>
      <c r="D1646" s="4">
        <v>-0.19</v>
      </c>
      <c r="E1646" s="4">
        <v>-1.09433549814217E-2</v>
      </c>
      <c r="F1646" s="3">
        <v>1644</v>
      </c>
      <c r="G1646" s="3">
        <v>2</v>
      </c>
      <c r="H1646" s="5">
        <v>490541694.42000002</v>
      </c>
      <c r="I1646" s="5">
        <v>592831694.42000008</v>
      </c>
      <c r="J1646" s="5">
        <v>119201000</v>
      </c>
      <c r="K1646" s="5">
        <v>16911000</v>
      </c>
      <c r="L1646" s="5">
        <v>92637000</v>
      </c>
      <c r="M1646" s="5">
        <v>-48613000</v>
      </c>
      <c r="N1646" s="5">
        <v>-37384000</v>
      </c>
    </row>
    <row r="1647" spans="1:14" x14ac:dyDescent="0.25">
      <c r="A1647" s="3" t="s">
        <v>1658</v>
      </c>
      <c r="B1647" s="4">
        <v>2.87</v>
      </c>
      <c r="C1647" s="4">
        <v>0.44</v>
      </c>
      <c r="D1647" s="4">
        <v>-0.11</v>
      </c>
      <c r="E1647" s="4">
        <v>-1.0945125089944821E-2</v>
      </c>
      <c r="F1647" s="3">
        <v>1645</v>
      </c>
      <c r="G1647" s="3">
        <v>2</v>
      </c>
      <c r="H1647" s="5">
        <v>27223904.526000001</v>
      </c>
      <c r="I1647" s="5">
        <v>74630904.525999993</v>
      </c>
      <c r="J1647" s="5">
        <v>57642000</v>
      </c>
      <c r="K1647" s="5">
        <v>10235000</v>
      </c>
      <c r="L1647" s="5">
        <v>343643000</v>
      </c>
      <c r="M1647" s="5">
        <v>25972000</v>
      </c>
      <c r="N1647" s="5">
        <v>-44149000</v>
      </c>
    </row>
    <row r="1648" spans="1:14" x14ac:dyDescent="0.25">
      <c r="A1648" s="3" t="s">
        <v>1659</v>
      </c>
      <c r="B1648" s="4">
        <v>-2.3199999999999998</v>
      </c>
      <c r="C1648" s="4">
        <v>-0.66</v>
      </c>
      <c r="D1648" s="4">
        <v>-0.3</v>
      </c>
      <c r="E1648" s="4">
        <v>-1.094787560972461E-2</v>
      </c>
      <c r="F1648" s="3">
        <v>1646</v>
      </c>
      <c r="G1648" s="3">
        <v>2</v>
      </c>
      <c r="H1648" s="5">
        <v>21859739.285999998</v>
      </c>
      <c r="I1648" s="5">
        <v>32670229.285999998</v>
      </c>
      <c r="J1648" s="5">
        <v>11125600</v>
      </c>
      <c r="K1648" s="5">
        <v>315110</v>
      </c>
      <c r="L1648" s="5">
        <v>54426400</v>
      </c>
      <c r="M1648" s="5">
        <v>-14071970</v>
      </c>
      <c r="N1648" s="5">
        <v>-16183020</v>
      </c>
    </row>
    <row r="1649" spans="1:14" x14ac:dyDescent="0.25">
      <c r="A1649" s="3" t="s">
        <v>1660</v>
      </c>
      <c r="B1649" s="4">
        <v>-1.44</v>
      </c>
      <c r="C1649" s="4">
        <v>-0.48</v>
      </c>
      <c r="D1649" s="4">
        <v>-0.19</v>
      </c>
      <c r="E1649" s="4">
        <v>-1.0951221492454619E-2</v>
      </c>
      <c r="F1649" s="3">
        <v>1647</v>
      </c>
      <c r="G1649" s="3">
        <v>2</v>
      </c>
      <c r="H1649" s="5">
        <v>44992510.281599998</v>
      </c>
      <c r="I1649" s="5">
        <v>20908510.281599998</v>
      </c>
      <c r="J1649" s="5">
        <v>12313000</v>
      </c>
      <c r="K1649" s="5">
        <v>36397000</v>
      </c>
      <c r="L1649" s="5">
        <v>588846000</v>
      </c>
      <c r="M1649" s="5">
        <v>-14549000</v>
      </c>
      <c r="N1649" s="5">
        <v>-40601000</v>
      </c>
    </row>
    <row r="1650" spans="1:14" x14ac:dyDescent="0.25">
      <c r="A1650" s="3" t="s">
        <v>1661</v>
      </c>
      <c r="B1650" s="4">
        <v>0.06</v>
      </c>
      <c r="C1650" s="4">
        <v>-0.17</v>
      </c>
      <c r="D1650" s="4">
        <v>-0.05</v>
      </c>
      <c r="E1650" s="4">
        <v>-1.0956894157482961E-2</v>
      </c>
      <c r="F1650" s="3">
        <v>1648</v>
      </c>
      <c r="G1650" s="3">
        <v>2</v>
      </c>
      <c r="H1650" s="5">
        <v>83383821.343500003</v>
      </c>
      <c r="I1650" s="5">
        <v>-4088178.6564999968</v>
      </c>
      <c r="J1650" s="5">
        <v>30000000</v>
      </c>
      <c r="K1650" s="5">
        <v>117472000</v>
      </c>
      <c r="L1650" s="5">
        <v>3473139000</v>
      </c>
      <c r="M1650" s="5">
        <v>-63309000</v>
      </c>
      <c r="N1650" s="5">
        <v>-61236000</v>
      </c>
    </row>
    <row r="1651" spans="1:14" x14ac:dyDescent="0.25">
      <c r="A1651" s="3" t="s">
        <v>1662</v>
      </c>
      <c r="B1651" s="4">
        <v>-1.39</v>
      </c>
      <c r="C1651" s="4">
        <v>-0.48</v>
      </c>
      <c r="D1651" s="4">
        <v>-0.06</v>
      </c>
      <c r="E1651" s="4">
        <v>-1.095709017543243E-2</v>
      </c>
      <c r="F1651" s="3">
        <v>1649</v>
      </c>
      <c r="G1651" s="3">
        <v>2</v>
      </c>
      <c r="H1651" s="5">
        <v>772615947.29999995</v>
      </c>
      <c r="I1651" s="5">
        <v>-3302108052.6999998</v>
      </c>
      <c r="J1651" s="5">
        <v>2675455000</v>
      </c>
      <c r="K1651" s="5">
        <v>6750179000</v>
      </c>
      <c r="L1651" s="5">
        <v>57046561000</v>
      </c>
      <c r="M1651" s="5">
        <v>2368221000</v>
      </c>
      <c r="N1651" s="5">
        <v>-1604907000</v>
      </c>
    </row>
    <row r="1652" spans="1:14" x14ac:dyDescent="0.25">
      <c r="A1652" s="3" t="s">
        <v>1663</v>
      </c>
      <c r="B1652" s="4">
        <v>1.69</v>
      </c>
      <c r="C1652" s="4">
        <v>0.17</v>
      </c>
      <c r="D1652" s="4">
        <v>0.05</v>
      </c>
      <c r="E1652" s="4">
        <v>-1.0964061781839949E-2</v>
      </c>
      <c r="F1652" s="3">
        <v>1650</v>
      </c>
      <c r="G1652" s="3">
        <v>2</v>
      </c>
      <c r="H1652" s="5">
        <v>2556415359.0100002</v>
      </c>
      <c r="I1652" s="5">
        <v>1709867359.01</v>
      </c>
      <c r="J1652" s="5">
        <v>149945000</v>
      </c>
      <c r="K1652" s="5">
        <v>996493000</v>
      </c>
      <c r="L1652" s="5">
        <v>2289816000</v>
      </c>
      <c r="M1652" s="5">
        <v>1009465000</v>
      </c>
      <c r="N1652" s="5">
        <v>400429000</v>
      </c>
    </row>
    <row r="1653" spans="1:14" x14ac:dyDescent="0.25">
      <c r="A1653" s="3" t="s">
        <v>1664</v>
      </c>
      <c r="B1653" s="4">
        <v>2.82</v>
      </c>
      <c r="C1653" s="4">
        <v>0.41</v>
      </c>
      <c r="D1653" s="4">
        <v>0.06</v>
      </c>
      <c r="E1653" s="4">
        <v>-1.096806643068521E-2</v>
      </c>
      <c r="F1653" s="3">
        <v>1651</v>
      </c>
      <c r="G1653" s="3">
        <v>2</v>
      </c>
      <c r="H1653" s="5">
        <v>1096100.798</v>
      </c>
      <c r="I1653" s="5">
        <v>10213690.798</v>
      </c>
      <c r="J1653" s="5">
        <v>9992020</v>
      </c>
      <c r="K1653" s="5">
        <v>874430</v>
      </c>
      <c r="L1653" s="5">
        <v>40903270</v>
      </c>
      <c r="M1653" s="5">
        <v>3621420</v>
      </c>
      <c r="N1653" s="5">
        <v>2980320</v>
      </c>
    </row>
    <row r="1654" spans="1:14" x14ac:dyDescent="0.25">
      <c r="A1654" s="3" t="s">
        <v>1665</v>
      </c>
      <c r="B1654" s="4">
        <v>1.98</v>
      </c>
      <c r="C1654" s="4">
        <v>0.23</v>
      </c>
      <c r="D1654" s="4">
        <v>0.05</v>
      </c>
      <c r="E1654" s="4">
        <v>-1.097018710496845E-2</v>
      </c>
      <c r="F1654" s="3">
        <v>1652</v>
      </c>
      <c r="G1654" s="3">
        <v>2</v>
      </c>
      <c r="H1654" s="5">
        <v>657688102.13999999</v>
      </c>
      <c r="I1654" s="5">
        <v>999046102.13999999</v>
      </c>
      <c r="J1654" s="5">
        <v>399674000</v>
      </c>
      <c r="K1654" s="5">
        <v>58316000</v>
      </c>
      <c r="L1654" s="5">
        <v>1135896000</v>
      </c>
      <c r="M1654" s="5">
        <v>504688000</v>
      </c>
      <c r="N1654" s="5">
        <v>62392000</v>
      </c>
    </row>
    <row r="1655" spans="1:14" x14ac:dyDescent="0.25">
      <c r="A1655" s="3" t="s">
        <v>1666</v>
      </c>
      <c r="B1655" s="4">
        <v>-4.42</v>
      </c>
      <c r="C1655" s="4">
        <v>-1.1100000000000001</v>
      </c>
      <c r="D1655" s="4">
        <v>-0.44</v>
      </c>
      <c r="E1655" s="4">
        <v>-1.0975361101074039E-2</v>
      </c>
      <c r="F1655" s="3">
        <v>1653</v>
      </c>
      <c r="G1655" s="3">
        <v>2</v>
      </c>
      <c r="H1655" s="5">
        <v>1312414053.8</v>
      </c>
      <c r="I1655" s="5">
        <v>1502021053.8</v>
      </c>
      <c r="J1655" s="5">
        <v>343690000</v>
      </c>
      <c r="K1655" s="5">
        <v>154083000</v>
      </c>
      <c r="L1655" s="5">
        <v>23680000</v>
      </c>
      <c r="M1655" s="5">
        <v>-339664000</v>
      </c>
      <c r="N1655" s="5">
        <v>-318758000</v>
      </c>
    </row>
    <row r="1656" spans="1:14" x14ac:dyDescent="0.25">
      <c r="A1656" s="3" t="s">
        <v>1667</v>
      </c>
      <c r="B1656" s="4">
        <v>-1.46</v>
      </c>
      <c r="C1656" s="4">
        <v>-0.48</v>
      </c>
      <c r="D1656" s="4">
        <v>-0.42</v>
      </c>
      <c r="E1656" s="4">
        <v>-1.09832106923431E-2</v>
      </c>
      <c r="F1656" s="3">
        <v>1654</v>
      </c>
      <c r="G1656" s="3">
        <v>2</v>
      </c>
      <c r="H1656" s="5">
        <v>300557385.64999998</v>
      </c>
      <c r="I1656" s="5">
        <v>204857385.65000001</v>
      </c>
      <c r="J1656" s="5">
        <v>921000</v>
      </c>
      <c r="K1656" s="5">
        <v>96621000</v>
      </c>
      <c r="L1656" s="5">
        <v>0</v>
      </c>
      <c r="M1656" s="5">
        <v>-140455000</v>
      </c>
      <c r="N1656" s="5">
        <v>-127477000</v>
      </c>
    </row>
    <row r="1657" spans="1:14" x14ac:dyDescent="0.25">
      <c r="A1657" s="3" t="s">
        <v>1668</v>
      </c>
      <c r="B1657" s="4">
        <v>0.62</v>
      </c>
      <c r="C1657" s="4">
        <v>-0.06</v>
      </c>
      <c r="D1657" s="4">
        <v>-0.05</v>
      </c>
      <c r="E1657" s="4">
        <v>-1.098565999936026E-2</v>
      </c>
      <c r="F1657" s="3">
        <v>1655</v>
      </c>
      <c r="G1657" s="3">
        <v>2</v>
      </c>
      <c r="H1657" s="5">
        <v>5185.1280969999998</v>
      </c>
      <c r="I1657" s="5">
        <v>-303494.87190299999</v>
      </c>
      <c r="J1657" s="5">
        <v>-303580</v>
      </c>
      <c r="K1657" s="5">
        <v>5100</v>
      </c>
      <c r="L1657" s="5">
        <v>0</v>
      </c>
      <c r="M1657" s="5">
        <v>-492560</v>
      </c>
      <c r="N1657" s="5">
        <v>-644320</v>
      </c>
    </row>
    <row r="1658" spans="1:14" x14ac:dyDescent="0.25">
      <c r="A1658" s="3" t="s">
        <v>1669</v>
      </c>
      <c r="B1658" s="4">
        <v>-0.02</v>
      </c>
      <c r="C1658" s="4">
        <v>-0.19</v>
      </c>
      <c r="D1658" s="4">
        <v>-0.17</v>
      </c>
      <c r="E1658" s="4">
        <v>-1.098831604486532E-2</v>
      </c>
      <c r="F1658" s="3">
        <v>1656</v>
      </c>
      <c r="G1658" s="3">
        <v>2</v>
      </c>
      <c r="H1658" s="5">
        <v>22131.339995999999</v>
      </c>
      <c r="I1658" s="5">
        <v>14991.339996000001</v>
      </c>
      <c r="J1658" s="5">
        <v>0</v>
      </c>
      <c r="K1658" s="5">
        <v>7140</v>
      </c>
      <c r="L1658" s="5">
        <v>428990</v>
      </c>
      <c r="M1658" s="5">
        <v>-659160</v>
      </c>
      <c r="N1658" s="5">
        <v>-1828120</v>
      </c>
    </row>
    <row r="1659" spans="1:14" x14ac:dyDescent="0.25">
      <c r="A1659" s="3" t="s">
        <v>1670</v>
      </c>
      <c r="B1659" s="4">
        <v>-7.78</v>
      </c>
      <c r="C1659" s="4">
        <v>-1.82</v>
      </c>
      <c r="D1659" s="4">
        <v>-0.66</v>
      </c>
      <c r="E1659" s="4">
        <v>-1.098967266958766E-2</v>
      </c>
      <c r="F1659" s="3">
        <v>1657</v>
      </c>
      <c r="G1659" s="3">
        <v>2</v>
      </c>
      <c r="H1659" s="5">
        <v>440349677.75999999</v>
      </c>
      <c r="I1659" s="5">
        <v>410506677.75999999</v>
      </c>
      <c r="J1659" s="5">
        <v>28671000</v>
      </c>
      <c r="K1659" s="5">
        <v>58514000</v>
      </c>
      <c r="L1659" s="5">
        <v>4055000</v>
      </c>
      <c r="M1659" s="5">
        <v>-52789000</v>
      </c>
      <c r="N1659" s="5">
        <v>-54054000</v>
      </c>
    </row>
    <row r="1660" spans="1:14" x14ac:dyDescent="0.25">
      <c r="A1660" s="3" t="s">
        <v>1671</v>
      </c>
      <c r="B1660" s="4">
        <v>0.48</v>
      </c>
      <c r="C1660" s="4">
        <v>-0.09</v>
      </c>
      <c r="D1660" s="4">
        <v>-0.08</v>
      </c>
      <c r="E1660" s="4">
        <v>-1.099147902037706E-2</v>
      </c>
      <c r="F1660" s="3">
        <v>1658</v>
      </c>
      <c r="G1660" s="3">
        <v>2</v>
      </c>
      <c r="H1660" s="5">
        <v>41414615.143200003</v>
      </c>
      <c r="I1660" s="5">
        <v>-25860374.85679999</v>
      </c>
      <c r="J1660" s="5">
        <v>31599590</v>
      </c>
      <c r="K1660" s="5">
        <v>98874580</v>
      </c>
      <c r="L1660" s="5">
        <v>66285030</v>
      </c>
      <c r="M1660" s="5">
        <v>-54159360</v>
      </c>
      <c r="N1660" s="5">
        <v>-42588550</v>
      </c>
    </row>
    <row r="1661" spans="1:14" x14ac:dyDescent="0.25">
      <c r="A1661" s="3" t="s">
        <v>1672</v>
      </c>
      <c r="B1661" s="4">
        <v>-0.69</v>
      </c>
      <c r="C1661" s="4">
        <v>-0.33</v>
      </c>
      <c r="D1661" s="4">
        <v>-0.24</v>
      </c>
      <c r="E1661" s="4">
        <v>-1.099165294740609E-2</v>
      </c>
      <c r="F1661" s="3">
        <v>1659</v>
      </c>
      <c r="G1661" s="3">
        <v>2</v>
      </c>
      <c r="H1661" s="5">
        <v>84824887.359999999</v>
      </c>
      <c r="I1661" s="5">
        <v>57438887.359999999</v>
      </c>
      <c r="J1661" s="5">
        <v>0</v>
      </c>
      <c r="K1661" s="5">
        <v>27386000</v>
      </c>
      <c r="L1661" s="5">
        <v>52295000</v>
      </c>
      <c r="M1661" s="5">
        <v>-83494000</v>
      </c>
      <c r="N1661" s="5">
        <v>-78058000</v>
      </c>
    </row>
    <row r="1662" spans="1:14" x14ac:dyDescent="0.25">
      <c r="A1662" s="3" t="s">
        <v>1673</v>
      </c>
      <c r="B1662" s="4">
        <v>-0.65</v>
      </c>
      <c r="C1662" s="4">
        <v>-0.32</v>
      </c>
      <c r="D1662" s="4">
        <v>-0.27</v>
      </c>
      <c r="E1662" s="4">
        <v>-1.099330324291246E-2</v>
      </c>
      <c r="F1662" s="3">
        <v>1660</v>
      </c>
      <c r="G1662" s="3">
        <v>2</v>
      </c>
      <c r="H1662" s="5">
        <v>68855169.319999993</v>
      </c>
      <c r="I1662" s="5">
        <v>16778169.319999989</v>
      </c>
      <c r="J1662" s="5">
        <v>692000</v>
      </c>
      <c r="K1662" s="5">
        <v>52769000</v>
      </c>
      <c r="L1662" s="5">
        <v>917000</v>
      </c>
      <c r="M1662" s="5">
        <v>-25821000</v>
      </c>
      <c r="N1662" s="5">
        <v>-30520000</v>
      </c>
    </row>
    <row r="1663" spans="1:14" x14ac:dyDescent="0.25">
      <c r="A1663" s="3" t="s">
        <v>1674</v>
      </c>
      <c r="B1663" s="4">
        <v>2.0499999999999998</v>
      </c>
      <c r="C1663" s="4">
        <v>0.23</v>
      </c>
      <c r="D1663" s="4">
        <v>0.12</v>
      </c>
      <c r="E1663" s="4">
        <v>-1.1000008358805449E-2</v>
      </c>
      <c r="F1663" s="3">
        <v>1661</v>
      </c>
      <c r="G1663" s="3">
        <v>2</v>
      </c>
      <c r="H1663" s="5">
        <v>17742110.52</v>
      </c>
      <c r="I1663" s="5">
        <v>30449210.52</v>
      </c>
      <c r="J1663" s="5">
        <v>19366240</v>
      </c>
      <c r="K1663" s="5">
        <v>6659140</v>
      </c>
      <c r="L1663" s="5">
        <v>83944660</v>
      </c>
      <c r="M1663" s="5">
        <v>14839410</v>
      </c>
      <c r="N1663" s="5">
        <v>14066970</v>
      </c>
    </row>
    <row r="1664" spans="1:14" x14ac:dyDescent="0.25">
      <c r="A1664" s="3" t="s">
        <v>1675</v>
      </c>
      <c r="B1664" s="4">
        <v>25.81</v>
      </c>
      <c r="C1664" s="4">
        <v>5.32</v>
      </c>
      <c r="D1664" s="4">
        <v>0.11</v>
      </c>
      <c r="E1664" s="4">
        <v>-1.1000644151279861E-2</v>
      </c>
      <c r="F1664" s="3">
        <v>1662</v>
      </c>
      <c r="G1664" s="3">
        <v>2</v>
      </c>
      <c r="H1664" s="5">
        <v>678928319</v>
      </c>
      <c r="I1664" s="5">
        <v>681862319</v>
      </c>
      <c r="J1664" s="5">
        <v>59680000</v>
      </c>
      <c r="K1664" s="5">
        <v>56746000</v>
      </c>
      <c r="L1664" s="5">
        <v>179278000</v>
      </c>
      <c r="M1664" s="5">
        <v>26420000</v>
      </c>
      <c r="N1664" s="5">
        <v>17485000</v>
      </c>
    </row>
    <row r="1665" spans="1:14" x14ac:dyDescent="0.25">
      <c r="A1665" s="3" t="s">
        <v>1676</v>
      </c>
      <c r="B1665" s="4">
        <v>-2.86</v>
      </c>
      <c r="C1665" s="4">
        <v>-0.77</v>
      </c>
      <c r="D1665" s="4">
        <v>-0.68</v>
      </c>
      <c r="E1665" s="4">
        <v>-1.100479118918669E-2</v>
      </c>
      <c r="F1665" s="3">
        <v>1663</v>
      </c>
      <c r="G1665" s="3">
        <v>2</v>
      </c>
      <c r="H1665" s="5">
        <v>330964698.75</v>
      </c>
      <c r="I1665" s="5">
        <v>294038698.75</v>
      </c>
      <c r="J1665" s="5">
        <v>0</v>
      </c>
      <c r="K1665" s="5">
        <v>36926000</v>
      </c>
      <c r="L1665" s="5">
        <v>20000</v>
      </c>
      <c r="M1665" s="5">
        <v>-102934000</v>
      </c>
      <c r="N1665" s="5">
        <v>-95059000</v>
      </c>
    </row>
    <row r="1666" spans="1:14" x14ac:dyDescent="0.25">
      <c r="A1666" s="3" t="s">
        <v>1677</v>
      </c>
      <c r="B1666" s="4">
        <v>-1.43</v>
      </c>
      <c r="C1666" s="4">
        <v>-0.49</v>
      </c>
      <c r="D1666" s="4">
        <v>-0.3</v>
      </c>
      <c r="E1666" s="4">
        <v>-1.100752359751872E-2</v>
      </c>
      <c r="F1666" s="3">
        <v>1664</v>
      </c>
      <c r="G1666" s="3">
        <v>2</v>
      </c>
      <c r="H1666" s="5">
        <v>220177936.71000001</v>
      </c>
      <c r="I1666" s="5">
        <v>164678936.71000001</v>
      </c>
      <c r="J1666" s="5">
        <v>0</v>
      </c>
      <c r="K1666" s="5">
        <v>55499000</v>
      </c>
      <c r="L1666" s="5">
        <v>35584000</v>
      </c>
      <c r="M1666" s="5">
        <v>-115359000</v>
      </c>
      <c r="N1666" s="5">
        <v>-105316000</v>
      </c>
    </row>
    <row r="1667" spans="1:14" x14ac:dyDescent="0.25">
      <c r="A1667" s="3" t="s">
        <v>1678</v>
      </c>
      <c r="B1667" s="4">
        <v>-0.97</v>
      </c>
      <c r="C1667" s="4">
        <v>-0.39</v>
      </c>
      <c r="D1667" s="4">
        <v>-0.35</v>
      </c>
      <c r="E1667" s="4">
        <v>-1.1012936122327229E-2</v>
      </c>
      <c r="F1667" s="3">
        <v>1665</v>
      </c>
      <c r="G1667" s="3">
        <v>2</v>
      </c>
      <c r="H1667" s="5">
        <v>91913376.719999999</v>
      </c>
      <c r="I1667" s="5">
        <v>52520376.719999999</v>
      </c>
      <c r="J1667" s="5">
        <v>0</v>
      </c>
      <c r="K1667" s="5">
        <v>39393000</v>
      </c>
      <c r="L1667" s="5">
        <v>0</v>
      </c>
      <c r="M1667" s="5">
        <v>-53964000</v>
      </c>
      <c r="N1667" s="5">
        <v>-49234000</v>
      </c>
    </row>
    <row r="1668" spans="1:14" x14ac:dyDescent="0.25">
      <c r="A1668" s="3" t="s">
        <v>1679</v>
      </c>
      <c r="B1668" s="4">
        <v>-0.44</v>
      </c>
      <c r="C1668" s="4">
        <v>-0.28999999999999998</v>
      </c>
      <c r="D1668" s="4">
        <v>-0.17</v>
      </c>
      <c r="E1668" s="4">
        <v>-1.1017305475732649E-2</v>
      </c>
      <c r="F1668" s="3">
        <v>1666</v>
      </c>
      <c r="G1668" s="3">
        <v>2</v>
      </c>
      <c r="H1668" s="5">
        <v>10732842</v>
      </c>
      <c r="I1668" s="5">
        <v>19771842</v>
      </c>
      <c r="J1668" s="5">
        <v>47698000</v>
      </c>
      <c r="K1668" s="5">
        <v>38659000</v>
      </c>
      <c r="L1668" s="5">
        <v>468894000</v>
      </c>
      <c r="M1668" s="5">
        <v>-44592000</v>
      </c>
      <c r="N1668" s="5">
        <v>-54966000</v>
      </c>
    </row>
    <row r="1669" spans="1:14" x14ac:dyDescent="0.25">
      <c r="A1669" s="3" t="s">
        <v>1680</v>
      </c>
      <c r="B1669" s="4">
        <v>1.62</v>
      </c>
      <c r="C1669" s="4">
        <v>0.13</v>
      </c>
      <c r="D1669" s="4">
        <v>0.05</v>
      </c>
      <c r="E1669" s="4">
        <v>-1.103631177001824E-2</v>
      </c>
      <c r="F1669" s="3">
        <v>1667</v>
      </c>
      <c r="G1669" s="3">
        <v>2</v>
      </c>
      <c r="H1669" s="5">
        <v>5697272.0610999996</v>
      </c>
      <c r="I1669" s="5">
        <v>4885832.0610999987</v>
      </c>
      <c r="J1669" s="5">
        <v>4102140</v>
      </c>
      <c r="K1669" s="5">
        <v>4913580</v>
      </c>
      <c r="L1669" s="5">
        <v>48259860</v>
      </c>
      <c r="M1669" s="5">
        <v>3012640</v>
      </c>
      <c r="N1669" s="5">
        <v>994880</v>
      </c>
    </row>
    <row r="1670" spans="1:14" x14ac:dyDescent="0.25">
      <c r="A1670" s="3" t="s">
        <v>1681</v>
      </c>
      <c r="B1670" s="4">
        <v>-2.73</v>
      </c>
      <c r="C1670" s="4">
        <v>-0.76</v>
      </c>
      <c r="D1670" s="4">
        <v>-0.6</v>
      </c>
      <c r="E1670" s="4">
        <v>-1.104092504361419E-2</v>
      </c>
      <c r="F1670" s="3">
        <v>1668</v>
      </c>
      <c r="G1670" s="3">
        <v>2</v>
      </c>
      <c r="H1670" s="5">
        <v>312066996.95999998</v>
      </c>
      <c r="I1670" s="5">
        <v>262645996.96000001</v>
      </c>
      <c r="J1670" s="5">
        <v>0</v>
      </c>
      <c r="K1670" s="5">
        <v>49421000</v>
      </c>
      <c r="L1670" s="5">
        <v>0</v>
      </c>
      <c r="M1670" s="5">
        <v>-96234000</v>
      </c>
      <c r="N1670" s="5">
        <v>-89981000</v>
      </c>
    </row>
    <row r="1671" spans="1:14" x14ac:dyDescent="0.25">
      <c r="A1671" s="3" t="s">
        <v>1682</v>
      </c>
      <c r="B1671" s="4">
        <v>-0.72</v>
      </c>
      <c r="C1671" s="4">
        <v>-0.35</v>
      </c>
      <c r="D1671" s="4">
        <v>-0.32</v>
      </c>
      <c r="E1671" s="4">
        <v>-1.104630475696382E-2</v>
      </c>
      <c r="F1671" s="3">
        <v>1669</v>
      </c>
      <c r="G1671" s="3">
        <v>2</v>
      </c>
      <c r="H1671" s="5">
        <v>5840513</v>
      </c>
      <c r="I1671" s="5">
        <v>2608513</v>
      </c>
      <c r="J1671" s="5">
        <v>0</v>
      </c>
      <c r="K1671" s="5">
        <v>3232000</v>
      </c>
      <c r="L1671" s="5">
        <v>2000000</v>
      </c>
      <c r="M1671" s="5">
        <v>-3628000</v>
      </c>
      <c r="N1671" s="5">
        <v>-3057000</v>
      </c>
    </row>
    <row r="1672" spans="1:14" x14ac:dyDescent="0.25">
      <c r="A1672" s="3" t="s">
        <v>1683</v>
      </c>
      <c r="B1672" s="4">
        <v>-4.5999999999999996</v>
      </c>
      <c r="C1672" s="4">
        <v>-1.17</v>
      </c>
      <c r="D1672" s="4">
        <v>-0.53</v>
      </c>
      <c r="E1672" s="4">
        <v>-1.1054678279810951E-2</v>
      </c>
      <c r="F1672" s="3">
        <v>1670</v>
      </c>
      <c r="G1672" s="3">
        <v>2</v>
      </c>
      <c r="H1672" s="5">
        <v>941810714.87</v>
      </c>
      <c r="I1672" s="5">
        <v>773736714.87</v>
      </c>
      <c r="J1672" s="5">
        <v>0</v>
      </c>
      <c r="K1672" s="5">
        <v>168074000</v>
      </c>
      <c r="L1672" s="5">
        <v>0</v>
      </c>
      <c r="M1672" s="5">
        <v>-168139000</v>
      </c>
      <c r="N1672" s="5">
        <v>-176207000</v>
      </c>
    </row>
    <row r="1673" spans="1:14" x14ac:dyDescent="0.25">
      <c r="A1673" s="3" t="s">
        <v>1684</v>
      </c>
      <c r="B1673" s="4">
        <v>0.1</v>
      </c>
      <c r="C1673" s="4">
        <v>-0.19</v>
      </c>
      <c r="D1673" s="4">
        <v>-0.15</v>
      </c>
      <c r="E1673" s="4">
        <v>-1.105872846007524E-2</v>
      </c>
      <c r="F1673" s="3">
        <v>1671</v>
      </c>
      <c r="G1673" s="3">
        <v>2</v>
      </c>
      <c r="H1673" s="5">
        <v>7454.0989</v>
      </c>
      <c r="I1673" s="5">
        <v>-2181545.9010999999</v>
      </c>
      <c r="J1673" s="5">
        <v>0</v>
      </c>
      <c r="K1673" s="5">
        <v>2189000</v>
      </c>
      <c r="L1673" s="5">
        <v>75048000</v>
      </c>
      <c r="M1673" s="5">
        <v>-21035000</v>
      </c>
      <c r="N1673" s="5">
        <v>-26369000</v>
      </c>
    </row>
    <row r="1674" spans="1:14" x14ac:dyDescent="0.25">
      <c r="A1674" s="3" t="s">
        <v>1685</v>
      </c>
      <c r="B1674" s="4">
        <v>1.32</v>
      </c>
      <c r="C1674" s="4">
        <v>0.09</v>
      </c>
      <c r="D1674" s="4">
        <v>-0.43</v>
      </c>
      <c r="E1674" s="4">
        <v>-1.1058803302884029E-2</v>
      </c>
      <c r="F1674" s="3">
        <v>1672</v>
      </c>
      <c r="G1674" s="3">
        <v>2</v>
      </c>
      <c r="H1674" s="5">
        <v>2130</v>
      </c>
      <c r="I1674" s="5">
        <v>-9050</v>
      </c>
      <c r="J1674" s="5">
        <v>0</v>
      </c>
      <c r="K1674" s="5">
        <v>11180</v>
      </c>
      <c r="L1674" s="5">
        <v>0</v>
      </c>
      <c r="M1674" s="5">
        <v>-6850</v>
      </c>
      <c r="N1674" s="5">
        <v>-6850</v>
      </c>
    </row>
    <row r="1675" spans="1:14" x14ac:dyDescent="0.25">
      <c r="A1675" s="3" t="s">
        <v>1686</v>
      </c>
      <c r="B1675" s="4">
        <v>-1.52</v>
      </c>
      <c r="C1675" s="4">
        <v>-0.52</v>
      </c>
      <c r="D1675" s="4">
        <v>-0.41</v>
      </c>
      <c r="E1675" s="4">
        <v>-1.1059720859640959E-2</v>
      </c>
      <c r="F1675" s="3">
        <v>1673</v>
      </c>
      <c r="G1675" s="3">
        <v>2</v>
      </c>
      <c r="H1675" s="5">
        <v>654955551.75999999</v>
      </c>
      <c r="I1675" s="5">
        <v>540261551.75999999</v>
      </c>
      <c r="J1675" s="5">
        <v>1000000</v>
      </c>
      <c r="K1675" s="5">
        <v>115694000</v>
      </c>
      <c r="L1675" s="5">
        <v>164070000</v>
      </c>
      <c r="M1675" s="5">
        <v>-354676000</v>
      </c>
      <c r="N1675" s="5">
        <v>-372177000</v>
      </c>
    </row>
    <row r="1676" spans="1:14" x14ac:dyDescent="0.25">
      <c r="A1676" s="3" t="s">
        <v>1687</v>
      </c>
      <c r="B1676" s="4">
        <v>1.71</v>
      </c>
      <c r="C1676" s="4">
        <v>0.14000000000000001</v>
      </c>
      <c r="D1676" s="4">
        <v>0.06</v>
      </c>
      <c r="E1676" s="4">
        <v>-1.106119198769997E-2</v>
      </c>
      <c r="F1676" s="3">
        <v>1674</v>
      </c>
      <c r="G1676" s="3">
        <v>2</v>
      </c>
      <c r="H1676" s="5">
        <v>5527064.4800000004</v>
      </c>
      <c r="I1676" s="5">
        <v>23466764.48</v>
      </c>
      <c r="J1676" s="5">
        <v>27105720</v>
      </c>
      <c r="K1676" s="5">
        <v>9166020</v>
      </c>
      <c r="L1676" s="5">
        <v>235667730</v>
      </c>
      <c r="M1676" s="5">
        <v>13738410</v>
      </c>
      <c r="N1676" s="5">
        <v>8063330</v>
      </c>
    </row>
    <row r="1677" spans="1:14" x14ac:dyDescent="0.25">
      <c r="A1677" s="3" t="s">
        <v>1688</v>
      </c>
      <c r="B1677" s="4">
        <v>-0.38</v>
      </c>
      <c r="C1677" s="4">
        <v>-0.3</v>
      </c>
      <c r="D1677" s="4">
        <v>-7.0000000000000007E-2</v>
      </c>
      <c r="E1677" s="4">
        <v>-1.106404405115451E-2</v>
      </c>
      <c r="F1677" s="3">
        <v>1675</v>
      </c>
      <c r="G1677" s="3">
        <v>2</v>
      </c>
      <c r="H1677" s="5">
        <v>56.530070000000002</v>
      </c>
      <c r="I1677" s="5">
        <v>1354896.5300700001</v>
      </c>
      <c r="J1677" s="5">
        <v>1694530</v>
      </c>
      <c r="K1677" s="5">
        <v>339690</v>
      </c>
      <c r="L1677" s="5">
        <v>9503020</v>
      </c>
      <c r="M1677" s="5">
        <v>-3546440</v>
      </c>
      <c r="N1677" s="5">
        <v>-289330</v>
      </c>
    </row>
    <row r="1678" spans="1:14" x14ac:dyDescent="0.25">
      <c r="A1678" s="3" t="s">
        <v>1689</v>
      </c>
      <c r="B1678" s="4">
        <v>1.53</v>
      </c>
      <c r="C1678" s="4">
        <v>0.1</v>
      </c>
      <c r="D1678" s="4">
        <v>0.05</v>
      </c>
      <c r="E1678" s="4">
        <v>-1.1067289739787919E-2</v>
      </c>
      <c r="F1678" s="3">
        <v>1676</v>
      </c>
      <c r="G1678" s="3">
        <v>2</v>
      </c>
      <c r="H1678" s="5">
        <v>736994134.38</v>
      </c>
      <c r="I1678" s="5">
        <v>3710242134.3800001</v>
      </c>
      <c r="J1678" s="5">
        <v>5227461000</v>
      </c>
      <c r="K1678" s="5">
        <v>2254213000</v>
      </c>
      <c r="L1678" s="5">
        <v>14203594000</v>
      </c>
      <c r="M1678" s="5">
        <v>2430634000</v>
      </c>
      <c r="N1678" s="5">
        <v>1100460000</v>
      </c>
    </row>
    <row r="1679" spans="1:14" x14ac:dyDescent="0.25">
      <c r="A1679" s="3" t="s">
        <v>1690</v>
      </c>
      <c r="B1679" s="4">
        <v>-0.68</v>
      </c>
      <c r="C1679" s="4">
        <v>-0.35</v>
      </c>
      <c r="D1679" s="4">
        <v>-0.31</v>
      </c>
      <c r="E1679" s="4">
        <v>-1.106913255317462E-2</v>
      </c>
      <c r="F1679" s="3">
        <v>1677</v>
      </c>
      <c r="G1679" s="3">
        <v>2</v>
      </c>
      <c r="H1679" s="5">
        <v>84024621.280000001</v>
      </c>
      <c r="I1679" s="5">
        <v>43955621.280000001</v>
      </c>
      <c r="J1679" s="5">
        <v>166000</v>
      </c>
      <c r="K1679" s="5">
        <v>40235000</v>
      </c>
      <c r="L1679" s="5">
        <v>251000</v>
      </c>
      <c r="M1679" s="5">
        <v>-64851000</v>
      </c>
      <c r="N1679" s="5">
        <v>-65373000</v>
      </c>
    </row>
    <row r="1680" spans="1:14" x14ac:dyDescent="0.25">
      <c r="A1680" s="3" t="s">
        <v>1691</v>
      </c>
      <c r="B1680" s="4">
        <v>1.68</v>
      </c>
      <c r="C1680" s="4">
        <v>0.13</v>
      </c>
      <c r="D1680" s="4">
        <v>0.06</v>
      </c>
      <c r="E1680" s="4">
        <v>-1.1071517977623201E-2</v>
      </c>
      <c r="F1680" s="3">
        <v>1678</v>
      </c>
      <c r="G1680" s="3">
        <v>2</v>
      </c>
      <c r="H1680" s="5">
        <v>2201675049.9899998</v>
      </c>
      <c r="I1680" s="5">
        <v>6619380049.9899998</v>
      </c>
      <c r="J1680" s="5">
        <v>4493531000</v>
      </c>
      <c r="K1680" s="5">
        <v>75826000</v>
      </c>
      <c r="L1680" s="5">
        <v>5206808000</v>
      </c>
      <c r="M1680" s="5">
        <v>3944638000</v>
      </c>
      <c r="N1680" s="5">
        <v>838723000</v>
      </c>
    </row>
    <row r="1681" spans="1:14" x14ac:dyDescent="0.25">
      <c r="A1681" s="3" t="s">
        <v>1692</v>
      </c>
      <c r="B1681" s="4">
        <v>1.37</v>
      </c>
      <c r="C1681" s="4">
        <v>0.06</v>
      </c>
      <c r="D1681" s="4">
        <v>0.04</v>
      </c>
      <c r="E1681" s="4">
        <v>-1.108576590327002E-2</v>
      </c>
      <c r="F1681" s="3">
        <v>1679</v>
      </c>
      <c r="G1681" s="3">
        <v>2</v>
      </c>
      <c r="H1681" s="5">
        <v>105632787.95999999</v>
      </c>
      <c r="I1681" s="5">
        <v>61134427.959999979</v>
      </c>
      <c r="J1681" s="5">
        <v>44743340</v>
      </c>
      <c r="K1681" s="5">
        <v>89241700</v>
      </c>
      <c r="L1681" s="5">
        <v>616555130</v>
      </c>
      <c r="M1681" s="5">
        <v>44573620</v>
      </c>
      <c r="N1681" s="5">
        <v>19992140</v>
      </c>
    </row>
    <row r="1682" spans="1:14" x14ac:dyDescent="0.25">
      <c r="A1682" s="3" t="s">
        <v>1693</v>
      </c>
      <c r="B1682" s="4">
        <v>2.66</v>
      </c>
      <c r="C1682" s="4">
        <v>0.32</v>
      </c>
      <c r="D1682" s="4">
        <v>0.26</v>
      </c>
      <c r="E1682" s="4">
        <v>-1.109050107111197E-2</v>
      </c>
      <c r="F1682" s="3">
        <v>1680</v>
      </c>
      <c r="G1682" s="3">
        <v>2</v>
      </c>
      <c r="H1682" s="5">
        <v>14431725</v>
      </c>
      <c r="I1682" s="5">
        <v>13988405</v>
      </c>
      <c r="J1682" s="5">
        <v>0</v>
      </c>
      <c r="K1682" s="5">
        <v>443320</v>
      </c>
      <c r="L1682" s="5">
        <v>35611760</v>
      </c>
      <c r="M1682" s="5">
        <v>5267600</v>
      </c>
      <c r="N1682" s="5">
        <v>4282370</v>
      </c>
    </row>
    <row r="1683" spans="1:14" x14ac:dyDescent="0.25">
      <c r="A1683" s="3" t="s">
        <v>1694</v>
      </c>
      <c r="B1683" s="4">
        <v>-2.48</v>
      </c>
      <c r="C1683" s="4">
        <v>-0.74</v>
      </c>
      <c r="D1683" s="4">
        <v>-0.42</v>
      </c>
      <c r="E1683" s="4">
        <v>-1.1103145493617111E-2</v>
      </c>
      <c r="F1683" s="3">
        <v>1681</v>
      </c>
      <c r="G1683" s="3">
        <v>2</v>
      </c>
      <c r="H1683" s="5">
        <v>5623927.9199999999</v>
      </c>
      <c r="I1683" s="5">
        <v>10938927.92</v>
      </c>
      <c r="J1683" s="5">
        <v>6569000</v>
      </c>
      <c r="K1683" s="5">
        <v>1254000</v>
      </c>
      <c r="L1683" s="5">
        <v>8259000</v>
      </c>
      <c r="M1683" s="5">
        <v>-4407000</v>
      </c>
      <c r="N1683" s="5">
        <v>-22395000</v>
      </c>
    </row>
    <row r="1684" spans="1:14" x14ac:dyDescent="0.25">
      <c r="A1684" s="3" t="s">
        <v>1695</v>
      </c>
      <c r="B1684" s="4">
        <v>-3.43</v>
      </c>
      <c r="C1684" s="4">
        <v>-0.94</v>
      </c>
      <c r="D1684" s="4">
        <v>-0.5</v>
      </c>
      <c r="E1684" s="4">
        <v>-1.1108475305303961E-2</v>
      </c>
      <c r="F1684" s="3">
        <v>1682</v>
      </c>
      <c r="G1684" s="3">
        <v>2</v>
      </c>
      <c r="H1684" s="5">
        <v>9582192</v>
      </c>
      <c r="I1684" s="5">
        <v>9580412</v>
      </c>
      <c r="J1684" s="5">
        <v>0</v>
      </c>
      <c r="K1684" s="5">
        <v>1780</v>
      </c>
      <c r="L1684" s="5">
        <v>0</v>
      </c>
      <c r="M1684" s="5">
        <v>-2796210</v>
      </c>
      <c r="N1684" s="5">
        <v>-3258970</v>
      </c>
    </row>
    <row r="1685" spans="1:14" x14ac:dyDescent="0.25">
      <c r="A1685" s="3" t="s">
        <v>1696</v>
      </c>
      <c r="B1685" s="4">
        <v>-6.06</v>
      </c>
      <c r="C1685" s="4">
        <v>-1.53</v>
      </c>
      <c r="D1685" s="4">
        <v>-0.16</v>
      </c>
      <c r="E1685" s="4">
        <v>-1.1119850117190411E-2</v>
      </c>
      <c r="F1685" s="3">
        <v>1683</v>
      </c>
      <c r="G1685" s="3">
        <v>2</v>
      </c>
      <c r="H1685" s="5">
        <v>3451069.29</v>
      </c>
      <c r="I1685" s="5">
        <v>20681129.289999999</v>
      </c>
      <c r="J1685" s="5">
        <v>21127570</v>
      </c>
      <c r="K1685" s="5">
        <v>3897510</v>
      </c>
      <c r="L1685" s="5">
        <v>66863880</v>
      </c>
      <c r="M1685" s="5">
        <v>-3410530</v>
      </c>
      <c r="N1685" s="5">
        <v>-7229490</v>
      </c>
    </row>
    <row r="1686" spans="1:14" x14ac:dyDescent="0.25">
      <c r="A1686" s="3" t="s">
        <v>1697</v>
      </c>
      <c r="B1686" s="4">
        <v>1.76</v>
      </c>
      <c r="C1686" s="4">
        <v>0.13</v>
      </c>
      <c r="D1686" s="4">
        <v>0.04</v>
      </c>
      <c r="E1686" s="4">
        <v>-1.112488967635483E-2</v>
      </c>
      <c r="F1686" s="3">
        <v>1684</v>
      </c>
      <c r="G1686" s="3">
        <v>2</v>
      </c>
      <c r="H1686" s="5">
        <v>157247280</v>
      </c>
      <c r="I1686" s="5">
        <v>1180191280</v>
      </c>
      <c r="J1686" s="5">
        <v>1472795000</v>
      </c>
      <c r="K1686" s="5">
        <v>449851000</v>
      </c>
      <c r="L1686" s="5">
        <v>777950000</v>
      </c>
      <c r="M1686" s="5">
        <v>670525000</v>
      </c>
      <c r="N1686" s="5">
        <v>307524000</v>
      </c>
    </row>
    <row r="1687" spans="1:14" x14ac:dyDescent="0.25">
      <c r="A1687" s="3" t="s">
        <v>1698</v>
      </c>
      <c r="B1687" s="4">
        <v>-4.08</v>
      </c>
      <c r="C1687" s="4">
        <v>-1.07</v>
      </c>
      <c r="D1687" s="4">
        <v>-0.74</v>
      </c>
      <c r="E1687" s="4">
        <v>-1.112809046404202E-2</v>
      </c>
      <c r="F1687" s="3">
        <v>1685</v>
      </c>
      <c r="G1687" s="3">
        <v>2</v>
      </c>
      <c r="H1687" s="5">
        <v>545452721.59000003</v>
      </c>
      <c r="I1687" s="5">
        <v>518480721.58999997</v>
      </c>
      <c r="J1687" s="5">
        <v>119000</v>
      </c>
      <c r="K1687" s="5">
        <v>27091000</v>
      </c>
      <c r="L1687" s="5">
        <v>46199000</v>
      </c>
      <c r="M1687" s="5">
        <v>-127001000</v>
      </c>
      <c r="N1687" s="5">
        <v>-135750000</v>
      </c>
    </row>
    <row r="1688" spans="1:14" x14ac:dyDescent="0.25">
      <c r="A1688" s="3" t="s">
        <v>1699</v>
      </c>
      <c r="B1688" s="4">
        <v>2.0099999999999998</v>
      </c>
      <c r="C1688" s="4">
        <v>0.18</v>
      </c>
      <c r="D1688" s="4">
        <v>0.04</v>
      </c>
      <c r="E1688" s="4">
        <v>-1.113515178370948E-2</v>
      </c>
      <c r="F1688" s="3">
        <v>1686</v>
      </c>
      <c r="G1688" s="3">
        <v>2</v>
      </c>
      <c r="H1688" s="5">
        <v>12328301827.66</v>
      </c>
      <c r="I1688" s="5">
        <v>12559386827.66</v>
      </c>
      <c r="J1688" s="5">
        <v>1907689000</v>
      </c>
      <c r="K1688" s="5">
        <v>1676604000</v>
      </c>
      <c r="L1688" s="5">
        <v>11896010000</v>
      </c>
      <c r="M1688" s="5">
        <v>6252013000</v>
      </c>
      <c r="N1688" s="5">
        <v>1870360000</v>
      </c>
    </row>
    <row r="1689" spans="1:14" x14ac:dyDescent="0.25">
      <c r="A1689" s="3" t="s">
        <v>1700</v>
      </c>
      <c r="B1689" s="4">
        <v>-0.23</v>
      </c>
      <c r="C1689" s="4">
        <v>-0.28000000000000003</v>
      </c>
      <c r="D1689" s="4">
        <v>-0.27</v>
      </c>
      <c r="E1689" s="4">
        <v>-1.1137675454131879E-2</v>
      </c>
      <c r="F1689" s="3">
        <v>1687</v>
      </c>
      <c r="G1689" s="3">
        <v>2</v>
      </c>
      <c r="H1689" s="5">
        <v>101365739.22</v>
      </c>
      <c r="I1689" s="5">
        <v>6935919.2199999988</v>
      </c>
      <c r="J1689" s="5">
        <v>0</v>
      </c>
      <c r="K1689" s="5">
        <v>94429820</v>
      </c>
      <c r="L1689" s="5">
        <v>0</v>
      </c>
      <c r="M1689" s="5">
        <v>-29913020</v>
      </c>
      <c r="N1689" s="5">
        <v>-26725100</v>
      </c>
    </row>
    <row r="1690" spans="1:14" x14ac:dyDescent="0.25">
      <c r="A1690" s="3" t="s">
        <v>1701</v>
      </c>
      <c r="B1690" s="4">
        <v>-0.17</v>
      </c>
      <c r="C1690" s="4">
        <v>-0.27</v>
      </c>
      <c r="D1690" s="4">
        <v>-0.25</v>
      </c>
      <c r="E1690" s="4">
        <v>-1.1142059028144869E-2</v>
      </c>
      <c r="F1690" s="3">
        <v>1688</v>
      </c>
      <c r="G1690" s="3">
        <v>2</v>
      </c>
      <c r="H1690" s="5">
        <v>171303471.72</v>
      </c>
      <c r="I1690" s="5">
        <v>8505471.7199999988</v>
      </c>
      <c r="J1690" s="5">
        <v>0</v>
      </c>
      <c r="K1690" s="5">
        <v>162798000</v>
      </c>
      <c r="L1690" s="5">
        <v>0</v>
      </c>
      <c r="M1690" s="5">
        <v>-48822000</v>
      </c>
      <c r="N1690" s="5">
        <v>-44596000</v>
      </c>
    </row>
    <row r="1691" spans="1:14" x14ac:dyDescent="0.25">
      <c r="A1691" s="3" t="s">
        <v>1702</v>
      </c>
      <c r="B1691" s="4">
        <v>1.02</v>
      </c>
      <c r="C1691" s="4">
        <v>-0.03</v>
      </c>
      <c r="D1691" s="4">
        <v>-0.03</v>
      </c>
      <c r="E1691" s="4">
        <v>-1.1142689353044971E-2</v>
      </c>
      <c r="F1691" s="3">
        <v>1689</v>
      </c>
      <c r="G1691" s="3">
        <v>2</v>
      </c>
      <c r="H1691" s="5">
        <v>38.852426999999999</v>
      </c>
      <c r="I1691" s="5">
        <v>-46961.147573000002</v>
      </c>
      <c r="J1691" s="5">
        <v>0</v>
      </c>
      <c r="K1691" s="5">
        <v>47000</v>
      </c>
      <c r="L1691" s="5">
        <v>770000</v>
      </c>
      <c r="M1691" s="5">
        <v>-46000</v>
      </c>
      <c r="N1691" s="5">
        <v>-46000</v>
      </c>
    </row>
    <row r="1692" spans="1:14" x14ac:dyDescent="0.25">
      <c r="A1692" s="3" t="s">
        <v>1703</v>
      </c>
      <c r="B1692" s="4">
        <v>-6.64</v>
      </c>
      <c r="C1692" s="4">
        <v>-1.65</v>
      </c>
      <c r="D1692" s="4">
        <v>-0.36</v>
      </c>
      <c r="E1692" s="4">
        <v>-1.1146180002483529E-2</v>
      </c>
      <c r="F1692" s="3">
        <v>1690</v>
      </c>
      <c r="G1692" s="3">
        <v>2</v>
      </c>
      <c r="H1692" s="5">
        <v>118753160.92</v>
      </c>
      <c r="I1692" s="5">
        <v>120958160.92</v>
      </c>
      <c r="J1692" s="5">
        <v>33946000</v>
      </c>
      <c r="K1692" s="5">
        <v>31741000</v>
      </c>
      <c r="L1692" s="5">
        <v>48102000</v>
      </c>
      <c r="M1692" s="5">
        <v>-18224000</v>
      </c>
      <c r="N1692" s="5">
        <v>-23463000</v>
      </c>
    </row>
    <row r="1693" spans="1:14" x14ac:dyDescent="0.25">
      <c r="A1693" s="3" t="s">
        <v>1704</v>
      </c>
      <c r="B1693" s="4">
        <v>-0.41</v>
      </c>
      <c r="C1693" s="4">
        <v>-0.33</v>
      </c>
      <c r="D1693" s="4">
        <v>-0.19</v>
      </c>
      <c r="E1693" s="4">
        <v>-1.115530557403673E-2</v>
      </c>
      <c r="F1693" s="3">
        <v>1691</v>
      </c>
      <c r="G1693" s="3">
        <v>2</v>
      </c>
      <c r="H1693" s="5">
        <v>221.84180000000001</v>
      </c>
      <c r="I1693" s="5">
        <v>754011.84180000005</v>
      </c>
      <c r="J1693" s="5">
        <v>1127270</v>
      </c>
      <c r="K1693" s="5">
        <v>373480</v>
      </c>
      <c r="L1693" s="5">
        <v>33090</v>
      </c>
      <c r="M1693" s="5">
        <v>-1838250</v>
      </c>
      <c r="N1693" s="5">
        <v>-2415220</v>
      </c>
    </row>
    <row r="1694" spans="1:14" x14ac:dyDescent="0.25">
      <c r="A1694" s="3" t="s">
        <v>1705</v>
      </c>
      <c r="B1694" s="4">
        <v>0.27</v>
      </c>
      <c r="C1694" s="4">
        <v>-0.19</v>
      </c>
      <c r="D1694" s="4">
        <v>-0.11</v>
      </c>
      <c r="E1694" s="4">
        <v>-1.115622885061554E-2</v>
      </c>
      <c r="F1694" s="3">
        <v>1692</v>
      </c>
      <c r="G1694" s="3">
        <v>2</v>
      </c>
      <c r="H1694" s="5">
        <v>5998.7906999999996</v>
      </c>
      <c r="I1694" s="5">
        <v>-108631.2093</v>
      </c>
      <c r="J1694" s="5">
        <v>0</v>
      </c>
      <c r="K1694" s="5">
        <v>114630</v>
      </c>
      <c r="L1694" s="5">
        <v>1064420</v>
      </c>
      <c r="M1694" s="5">
        <v>-408360</v>
      </c>
      <c r="N1694" s="5">
        <v>-858220</v>
      </c>
    </row>
    <row r="1695" spans="1:14" x14ac:dyDescent="0.25">
      <c r="A1695" s="3" t="s">
        <v>1706</v>
      </c>
      <c r="B1695" s="4">
        <v>0.46</v>
      </c>
      <c r="C1695" s="4">
        <v>-0.15</v>
      </c>
      <c r="D1695" s="4">
        <v>-0.11</v>
      </c>
      <c r="E1695" s="4">
        <v>-1.1158249330802171E-2</v>
      </c>
      <c r="F1695" s="3">
        <v>1693</v>
      </c>
      <c r="G1695" s="3">
        <v>2</v>
      </c>
      <c r="H1695" s="5">
        <v>91.877799999999993</v>
      </c>
      <c r="I1695" s="5">
        <v>-16145908.122199999</v>
      </c>
      <c r="J1695" s="5">
        <v>0</v>
      </c>
      <c r="K1695" s="5">
        <v>16146000</v>
      </c>
      <c r="L1695" s="5">
        <v>2855000</v>
      </c>
      <c r="M1695" s="5">
        <v>-35400000</v>
      </c>
      <c r="N1695" s="5">
        <v>-40057000</v>
      </c>
    </row>
    <row r="1696" spans="1:14" x14ac:dyDescent="0.25">
      <c r="A1696" s="3" t="s">
        <v>1707</v>
      </c>
      <c r="B1696" s="4">
        <v>-0.85</v>
      </c>
      <c r="C1696" s="4">
        <v>-0.42</v>
      </c>
      <c r="D1696" s="4">
        <v>-0.27</v>
      </c>
      <c r="E1696" s="4">
        <v>-1.1158455199115489E-2</v>
      </c>
      <c r="F1696" s="3">
        <v>1694</v>
      </c>
      <c r="G1696" s="3">
        <v>2</v>
      </c>
      <c r="H1696" s="5">
        <v>4801542.5599999996</v>
      </c>
      <c r="I1696" s="5">
        <v>6461342.5599999987</v>
      </c>
      <c r="J1696" s="5">
        <v>3600980</v>
      </c>
      <c r="K1696" s="5">
        <v>1941180</v>
      </c>
      <c r="L1696" s="5">
        <v>1870060</v>
      </c>
      <c r="M1696" s="5">
        <v>-7570960</v>
      </c>
      <c r="N1696" s="5">
        <v>-8848980</v>
      </c>
    </row>
    <row r="1697" spans="1:14" x14ac:dyDescent="0.25">
      <c r="A1697" s="3" t="s">
        <v>1708</v>
      </c>
      <c r="B1697" s="4">
        <v>-0.87</v>
      </c>
      <c r="C1697" s="4">
        <v>-0.42</v>
      </c>
      <c r="D1697" s="4">
        <v>-0.34</v>
      </c>
      <c r="E1697" s="4">
        <v>-1.1159579973763869E-2</v>
      </c>
      <c r="F1697" s="3">
        <v>1695</v>
      </c>
      <c r="G1697" s="3">
        <v>2</v>
      </c>
      <c r="H1697" s="5">
        <v>9032142.2169000003</v>
      </c>
      <c r="I1697" s="5">
        <v>7615142.2169000003</v>
      </c>
      <c r="J1697" s="5">
        <v>0</v>
      </c>
      <c r="K1697" s="5">
        <v>1417000</v>
      </c>
      <c r="L1697" s="5">
        <v>11386000</v>
      </c>
      <c r="M1697" s="5">
        <v>-8725000</v>
      </c>
      <c r="N1697" s="5">
        <v>-8983000</v>
      </c>
    </row>
    <row r="1698" spans="1:14" x14ac:dyDescent="0.25">
      <c r="A1698" s="3" t="s">
        <v>1709</v>
      </c>
      <c r="B1698" s="4">
        <v>0.34</v>
      </c>
      <c r="C1698" s="4">
        <v>-0.18</v>
      </c>
      <c r="D1698" s="4">
        <v>-0.13</v>
      </c>
      <c r="E1698" s="4">
        <v>-1.1174517736635629E-2</v>
      </c>
      <c r="F1698" s="3">
        <v>1696</v>
      </c>
      <c r="G1698" s="3">
        <v>2</v>
      </c>
      <c r="H1698" s="5">
        <v>159.84790000000001</v>
      </c>
      <c r="I1698" s="5">
        <v>-1588630.1521000001</v>
      </c>
      <c r="J1698" s="5">
        <v>457490</v>
      </c>
      <c r="K1698" s="5">
        <v>2046280</v>
      </c>
      <c r="L1698" s="5">
        <v>12919920</v>
      </c>
      <c r="M1698" s="5">
        <v>-4657500</v>
      </c>
      <c r="N1698" s="5">
        <v>-1396030</v>
      </c>
    </row>
    <row r="1699" spans="1:14" x14ac:dyDescent="0.25">
      <c r="A1699" s="3" t="s">
        <v>1710</v>
      </c>
      <c r="B1699" s="4">
        <v>1.46</v>
      </c>
      <c r="C1699" s="4">
        <v>0.05</v>
      </c>
      <c r="D1699" s="4">
        <v>0.01</v>
      </c>
      <c r="E1699" s="4">
        <v>-1.117614944129069E-2</v>
      </c>
      <c r="F1699" s="3">
        <v>1697</v>
      </c>
      <c r="G1699" s="3">
        <v>2</v>
      </c>
      <c r="H1699" s="5">
        <v>1940992417.77</v>
      </c>
      <c r="I1699" s="5">
        <v>1705292417.77</v>
      </c>
      <c r="J1699" s="5">
        <v>507300000</v>
      </c>
      <c r="K1699" s="5">
        <v>743000000</v>
      </c>
      <c r="L1699" s="5">
        <v>2423800000</v>
      </c>
      <c r="M1699" s="5">
        <v>1167500000</v>
      </c>
      <c r="N1699" s="5">
        <v>113300000</v>
      </c>
    </row>
    <row r="1700" spans="1:14" x14ac:dyDescent="0.25">
      <c r="A1700" s="3" t="s">
        <v>1711</v>
      </c>
      <c r="B1700" s="4">
        <v>2.4</v>
      </c>
      <c r="C1700" s="4">
        <v>0.24</v>
      </c>
      <c r="D1700" s="4">
        <v>0.18</v>
      </c>
      <c r="E1700" s="4">
        <v>-1.1176162791723669E-2</v>
      </c>
      <c r="F1700" s="3">
        <v>1698</v>
      </c>
      <c r="G1700" s="3">
        <v>2</v>
      </c>
      <c r="H1700" s="5">
        <v>330342378.18000001</v>
      </c>
      <c r="I1700" s="5">
        <v>211929388.18000001</v>
      </c>
      <c r="J1700" s="5">
        <v>6631100</v>
      </c>
      <c r="K1700" s="5">
        <v>125044090</v>
      </c>
      <c r="L1700" s="5">
        <v>205415540</v>
      </c>
      <c r="M1700" s="5">
        <v>88306700</v>
      </c>
      <c r="N1700" s="5">
        <v>46614280</v>
      </c>
    </row>
    <row r="1701" spans="1:14" x14ac:dyDescent="0.25">
      <c r="A1701" s="3" t="s">
        <v>1712</v>
      </c>
      <c r="B1701" s="4">
        <v>2.12</v>
      </c>
      <c r="C1701" s="4">
        <v>0.19</v>
      </c>
      <c r="D1701" s="4">
        <v>0.03</v>
      </c>
      <c r="E1701" s="4">
        <v>-1.117626846594038E-2</v>
      </c>
      <c r="F1701" s="3">
        <v>1699</v>
      </c>
      <c r="G1701" s="3">
        <v>2</v>
      </c>
      <c r="H1701" s="5">
        <v>17788966529.279999</v>
      </c>
      <c r="I1701" s="5">
        <v>14377501529.280001</v>
      </c>
      <c r="J1701" s="5">
        <v>8276918000</v>
      </c>
      <c r="K1701" s="5">
        <v>11688383000</v>
      </c>
      <c r="L1701" s="5">
        <v>13590125000</v>
      </c>
      <c r="M1701" s="5">
        <v>6797209000</v>
      </c>
      <c r="N1701" s="5">
        <v>5443094000</v>
      </c>
    </row>
    <row r="1702" spans="1:14" x14ac:dyDescent="0.25">
      <c r="A1702" s="3" t="s">
        <v>1713</v>
      </c>
      <c r="B1702" s="4">
        <v>-0.98</v>
      </c>
      <c r="C1702" s="4">
        <v>-0.45</v>
      </c>
      <c r="D1702" s="4">
        <v>-0.37</v>
      </c>
      <c r="E1702" s="4">
        <v>-1.1183966611871911E-2</v>
      </c>
      <c r="F1702" s="3">
        <v>1700</v>
      </c>
      <c r="G1702" s="3">
        <v>2</v>
      </c>
      <c r="H1702" s="5">
        <v>750148700.39999998</v>
      </c>
      <c r="I1702" s="5">
        <v>527201700.39999998</v>
      </c>
      <c r="J1702" s="5">
        <v>0</v>
      </c>
      <c r="K1702" s="5">
        <v>222947000</v>
      </c>
      <c r="L1702" s="5">
        <v>74205000</v>
      </c>
      <c r="M1702" s="5">
        <v>-537611000</v>
      </c>
      <c r="N1702" s="5">
        <v>-521960000</v>
      </c>
    </row>
    <row r="1703" spans="1:14" x14ac:dyDescent="0.25">
      <c r="A1703" s="3" t="s">
        <v>1714</v>
      </c>
      <c r="B1703" s="4">
        <v>-0.65</v>
      </c>
      <c r="C1703" s="4">
        <v>-0.39</v>
      </c>
      <c r="D1703" s="4">
        <v>-0.23</v>
      </c>
      <c r="E1703" s="4">
        <v>-1.1187842385703641E-2</v>
      </c>
      <c r="F1703" s="3">
        <v>1701</v>
      </c>
      <c r="G1703" s="3">
        <v>2</v>
      </c>
      <c r="H1703" s="5">
        <v>26454637.771000002</v>
      </c>
      <c r="I1703" s="5">
        <v>24091637.771000002</v>
      </c>
      <c r="J1703" s="5">
        <v>13688000</v>
      </c>
      <c r="K1703" s="5">
        <v>16051000</v>
      </c>
      <c r="L1703" s="5">
        <v>3746000</v>
      </c>
      <c r="M1703" s="5">
        <v>-37117000</v>
      </c>
      <c r="N1703" s="5">
        <v>-21288000</v>
      </c>
    </row>
    <row r="1704" spans="1:14" x14ac:dyDescent="0.25">
      <c r="A1704" s="3" t="s">
        <v>1715</v>
      </c>
      <c r="B1704" s="4">
        <v>1.6</v>
      </c>
      <c r="C1704" s="4">
        <v>7.0000000000000007E-2</v>
      </c>
      <c r="D1704" s="4">
        <v>0.05</v>
      </c>
      <c r="E1704" s="4">
        <v>-1.119729500071083E-2</v>
      </c>
      <c r="F1704" s="3">
        <v>1702</v>
      </c>
      <c r="G1704" s="3">
        <v>2</v>
      </c>
      <c r="H1704" s="5">
        <v>3154269129.1708498</v>
      </c>
      <c r="I1704" s="5">
        <v>1460672129.17085</v>
      </c>
      <c r="J1704" s="5">
        <v>0</v>
      </c>
      <c r="K1704" s="5">
        <v>1693597000</v>
      </c>
      <c r="L1704" s="5">
        <v>7039587000</v>
      </c>
      <c r="M1704" s="5">
        <v>912936000</v>
      </c>
      <c r="N1704" s="5">
        <v>1619562000</v>
      </c>
    </row>
    <row r="1705" spans="1:14" x14ac:dyDescent="0.25">
      <c r="A1705" s="3" t="s">
        <v>1716</v>
      </c>
      <c r="B1705" s="4">
        <v>0.18</v>
      </c>
      <c r="C1705" s="4">
        <v>-0.22</v>
      </c>
      <c r="D1705" s="4">
        <v>-0.17</v>
      </c>
      <c r="E1705" s="4">
        <v>-1.119878097985025E-2</v>
      </c>
      <c r="F1705" s="3">
        <v>1703</v>
      </c>
      <c r="G1705" s="3">
        <v>2</v>
      </c>
      <c r="H1705" s="5">
        <v>8683522.6500000004</v>
      </c>
      <c r="I1705" s="5">
        <v>-1003007.35</v>
      </c>
      <c r="J1705" s="5">
        <v>0</v>
      </c>
      <c r="K1705" s="5">
        <v>9686530</v>
      </c>
      <c r="L1705" s="5">
        <v>34874280</v>
      </c>
      <c r="M1705" s="5">
        <v>-5588590</v>
      </c>
      <c r="N1705" s="5">
        <v>-5134120</v>
      </c>
    </row>
    <row r="1706" spans="1:14" x14ac:dyDescent="0.25">
      <c r="A1706" s="3" t="s">
        <v>1717</v>
      </c>
      <c r="B1706" s="4">
        <v>-0.36</v>
      </c>
      <c r="C1706" s="4">
        <v>-0.33</v>
      </c>
      <c r="D1706" s="4">
        <v>-0.3</v>
      </c>
      <c r="E1706" s="4">
        <v>-1.120747089487468E-2</v>
      </c>
      <c r="F1706" s="3">
        <v>1704</v>
      </c>
      <c r="G1706" s="3">
        <v>2</v>
      </c>
      <c r="H1706" s="5">
        <v>635631229.10000002</v>
      </c>
      <c r="I1706" s="5">
        <v>75700229.100000024</v>
      </c>
      <c r="J1706" s="5">
        <v>0</v>
      </c>
      <c r="K1706" s="5">
        <v>559931000</v>
      </c>
      <c r="L1706" s="5">
        <v>3550000</v>
      </c>
      <c r="M1706" s="5">
        <v>-209604000</v>
      </c>
      <c r="N1706" s="5">
        <v>-187353000</v>
      </c>
    </row>
    <row r="1707" spans="1:14" x14ac:dyDescent="0.25">
      <c r="A1707" s="3" t="s">
        <v>1718</v>
      </c>
      <c r="B1707" s="4">
        <v>1.33</v>
      </c>
      <c r="C1707" s="4">
        <v>0.01</v>
      </c>
      <c r="D1707" s="4">
        <v>0.01</v>
      </c>
      <c r="E1707" s="4">
        <v>-1.1211264195286509E-2</v>
      </c>
      <c r="F1707" s="3">
        <v>1705</v>
      </c>
      <c r="G1707" s="3">
        <v>2</v>
      </c>
      <c r="H1707" s="5">
        <v>133873705.14</v>
      </c>
      <c r="I1707" s="5">
        <v>42945705.140000001</v>
      </c>
      <c r="J1707" s="5">
        <v>0</v>
      </c>
      <c r="K1707" s="5">
        <v>90928000</v>
      </c>
      <c r="L1707" s="5">
        <v>602463000</v>
      </c>
      <c r="M1707" s="5">
        <v>32176000</v>
      </c>
      <c r="N1707" s="5">
        <v>2091000</v>
      </c>
    </row>
    <row r="1708" spans="1:14" x14ac:dyDescent="0.25">
      <c r="A1708" s="3" t="s">
        <v>1719</v>
      </c>
      <c r="B1708" s="4">
        <v>2.42</v>
      </c>
      <c r="C1708" s="4">
        <v>0.23</v>
      </c>
      <c r="D1708" s="4">
        <v>0.16</v>
      </c>
      <c r="E1708" s="4">
        <v>-1.122129286328729E-2</v>
      </c>
      <c r="F1708" s="3">
        <v>1706</v>
      </c>
      <c r="G1708" s="3">
        <v>2</v>
      </c>
      <c r="H1708" s="5">
        <v>19628790</v>
      </c>
      <c r="I1708" s="5">
        <v>18426790</v>
      </c>
      <c r="J1708" s="5">
        <v>0</v>
      </c>
      <c r="K1708" s="5">
        <v>1202000</v>
      </c>
      <c r="L1708" s="5">
        <v>15815000</v>
      </c>
      <c r="M1708" s="5">
        <v>7609000</v>
      </c>
      <c r="N1708" s="5">
        <v>4017000</v>
      </c>
    </row>
    <row r="1709" spans="1:14" x14ac:dyDescent="0.25">
      <c r="A1709" s="3" t="s">
        <v>1720</v>
      </c>
      <c r="B1709" s="4">
        <v>-0.34</v>
      </c>
      <c r="C1709" s="4">
        <v>-0.33</v>
      </c>
      <c r="D1709" s="4">
        <v>-0.31</v>
      </c>
      <c r="E1709" s="4">
        <v>-1.1221778332846341E-2</v>
      </c>
      <c r="F1709" s="3">
        <v>1707</v>
      </c>
      <c r="G1709" s="3">
        <v>2</v>
      </c>
      <c r="H1709" s="5">
        <v>69418031.840000004</v>
      </c>
      <c r="I1709" s="5">
        <v>28542031.84</v>
      </c>
      <c r="J1709" s="5">
        <v>0</v>
      </c>
      <c r="K1709" s="5">
        <v>40876000</v>
      </c>
      <c r="L1709" s="5">
        <v>0</v>
      </c>
      <c r="M1709" s="5">
        <v>-84304000</v>
      </c>
      <c r="N1709" s="5">
        <v>-58709000</v>
      </c>
    </row>
    <row r="1710" spans="1:14" x14ac:dyDescent="0.25">
      <c r="A1710" s="3" t="s">
        <v>1721</v>
      </c>
      <c r="B1710" s="4">
        <v>-2.29</v>
      </c>
      <c r="C1710" s="4">
        <v>-0.74</v>
      </c>
      <c r="D1710" s="4">
        <v>-0.46</v>
      </c>
      <c r="E1710" s="4">
        <v>-1.12284565081716E-2</v>
      </c>
      <c r="F1710" s="3">
        <v>1708</v>
      </c>
      <c r="G1710" s="3">
        <v>2</v>
      </c>
      <c r="H1710" s="5">
        <v>36657382.32</v>
      </c>
      <c r="I1710" s="5">
        <v>30916212.32</v>
      </c>
      <c r="J1710" s="5">
        <v>9962410</v>
      </c>
      <c r="K1710" s="5">
        <v>15703580</v>
      </c>
      <c r="L1710" s="5">
        <v>4672650</v>
      </c>
      <c r="M1710" s="5">
        <v>-13524810</v>
      </c>
      <c r="N1710" s="5">
        <v>-17524060</v>
      </c>
    </row>
    <row r="1711" spans="1:14" x14ac:dyDescent="0.25">
      <c r="A1711" s="3" t="s">
        <v>1722</v>
      </c>
      <c r="B1711" s="4">
        <v>-2.3199999999999998</v>
      </c>
      <c r="C1711" s="4">
        <v>-0.76</v>
      </c>
      <c r="D1711" s="4">
        <v>-0.31</v>
      </c>
      <c r="E1711" s="4">
        <v>-1.12387407064467E-2</v>
      </c>
      <c r="F1711" s="3">
        <v>1709</v>
      </c>
      <c r="G1711" s="3">
        <v>2</v>
      </c>
      <c r="H1711" s="5">
        <v>38473.4902</v>
      </c>
      <c r="I1711" s="5">
        <v>1149703.4901999999</v>
      </c>
      <c r="J1711" s="5">
        <v>1410640</v>
      </c>
      <c r="K1711" s="5">
        <v>299410</v>
      </c>
      <c r="L1711" s="5">
        <v>1613290</v>
      </c>
      <c r="M1711" s="5">
        <v>-494540</v>
      </c>
      <c r="N1711" s="5">
        <v>-2429240</v>
      </c>
    </row>
    <row r="1712" spans="1:14" x14ac:dyDescent="0.25">
      <c r="A1712" s="3" t="s">
        <v>1723</v>
      </c>
      <c r="B1712" s="4">
        <v>0.51</v>
      </c>
      <c r="C1712" s="4">
        <v>-0.17</v>
      </c>
      <c r="D1712" s="4">
        <v>-0.11</v>
      </c>
      <c r="E1712" s="4">
        <v>-1.124698257331648E-2</v>
      </c>
      <c r="F1712" s="3">
        <v>1710</v>
      </c>
      <c r="G1712" s="3">
        <v>2</v>
      </c>
      <c r="H1712" s="5">
        <v>29231544.473999999</v>
      </c>
      <c r="I1712" s="5">
        <v>-25757455.525999989</v>
      </c>
      <c r="J1712" s="5">
        <v>147476000</v>
      </c>
      <c r="K1712" s="5">
        <v>202465000</v>
      </c>
      <c r="L1712" s="5">
        <v>32840000</v>
      </c>
      <c r="M1712" s="5">
        <v>-50730000</v>
      </c>
      <c r="N1712" s="5">
        <v>-50026000</v>
      </c>
    </row>
    <row r="1713" spans="1:14" x14ac:dyDescent="0.25">
      <c r="A1713" s="3" t="s">
        <v>1724</v>
      </c>
      <c r="B1713" s="4">
        <v>0.01</v>
      </c>
      <c r="C1713" s="4">
        <v>-0.27</v>
      </c>
      <c r="D1713" s="4">
        <v>-0.23</v>
      </c>
      <c r="E1713" s="4">
        <v>-1.1249606677537251E-2</v>
      </c>
      <c r="F1713" s="3">
        <v>1711</v>
      </c>
      <c r="G1713" s="3">
        <v>2</v>
      </c>
      <c r="H1713" s="5">
        <v>3291.7948999999999</v>
      </c>
      <c r="I1713" s="5">
        <v>-6388.2050999999992</v>
      </c>
      <c r="J1713" s="5">
        <v>50000</v>
      </c>
      <c r="K1713" s="5">
        <v>59680</v>
      </c>
      <c r="L1713" s="5">
        <v>0</v>
      </c>
      <c r="M1713" s="5">
        <v>-820570</v>
      </c>
      <c r="N1713" s="5">
        <v>-780700</v>
      </c>
    </row>
    <row r="1714" spans="1:14" x14ac:dyDescent="0.25">
      <c r="A1714" s="3" t="s">
        <v>1725</v>
      </c>
      <c r="B1714" s="4">
        <v>-0.81</v>
      </c>
      <c r="C1714" s="4">
        <v>-0.45</v>
      </c>
      <c r="D1714" s="4">
        <v>-0.2</v>
      </c>
      <c r="E1714" s="4">
        <v>-1.125638965690463E-2</v>
      </c>
      <c r="F1714" s="3">
        <v>1712</v>
      </c>
      <c r="G1714" s="3">
        <v>2</v>
      </c>
      <c r="H1714" s="5">
        <v>12404264.983100001</v>
      </c>
      <c r="I1714" s="5">
        <v>4240184.9831000008</v>
      </c>
      <c r="J1714" s="5">
        <v>0</v>
      </c>
      <c r="K1714" s="5">
        <v>8164080</v>
      </c>
      <c r="L1714" s="5">
        <v>87166470</v>
      </c>
      <c r="M1714" s="5">
        <v>-5214720</v>
      </c>
      <c r="N1714" s="5">
        <v>-4826840</v>
      </c>
    </row>
    <row r="1715" spans="1:14" x14ac:dyDescent="0.25">
      <c r="A1715" s="3" t="s">
        <v>1726</v>
      </c>
      <c r="B1715" s="4">
        <v>-1.83</v>
      </c>
      <c r="C1715" s="4">
        <v>-0.66</v>
      </c>
      <c r="D1715" s="4">
        <v>-0.35</v>
      </c>
      <c r="E1715" s="4">
        <v>-1.126079182176894E-2</v>
      </c>
      <c r="F1715" s="3">
        <v>1713</v>
      </c>
      <c r="G1715" s="3">
        <v>2</v>
      </c>
      <c r="H1715" s="5">
        <v>69269145.200000003</v>
      </c>
      <c r="I1715" s="5">
        <v>99831145.200000003</v>
      </c>
      <c r="J1715" s="5">
        <v>37178000</v>
      </c>
      <c r="K1715" s="5">
        <v>6616000</v>
      </c>
      <c r="L1715" s="5">
        <v>83789000</v>
      </c>
      <c r="M1715" s="5">
        <v>-54511000</v>
      </c>
      <c r="N1715" s="5">
        <v>-56394000</v>
      </c>
    </row>
    <row r="1716" spans="1:14" x14ac:dyDescent="0.25">
      <c r="A1716" s="3" t="s">
        <v>1727</v>
      </c>
      <c r="B1716" s="4">
        <v>-1.05</v>
      </c>
      <c r="C1716" s="4">
        <v>-0.49</v>
      </c>
      <c r="D1716" s="4">
        <v>-0.43</v>
      </c>
      <c r="E1716" s="4">
        <v>-1.126779075951524E-2</v>
      </c>
      <c r="F1716" s="3">
        <v>1714</v>
      </c>
      <c r="G1716" s="3">
        <v>2</v>
      </c>
      <c r="H1716" s="5">
        <v>14717907.019400001</v>
      </c>
      <c r="I1716" s="5">
        <v>5219907.0194000006</v>
      </c>
      <c r="J1716" s="5">
        <v>0</v>
      </c>
      <c r="K1716" s="5">
        <v>9498000</v>
      </c>
      <c r="L1716" s="5">
        <v>0</v>
      </c>
      <c r="M1716" s="5">
        <v>-4983000</v>
      </c>
      <c r="N1716" s="5">
        <v>-9828000</v>
      </c>
    </row>
    <row r="1717" spans="1:14" x14ac:dyDescent="0.25">
      <c r="A1717" s="3" t="s">
        <v>1728</v>
      </c>
      <c r="B1717" s="4">
        <v>-3.36</v>
      </c>
      <c r="C1717" s="4">
        <v>-0.98</v>
      </c>
      <c r="D1717" s="4">
        <v>-0.52</v>
      </c>
      <c r="E1717" s="4">
        <v>-1.127123222639634E-2</v>
      </c>
      <c r="F1717" s="3">
        <v>1715</v>
      </c>
      <c r="G1717" s="3">
        <v>2</v>
      </c>
      <c r="H1717" s="5">
        <v>8608900.8800000008</v>
      </c>
      <c r="I1717" s="5">
        <v>8410560.8800000008</v>
      </c>
      <c r="J1717" s="5">
        <v>421600</v>
      </c>
      <c r="K1717" s="5">
        <v>619940</v>
      </c>
      <c r="L1717" s="5">
        <v>2931240</v>
      </c>
      <c r="M1717" s="5">
        <v>-2502190</v>
      </c>
      <c r="N1717" s="5">
        <v>-2571330</v>
      </c>
    </row>
    <row r="1718" spans="1:14" x14ac:dyDescent="0.25">
      <c r="A1718" s="3" t="s">
        <v>1729</v>
      </c>
      <c r="B1718" s="4">
        <v>2.88</v>
      </c>
      <c r="C1718" s="4">
        <v>0.31</v>
      </c>
      <c r="D1718" s="4">
        <v>0.16</v>
      </c>
      <c r="E1718" s="4">
        <v>-1.127484746923719E-2</v>
      </c>
      <c r="F1718" s="3">
        <v>1716</v>
      </c>
      <c r="G1718" s="3">
        <v>2</v>
      </c>
      <c r="H1718" s="5">
        <v>29899462.32</v>
      </c>
      <c r="I1718" s="5">
        <v>47405562.32</v>
      </c>
      <c r="J1718" s="5">
        <v>20476300</v>
      </c>
      <c r="K1718" s="5">
        <v>2970200</v>
      </c>
      <c r="L1718" s="5">
        <v>37037110</v>
      </c>
      <c r="M1718" s="5">
        <v>16454170</v>
      </c>
      <c r="N1718" s="5">
        <v>12453370</v>
      </c>
    </row>
    <row r="1719" spans="1:14" x14ac:dyDescent="0.25">
      <c r="A1719" s="3" t="s">
        <v>1730</v>
      </c>
      <c r="B1719" s="4">
        <v>-7.87</v>
      </c>
      <c r="C1719" s="4">
        <v>-1.96</v>
      </c>
      <c r="D1719" s="4">
        <v>-0.39</v>
      </c>
      <c r="E1719" s="4">
        <v>-1.128639659892372E-2</v>
      </c>
      <c r="F1719" s="3">
        <v>1717</v>
      </c>
      <c r="G1719" s="3">
        <v>2</v>
      </c>
      <c r="H1719" s="5">
        <v>1031947770.98</v>
      </c>
      <c r="I1719" s="5">
        <v>987695770.98000002</v>
      </c>
      <c r="J1719" s="5">
        <v>0</v>
      </c>
      <c r="K1719" s="5">
        <v>44252000</v>
      </c>
      <c r="L1719" s="5">
        <v>98427000</v>
      </c>
      <c r="M1719" s="5">
        <v>-125527000</v>
      </c>
      <c r="N1719" s="5">
        <v>-118961000</v>
      </c>
    </row>
    <row r="1720" spans="1:14" x14ac:dyDescent="0.25">
      <c r="A1720" s="3" t="s">
        <v>1731</v>
      </c>
      <c r="B1720" s="4">
        <v>-4.6399999999999997</v>
      </c>
      <c r="C1720" s="4">
        <v>-1.25</v>
      </c>
      <c r="D1720" s="4">
        <v>-0.68</v>
      </c>
      <c r="E1720" s="4">
        <v>-1.129000571180089E-2</v>
      </c>
      <c r="F1720" s="3">
        <v>1718</v>
      </c>
      <c r="G1720" s="3">
        <v>2</v>
      </c>
      <c r="H1720" s="5">
        <v>35223076.109999999</v>
      </c>
      <c r="I1720" s="5">
        <v>31478076.109999999</v>
      </c>
      <c r="J1720" s="5">
        <v>1106000</v>
      </c>
      <c r="K1720" s="5">
        <v>4851000</v>
      </c>
      <c r="L1720" s="5">
        <v>5771000</v>
      </c>
      <c r="M1720" s="5">
        <v>-6780000</v>
      </c>
      <c r="N1720" s="5">
        <v>-7790000</v>
      </c>
    </row>
    <row r="1721" spans="1:14" x14ac:dyDescent="0.25">
      <c r="A1721" s="3" t="s">
        <v>1732</v>
      </c>
      <c r="B1721" s="4">
        <v>-5.44</v>
      </c>
      <c r="C1721" s="4">
        <v>-1.41</v>
      </c>
      <c r="D1721" s="4">
        <v>-0.89</v>
      </c>
      <c r="E1721" s="4">
        <v>-1.129767652639364E-2</v>
      </c>
      <c r="F1721" s="3">
        <v>1719</v>
      </c>
      <c r="G1721" s="3">
        <v>2</v>
      </c>
      <c r="H1721" s="5">
        <v>21424376.600000001</v>
      </c>
      <c r="I1721" s="5">
        <v>19758976.600000001</v>
      </c>
      <c r="J1721" s="5">
        <v>0</v>
      </c>
      <c r="K1721" s="5">
        <v>1665400</v>
      </c>
      <c r="L1721" s="5">
        <v>0</v>
      </c>
      <c r="M1721" s="5">
        <v>-3632950</v>
      </c>
      <c r="N1721" s="5">
        <v>-1980810</v>
      </c>
    </row>
    <row r="1722" spans="1:14" x14ac:dyDescent="0.25">
      <c r="A1722" s="3" t="s">
        <v>1733</v>
      </c>
      <c r="B1722" s="4">
        <v>0.85</v>
      </c>
      <c r="C1722" s="4">
        <v>-0.12</v>
      </c>
      <c r="D1722" s="4">
        <v>-7.0000000000000007E-2</v>
      </c>
      <c r="E1722" s="4">
        <v>-1.1305231425634801E-2</v>
      </c>
      <c r="F1722" s="3">
        <v>1720</v>
      </c>
      <c r="G1722" s="3">
        <v>2</v>
      </c>
      <c r="H1722" s="5">
        <v>21333203.010000002</v>
      </c>
      <c r="I1722" s="5">
        <v>-60687796.989999987</v>
      </c>
      <c r="J1722" s="5">
        <v>0</v>
      </c>
      <c r="K1722" s="5">
        <v>82021000</v>
      </c>
      <c r="L1722" s="5">
        <v>141233000</v>
      </c>
      <c r="M1722" s="5">
        <v>-71639000</v>
      </c>
      <c r="N1722" s="5">
        <v>-62557000</v>
      </c>
    </row>
    <row r="1723" spans="1:14" x14ac:dyDescent="0.25">
      <c r="A1723" s="3" t="s">
        <v>1734</v>
      </c>
      <c r="B1723" s="4">
        <v>0.02</v>
      </c>
      <c r="C1723" s="4">
        <v>-0.28999999999999998</v>
      </c>
      <c r="D1723" s="4">
        <v>-0.25</v>
      </c>
      <c r="E1723" s="4">
        <v>-1.131744115041826E-2</v>
      </c>
      <c r="F1723" s="3">
        <v>1721</v>
      </c>
      <c r="G1723" s="3">
        <v>2</v>
      </c>
      <c r="H1723" s="5">
        <v>2164273.2790000001</v>
      </c>
      <c r="I1723" s="5">
        <v>-17846.7209999999</v>
      </c>
      <c r="J1723" s="5">
        <v>0</v>
      </c>
      <c r="K1723" s="5">
        <v>2182120</v>
      </c>
      <c r="L1723" s="5">
        <v>0</v>
      </c>
      <c r="M1723" s="5">
        <v>-779140</v>
      </c>
      <c r="N1723" s="5">
        <v>-839510</v>
      </c>
    </row>
    <row r="1724" spans="1:14" x14ac:dyDescent="0.25">
      <c r="A1724" s="3" t="s">
        <v>1735</v>
      </c>
      <c r="B1724" s="4">
        <v>5.23</v>
      </c>
      <c r="C1724" s="4">
        <v>0.79</v>
      </c>
      <c r="D1724" s="4">
        <v>0.22</v>
      </c>
      <c r="E1724" s="4">
        <v>-1.133084351189138E-2</v>
      </c>
      <c r="F1724" s="3">
        <v>1722</v>
      </c>
      <c r="G1724" s="3">
        <v>2</v>
      </c>
      <c r="H1724" s="5">
        <v>1580018449.05</v>
      </c>
      <c r="I1724" s="5">
        <v>1968018449.05</v>
      </c>
      <c r="J1724" s="5">
        <v>1112000000</v>
      </c>
      <c r="K1724" s="5">
        <v>724000000</v>
      </c>
      <c r="L1724" s="5">
        <v>2826000000</v>
      </c>
      <c r="M1724" s="5">
        <v>376000000</v>
      </c>
      <c r="N1724" s="5">
        <v>958000000</v>
      </c>
    </row>
    <row r="1725" spans="1:14" x14ac:dyDescent="0.25">
      <c r="A1725" s="3" t="s">
        <v>1736</v>
      </c>
      <c r="B1725" s="4">
        <v>-2.94</v>
      </c>
      <c r="C1725" s="4">
        <v>-0.91</v>
      </c>
      <c r="D1725" s="4">
        <v>-0.53</v>
      </c>
      <c r="E1725" s="4">
        <v>-1.13308526431499E-2</v>
      </c>
      <c r="F1725" s="3">
        <v>1723</v>
      </c>
      <c r="G1725" s="3">
        <v>2</v>
      </c>
      <c r="H1725" s="5">
        <v>32223906.572700001</v>
      </c>
      <c r="I1725" s="5">
        <v>38148976.572700001</v>
      </c>
      <c r="J1725" s="5">
        <v>8241120</v>
      </c>
      <c r="K1725" s="5">
        <v>2316050</v>
      </c>
      <c r="L1725" s="5">
        <v>88934040</v>
      </c>
      <c r="M1725" s="5">
        <v>-12997750</v>
      </c>
      <c r="N1725" s="5">
        <v>-18832080</v>
      </c>
    </row>
    <row r="1726" spans="1:14" x14ac:dyDescent="0.25">
      <c r="A1726" s="3" t="s">
        <v>1737</v>
      </c>
      <c r="B1726" s="4">
        <v>-7.64</v>
      </c>
      <c r="C1726" s="4">
        <v>-1.94</v>
      </c>
      <c r="D1726" s="4">
        <v>-0.2</v>
      </c>
      <c r="E1726" s="4">
        <v>-1.133430961095497E-2</v>
      </c>
      <c r="F1726" s="3">
        <v>1724</v>
      </c>
      <c r="G1726" s="3">
        <v>2</v>
      </c>
      <c r="H1726" s="5">
        <v>10165255.695</v>
      </c>
      <c r="I1726" s="5">
        <v>37450025.695</v>
      </c>
      <c r="J1726" s="5">
        <v>28309340</v>
      </c>
      <c r="K1726" s="5">
        <v>1024570</v>
      </c>
      <c r="L1726" s="5">
        <v>32463210</v>
      </c>
      <c r="M1726" s="5">
        <v>-4904160</v>
      </c>
      <c r="N1726" s="5">
        <v>-10061610</v>
      </c>
    </row>
    <row r="1727" spans="1:14" x14ac:dyDescent="0.25">
      <c r="A1727" s="3" t="s">
        <v>1738</v>
      </c>
      <c r="B1727" s="4">
        <v>-0.7</v>
      </c>
      <c r="C1727" s="4">
        <v>-0.46</v>
      </c>
      <c r="D1727" s="4">
        <v>-0.13</v>
      </c>
      <c r="E1727" s="4">
        <v>-1.13398613405444E-2</v>
      </c>
      <c r="F1727" s="3">
        <v>1725</v>
      </c>
      <c r="G1727" s="3">
        <v>2</v>
      </c>
      <c r="H1727" s="5">
        <v>43882084.799999997</v>
      </c>
      <c r="I1727" s="5">
        <v>22826084.800000001</v>
      </c>
      <c r="J1727" s="5">
        <v>0</v>
      </c>
      <c r="K1727" s="5">
        <v>21056000</v>
      </c>
      <c r="L1727" s="5">
        <v>569453000</v>
      </c>
      <c r="M1727" s="5">
        <v>-32649000</v>
      </c>
      <c r="N1727" s="5">
        <v>-46229000</v>
      </c>
    </row>
    <row r="1728" spans="1:14" x14ac:dyDescent="0.25">
      <c r="A1728" s="3" t="s">
        <v>1739</v>
      </c>
      <c r="B1728" s="4">
        <v>2.1</v>
      </c>
      <c r="C1728" s="4">
        <v>0.12</v>
      </c>
      <c r="D1728" s="4">
        <v>0.11</v>
      </c>
      <c r="E1728" s="4">
        <v>-1.135071309102738E-2</v>
      </c>
      <c r="F1728" s="3">
        <v>1726</v>
      </c>
      <c r="G1728" s="3">
        <v>2</v>
      </c>
      <c r="H1728" s="5">
        <v>199659724.16999999</v>
      </c>
      <c r="I1728" s="5">
        <v>131876194.17</v>
      </c>
      <c r="J1728" s="5">
        <v>0</v>
      </c>
      <c r="K1728" s="5">
        <v>67783530</v>
      </c>
      <c r="L1728" s="5">
        <v>147479980</v>
      </c>
      <c r="M1728" s="5">
        <v>62724480</v>
      </c>
      <c r="N1728" s="5">
        <v>50157770</v>
      </c>
    </row>
    <row r="1729" spans="1:14" x14ac:dyDescent="0.25">
      <c r="A1729" s="3" t="s">
        <v>1740</v>
      </c>
      <c r="B1729" s="4">
        <v>1.21</v>
      </c>
      <c r="C1729" s="4">
        <v>-0.06</v>
      </c>
      <c r="D1729" s="4">
        <v>-0.06</v>
      </c>
      <c r="E1729" s="4">
        <v>-1.1352752162065331E-2</v>
      </c>
      <c r="F1729" s="3">
        <v>1727</v>
      </c>
      <c r="G1729" s="3">
        <v>2</v>
      </c>
      <c r="H1729" s="5">
        <v>4173493.32</v>
      </c>
      <c r="I1729" s="5">
        <v>7381543.3200000003</v>
      </c>
      <c r="J1729" s="5">
        <v>9124420</v>
      </c>
      <c r="K1729" s="5">
        <v>5916370</v>
      </c>
      <c r="L1729" s="5">
        <v>75837940</v>
      </c>
      <c r="M1729" s="5">
        <v>6112850</v>
      </c>
      <c r="N1729" s="5">
        <v>-9843090</v>
      </c>
    </row>
    <row r="1730" spans="1:14" x14ac:dyDescent="0.25">
      <c r="A1730" s="3" t="s">
        <v>1741</v>
      </c>
      <c r="B1730" s="4">
        <v>2.2999999999999998</v>
      </c>
      <c r="C1730" s="4">
        <v>0.16</v>
      </c>
      <c r="D1730" s="4">
        <v>0.02</v>
      </c>
      <c r="E1730" s="4">
        <v>-1.137628401610865E-2</v>
      </c>
      <c r="F1730" s="3">
        <v>1728</v>
      </c>
      <c r="G1730" s="3">
        <v>2</v>
      </c>
      <c r="H1730" s="5">
        <v>918320363.94000006</v>
      </c>
      <c r="I1730" s="5">
        <v>760122363.94000006</v>
      </c>
      <c r="J1730" s="5">
        <v>101243000</v>
      </c>
      <c r="K1730" s="5">
        <v>259441000</v>
      </c>
      <c r="L1730" s="5">
        <v>1520536000</v>
      </c>
      <c r="M1730" s="5">
        <v>330648000</v>
      </c>
      <c r="N1730" s="5">
        <v>58928000</v>
      </c>
    </row>
    <row r="1731" spans="1:14" x14ac:dyDescent="0.25">
      <c r="A1731" s="3" t="s">
        <v>1742</v>
      </c>
      <c r="B1731" s="4">
        <v>-0.4</v>
      </c>
      <c r="C1731" s="4">
        <v>1.38</v>
      </c>
      <c r="D1731" s="4">
        <v>-26.98</v>
      </c>
      <c r="E1731" s="4">
        <v>-1.138855018139971E-2</v>
      </c>
      <c r="F1731" s="3">
        <v>1729</v>
      </c>
      <c r="G1731" s="3">
        <v>2</v>
      </c>
      <c r="H1731" s="5">
        <v>959080.61109999998</v>
      </c>
      <c r="I1731" s="5">
        <v>1278870.6111000001</v>
      </c>
      <c r="J1731" s="5">
        <v>418950</v>
      </c>
      <c r="K1731" s="5">
        <v>99160</v>
      </c>
      <c r="L1731" s="5">
        <v>0</v>
      </c>
      <c r="M1731" s="5">
        <v>-3215620</v>
      </c>
      <c r="N1731" s="5">
        <v>-4222660</v>
      </c>
    </row>
    <row r="1732" spans="1:14" x14ac:dyDescent="0.25">
      <c r="A1732" s="3" t="s">
        <v>1743</v>
      </c>
      <c r="B1732" s="4">
        <v>-1.32</v>
      </c>
      <c r="C1732" s="4">
        <v>0.26</v>
      </c>
      <c r="D1732" s="4">
        <v>-13.16</v>
      </c>
      <c r="E1732" s="4">
        <v>-1.1389312512774769E-2</v>
      </c>
      <c r="F1732" s="3">
        <v>1730</v>
      </c>
      <c r="G1732" s="3">
        <v>2</v>
      </c>
      <c r="H1732" s="5">
        <v>122121.30839999999</v>
      </c>
      <c r="I1732" s="5">
        <v>1869441.3084</v>
      </c>
      <c r="J1732" s="5">
        <v>1759310</v>
      </c>
      <c r="K1732" s="5">
        <v>11990</v>
      </c>
      <c r="L1732" s="5">
        <v>0</v>
      </c>
      <c r="M1732" s="5">
        <v>-1419880</v>
      </c>
      <c r="N1732" s="5">
        <v>-1361680</v>
      </c>
    </row>
    <row r="1733" spans="1:14" x14ac:dyDescent="0.25">
      <c r="A1733" s="3" t="s">
        <v>1744</v>
      </c>
      <c r="B1733" s="4">
        <v>3.01</v>
      </c>
      <c r="C1733" s="4">
        <v>0.3</v>
      </c>
      <c r="D1733" s="4">
        <v>7.0000000000000007E-2</v>
      </c>
      <c r="E1733" s="4">
        <v>-1.140156198951121E-2</v>
      </c>
      <c r="F1733" s="3">
        <v>1731</v>
      </c>
      <c r="G1733" s="3">
        <v>2</v>
      </c>
      <c r="H1733" s="5">
        <v>604367699.51999998</v>
      </c>
      <c r="I1733" s="5">
        <v>948467699.51999998</v>
      </c>
      <c r="J1733" s="5">
        <v>440700000</v>
      </c>
      <c r="K1733" s="5">
        <v>96600000</v>
      </c>
      <c r="L1733" s="5">
        <v>4308200000</v>
      </c>
      <c r="M1733" s="5">
        <v>315000000</v>
      </c>
      <c r="N1733" s="5">
        <v>142300000</v>
      </c>
    </row>
    <row r="1734" spans="1:14" x14ac:dyDescent="0.25">
      <c r="A1734" s="3" t="s">
        <v>1745</v>
      </c>
      <c r="B1734" s="4">
        <v>-2.77</v>
      </c>
      <c r="C1734" s="4">
        <v>-0.88</v>
      </c>
      <c r="D1734" s="4">
        <v>-0.84</v>
      </c>
      <c r="E1734" s="4">
        <v>-1.140918814285952E-2</v>
      </c>
      <c r="F1734" s="3">
        <v>1732</v>
      </c>
      <c r="G1734" s="3">
        <v>2</v>
      </c>
      <c r="H1734" s="5">
        <v>9919081.8000000007</v>
      </c>
      <c r="I1734" s="5">
        <v>7513731.8000000007</v>
      </c>
      <c r="J1734" s="5">
        <v>0</v>
      </c>
      <c r="K1734" s="5">
        <v>2405350</v>
      </c>
      <c r="L1734" s="5">
        <v>9283000</v>
      </c>
      <c r="M1734" s="5">
        <v>-2707910</v>
      </c>
      <c r="N1734" s="5">
        <v>-2640790</v>
      </c>
    </row>
    <row r="1735" spans="1:14" x14ac:dyDescent="0.25">
      <c r="A1735" s="3" t="s">
        <v>1746</v>
      </c>
      <c r="B1735" s="4">
        <v>3.34</v>
      </c>
      <c r="C1735" s="4">
        <v>0.37</v>
      </c>
      <c r="D1735" s="4">
        <v>0.04</v>
      </c>
      <c r="E1735" s="4">
        <v>-1.1409337608146081E-2</v>
      </c>
      <c r="F1735" s="3">
        <v>1733</v>
      </c>
      <c r="G1735" s="3">
        <v>2</v>
      </c>
      <c r="H1735" s="5">
        <v>379347069.5</v>
      </c>
      <c r="I1735" s="5">
        <v>1098173069.5</v>
      </c>
      <c r="J1735" s="5">
        <v>1606253000</v>
      </c>
      <c r="K1735" s="5">
        <v>887427000</v>
      </c>
      <c r="L1735" s="5">
        <v>23066254000</v>
      </c>
      <c r="M1735" s="5">
        <v>329151000</v>
      </c>
      <c r="N1735" s="5">
        <v>295084000</v>
      </c>
    </row>
    <row r="1736" spans="1:14" x14ac:dyDescent="0.25">
      <c r="A1736" s="3" t="s">
        <v>1747</v>
      </c>
      <c r="B1736" s="4">
        <v>-1.55</v>
      </c>
      <c r="C1736" s="4">
        <v>-0.64</v>
      </c>
      <c r="D1736" s="4">
        <v>-0.54</v>
      </c>
      <c r="E1736" s="4">
        <v>-1.14129538722308E-2</v>
      </c>
      <c r="F1736" s="3">
        <v>1734</v>
      </c>
      <c r="G1736" s="3">
        <v>2</v>
      </c>
      <c r="H1736" s="5">
        <v>24290403.716699999</v>
      </c>
      <c r="I1736" s="5">
        <v>23246403.716699999</v>
      </c>
      <c r="J1736" s="5">
        <v>0</v>
      </c>
      <c r="K1736" s="5">
        <v>1044000</v>
      </c>
      <c r="L1736" s="5">
        <v>0</v>
      </c>
      <c r="M1736" s="5">
        <v>-14991000</v>
      </c>
      <c r="N1736" s="5">
        <v>-15014000</v>
      </c>
    </row>
    <row r="1737" spans="1:14" x14ac:dyDescent="0.25">
      <c r="A1737" s="3" t="s">
        <v>1748</v>
      </c>
      <c r="B1737" s="4">
        <v>0.63</v>
      </c>
      <c r="C1737" s="4">
        <v>-0.2</v>
      </c>
      <c r="D1737" s="4">
        <v>-0.14000000000000001</v>
      </c>
      <c r="E1737" s="4">
        <v>-1.14137209424573E-2</v>
      </c>
      <c r="F1737" s="3">
        <v>1735</v>
      </c>
      <c r="G1737" s="3">
        <v>2</v>
      </c>
      <c r="H1737" s="5">
        <v>92027960.319999993</v>
      </c>
      <c r="I1737" s="5">
        <v>-18924039.680000011</v>
      </c>
      <c r="J1737" s="5">
        <v>27658000</v>
      </c>
      <c r="K1737" s="5">
        <v>138610000</v>
      </c>
      <c r="L1737" s="5">
        <v>231737000</v>
      </c>
      <c r="M1737" s="5">
        <v>-30216000</v>
      </c>
      <c r="N1737" s="5">
        <v>-54308000</v>
      </c>
    </row>
    <row r="1738" spans="1:14" x14ac:dyDescent="0.25">
      <c r="A1738" s="3" t="s">
        <v>1749</v>
      </c>
      <c r="B1738" s="4">
        <v>0.44</v>
      </c>
      <c r="C1738" s="4">
        <v>-0.24</v>
      </c>
      <c r="D1738" s="4">
        <v>-0.17</v>
      </c>
      <c r="E1738" s="4">
        <v>-1.1417487542003181E-2</v>
      </c>
      <c r="F1738" s="3">
        <v>1736</v>
      </c>
      <c r="G1738" s="3">
        <v>2</v>
      </c>
      <c r="H1738" s="5">
        <v>5946153.3600000003</v>
      </c>
      <c r="I1738" s="5">
        <v>-5365846.6399999997</v>
      </c>
      <c r="J1738" s="5">
        <v>0</v>
      </c>
      <c r="K1738" s="5">
        <v>11312000</v>
      </c>
      <c r="L1738" s="5">
        <v>144000</v>
      </c>
      <c r="M1738" s="5">
        <v>-12313000</v>
      </c>
      <c r="N1738" s="5">
        <v>-2488000</v>
      </c>
    </row>
    <row r="1739" spans="1:14" x14ac:dyDescent="0.25">
      <c r="A1739" s="3" t="s">
        <v>1750</v>
      </c>
      <c r="B1739" s="4">
        <v>2.0299999999999998</v>
      </c>
      <c r="C1739" s="4">
        <v>0.08</v>
      </c>
      <c r="D1739" s="4">
        <v>0.04</v>
      </c>
      <c r="E1739" s="4">
        <v>-1.143646626524821E-2</v>
      </c>
      <c r="F1739" s="3">
        <v>1737</v>
      </c>
      <c r="G1739" s="3">
        <v>2</v>
      </c>
      <c r="H1739" s="5">
        <v>72528476.609999999</v>
      </c>
      <c r="I1739" s="5">
        <v>57530166.610000007</v>
      </c>
      <c r="J1739" s="5">
        <v>88612150</v>
      </c>
      <c r="K1739" s="5">
        <v>103610460</v>
      </c>
      <c r="L1739" s="5">
        <v>45562140</v>
      </c>
      <c r="M1739" s="5">
        <v>28278090</v>
      </c>
      <c r="N1739" s="5">
        <v>16784210</v>
      </c>
    </row>
    <row r="1740" spans="1:14" x14ac:dyDescent="0.25">
      <c r="A1740" s="3" t="s">
        <v>1751</v>
      </c>
      <c r="B1740" s="4">
        <v>0.97</v>
      </c>
      <c r="C1740" s="4">
        <v>-0.14000000000000001</v>
      </c>
      <c r="D1740" s="4">
        <v>-7.0000000000000007E-2</v>
      </c>
      <c r="E1740" s="4">
        <v>-1.143728910802864E-2</v>
      </c>
      <c r="F1740" s="3">
        <v>1738</v>
      </c>
      <c r="G1740" s="3">
        <v>2</v>
      </c>
      <c r="H1740" s="5">
        <v>1733.6225999999999</v>
      </c>
      <c r="I1740" s="5">
        <v>7844783.6226000004</v>
      </c>
      <c r="J1740" s="5">
        <v>8200000</v>
      </c>
      <c r="K1740" s="5">
        <v>356950</v>
      </c>
      <c r="L1740" s="5">
        <v>12352300</v>
      </c>
      <c r="M1740" s="5">
        <v>8080880</v>
      </c>
      <c r="N1740" s="5">
        <v>-2463630</v>
      </c>
    </row>
    <row r="1741" spans="1:14" x14ac:dyDescent="0.25">
      <c r="A1741" s="3" t="s">
        <v>1752</v>
      </c>
      <c r="B1741" s="4">
        <v>0.24</v>
      </c>
      <c r="C1741" s="4">
        <v>-0.28999999999999998</v>
      </c>
      <c r="D1741" s="4">
        <v>-0.25</v>
      </c>
      <c r="E1741" s="4">
        <v>-1.1453603675753959E-2</v>
      </c>
      <c r="F1741" s="3">
        <v>1739</v>
      </c>
      <c r="G1741" s="3">
        <v>2</v>
      </c>
      <c r="H1741" s="5">
        <v>20022623.651999999</v>
      </c>
      <c r="I1741" s="5">
        <v>-656376.34800000116</v>
      </c>
      <c r="J1741" s="5">
        <v>149000</v>
      </c>
      <c r="K1741" s="5">
        <v>20828000</v>
      </c>
      <c r="L1741" s="5">
        <v>116483000</v>
      </c>
      <c r="M1741" s="5">
        <v>-2793000</v>
      </c>
      <c r="N1741" s="5">
        <v>-24102000</v>
      </c>
    </row>
    <row r="1742" spans="1:14" x14ac:dyDescent="0.25">
      <c r="A1742" s="3" t="s">
        <v>1753</v>
      </c>
      <c r="B1742" s="4">
        <v>-3.44</v>
      </c>
      <c r="C1742" s="4">
        <v>-1.06</v>
      </c>
      <c r="D1742" s="4">
        <v>-0.53</v>
      </c>
      <c r="E1742" s="4">
        <v>-1.1454796463512889E-2</v>
      </c>
      <c r="F1742" s="3">
        <v>1740</v>
      </c>
      <c r="G1742" s="3">
        <v>2</v>
      </c>
      <c r="H1742" s="5">
        <v>1005143063.52</v>
      </c>
      <c r="I1742" s="5">
        <v>877577063.51999998</v>
      </c>
      <c r="J1742" s="5">
        <v>0</v>
      </c>
      <c r="K1742" s="5">
        <v>127566000</v>
      </c>
      <c r="L1742" s="5">
        <v>0</v>
      </c>
      <c r="M1742" s="5">
        <v>-255332000</v>
      </c>
      <c r="N1742" s="5">
        <v>-266759000</v>
      </c>
    </row>
    <row r="1743" spans="1:14" x14ac:dyDescent="0.25">
      <c r="A1743" s="3" t="s">
        <v>1754</v>
      </c>
      <c r="B1743" s="4">
        <v>2.39</v>
      </c>
      <c r="C1743" s="4">
        <v>0.15</v>
      </c>
      <c r="D1743" s="4">
        <v>0.04</v>
      </c>
      <c r="E1743" s="4">
        <v>-1.1457022421241801E-2</v>
      </c>
      <c r="F1743" s="3">
        <v>1741</v>
      </c>
      <c r="G1743" s="3">
        <v>2</v>
      </c>
      <c r="H1743" s="5">
        <v>7749654723.6000004</v>
      </c>
      <c r="I1743" s="5">
        <v>13168654723.6</v>
      </c>
      <c r="J1743" s="5">
        <v>6044000000</v>
      </c>
      <c r="K1743" s="5">
        <v>625000000</v>
      </c>
      <c r="L1743" s="5">
        <v>9737000000</v>
      </c>
      <c r="M1743" s="5">
        <v>5500000000</v>
      </c>
      <c r="N1743" s="5">
        <v>804000000</v>
      </c>
    </row>
    <row r="1744" spans="1:14" x14ac:dyDescent="0.25">
      <c r="A1744" s="3" t="s">
        <v>1755</v>
      </c>
      <c r="B1744" s="4">
        <v>3.19</v>
      </c>
      <c r="C1744" s="4">
        <v>0.32</v>
      </c>
      <c r="D1744" s="4">
        <v>0.06</v>
      </c>
      <c r="E1744" s="4">
        <v>-1.1457109504607189E-2</v>
      </c>
      <c r="F1744" s="3">
        <v>1742</v>
      </c>
      <c r="G1744" s="3">
        <v>2</v>
      </c>
      <c r="H1744" s="5">
        <v>604689744.79999995</v>
      </c>
      <c r="I1744" s="5">
        <v>616673744.79999995</v>
      </c>
      <c r="J1744" s="5">
        <v>149020000</v>
      </c>
      <c r="K1744" s="5">
        <v>137036000</v>
      </c>
      <c r="L1744" s="5">
        <v>296657000</v>
      </c>
      <c r="M1744" s="5">
        <v>193514000</v>
      </c>
      <c r="N1744" s="5">
        <v>75718000</v>
      </c>
    </row>
    <row r="1745" spans="1:14" x14ac:dyDescent="0.25">
      <c r="A1745" s="3" t="s">
        <v>1756</v>
      </c>
      <c r="B1745" s="4">
        <v>2.12</v>
      </c>
      <c r="C1745" s="4">
        <v>0.09</v>
      </c>
      <c r="D1745" s="4">
        <v>0.05</v>
      </c>
      <c r="E1745" s="4">
        <v>-1.146134648292995E-2</v>
      </c>
      <c r="F1745" s="3">
        <v>1743</v>
      </c>
      <c r="G1745" s="3">
        <v>2</v>
      </c>
      <c r="H1745" s="5">
        <v>42397264603.68</v>
      </c>
      <c r="I1745" s="5">
        <v>88613264603.679993</v>
      </c>
      <c r="J1745" s="5">
        <v>71048000000</v>
      </c>
      <c r="K1745" s="5">
        <v>24832000000</v>
      </c>
      <c r="L1745" s="5">
        <v>133125000000</v>
      </c>
      <c r="M1745" s="5">
        <v>41791000000</v>
      </c>
      <c r="N1745" s="5">
        <v>23172000000</v>
      </c>
    </row>
    <row r="1746" spans="1:14" x14ac:dyDescent="0.25">
      <c r="A1746" s="3" t="s">
        <v>1757</v>
      </c>
      <c r="B1746" s="4">
        <v>-2.87</v>
      </c>
      <c r="C1746" s="4">
        <v>-0.94</v>
      </c>
      <c r="D1746" s="4">
        <v>-0.54</v>
      </c>
      <c r="E1746" s="4">
        <v>-1.146278693065032E-2</v>
      </c>
      <c r="F1746" s="3">
        <v>1744</v>
      </c>
      <c r="G1746" s="3">
        <v>2</v>
      </c>
      <c r="H1746" s="5">
        <v>632071872.84000003</v>
      </c>
      <c r="I1746" s="5">
        <v>559520872.84000003</v>
      </c>
      <c r="J1746" s="5">
        <v>23937000</v>
      </c>
      <c r="K1746" s="5">
        <v>96488000</v>
      </c>
      <c r="L1746" s="5">
        <v>269324000</v>
      </c>
      <c r="M1746" s="5">
        <v>-194626000</v>
      </c>
      <c r="N1746" s="5">
        <v>-249752000</v>
      </c>
    </row>
    <row r="1747" spans="1:14" x14ac:dyDescent="0.25">
      <c r="A1747" s="3" t="s">
        <v>1758</v>
      </c>
      <c r="B1747" s="4">
        <v>0.03</v>
      </c>
      <c r="C1747" s="4">
        <v>-0.34</v>
      </c>
      <c r="D1747" s="4">
        <v>-0.24</v>
      </c>
      <c r="E1747" s="4">
        <v>-1.146616936461012E-2</v>
      </c>
      <c r="F1747" s="3">
        <v>1745</v>
      </c>
      <c r="G1747" s="3">
        <v>2</v>
      </c>
      <c r="H1747" s="5">
        <v>234615130.56</v>
      </c>
      <c r="I1747" s="5">
        <v>-2412869.4399999981</v>
      </c>
      <c r="J1747" s="5">
        <v>0</v>
      </c>
      <c r="K1747" s="5">
        <v>237028000</v>
      </c>
      <c r="L1747" s="5">
        <v>152310000</v>
      </c>
      <c r="M1747" s="5">
        <v>-92125000</v>
      </c>
      <c r="N1747" s="5">
        <v>-80941000</v>
      </c>
    </row>
    <row r="1748" spans="1:14" x14ac:dyDescent="0.25">
      <c r="A1748" s="3" t="s">
        <v>1759</v>
      </c>
      <c r="B1748" s="4">
        <v>2.44</v>
      </c>
      <c r="C1748" s="4">
        <v>0.15</v>
      </c>
      <c r="D1748" s="4">
        <v>0.13</v>
      </c>
      <c r="E1748" s="4">
        <v>-1.1470607210529629E-2</v>
      </c>
      <c r="F1748" s="3">
        <v>1746</v>
      </c>
      <c r="G1748" s="3">
        <v>2</v>
      </c>
      <c r="H1748" s="5">
        <v>54644933.023199998</v>
      </c>
      <c r="I1748" s="5">
        <v>50634933.023199998</v>
      </c>
      <c r="J1748" s="5">
        <v>0</v>
      </c>
      <c r="K1748" s="5">
        <v>4010000</v>
      </c>
      <c r="L1748" s="5">
        <v>39553000</v>
      </c>
      <c r="M1748" s="5">
        <v>20713000</v>
      </c>
      <c r="N1748" s="5">
        <v>17789000</v>
      </c>
    </row>
    <row r="1749" spans="1:14" x14ac:dyDescent="0.25">
      <c r="A1749" s="3" t="s">
        <v>1760</v>
      </c>
      <c r="B1749" s="4">
        <v>2.76</v>
      </c>
      <c r="C1749" s="4">
        <v>0.22</v>
      </c>
      <c r="D1749" s="4">
        <v>0.09</v>
      </c>
      <c r="E1749" s="4">
        <v>-1.147412265004492E-2</v>
      </c>
      <c r="F1749" s="3">
        <v>1747</v>
      </c>
      <c r="G1749" s="3">
        <v>2</v>
      </c>
      <c r="H1749" s="5">
        <v>1999715034.1800001</v>
      </c>
      <c r="I1749" s="5">
        <v>4360076034.1800003</v>
      </c>
      <c r="J1749" s="5">
        <v>2369294000</v>
      </c>
      <c r="K1749" s="5">
        <v>8933000</v>
      </c>
      <c r="L1749" s="5">
        <v>2225728000</v>
      </c>
      <c r="M1749" s="5">
        <v>1579332000</v>
      </c>
      <c r="N1749" s="5">
        <v>520308000</v>
      </c>
    </row>
    <row r="1750" spans="1:14" x14ac:dyDescent="0.25">
      <c r="A1750" s="3" t="s">
        <v>1761</v>
      </c>
      <c r="B1750" s="4">
        <v>-3.53</v>
      </c>
      <c r="C1750" s="4">
        <v>-1.07</v>
      </c>
      <c r="D1750" s="4">
        <v>-0.77</v>
      </c>
      <c r="E1750" s="4">
        <v>-1.147428385711379E-2</v>
      </c>
      <c r="F1750" s="3">
        <v>1748</v>
      </c>
      <c r="G1750" s="3">
        <v>2</v>
      </c>
      <c r="H1750" s="5">
        <v>12877390.92</v>
      </c>
      <c r="I1750" s="5">
        <v>11511580.92</v>
      </c>
      <c r="J1750" s="5">
        <v>160850</v>
      </c>
      <c r="K1750" s="5">
        <v>1526660</v>
      </c>
      <c r="L1750" s="5">
        <v>885500</v>
      </c>
      <c r="M1750" s="5">
        <v>-3262470</v>
      </c>
      <c r="N1750" s="5">
        <v>-3213830</v>
      </c>
    </row>
    <row r="1751" spans="1:14" x14ac:dyDescent="0.25">
      <c r="A1751" s="3" t="s">
        <v>1762</v>
      </c>
      <c r="B1751" s="4">
        <v>-1.77</v>
      </c>
      <c r="C1751" s="4">
        <v>-0.71</v>
      </c>
      <c r="D1751" s="4">
        <v>-0.53</v>
      </c>
      <c r="E1751" s="4">
        <v>-1.1477117569418801E-2</v>
      </c>
      <c r="F1751" s="3">
        <v>1749</v>
      </c>
      <c r="G1751" s="3">
        <v>2</v>
      </c>
      <c r="H1751" s="5">
        <v>18196864.390000001</v>
      </c>
      <c r="I1751" s="5">
        <v>7608334.3900000006</v>
      </c>
      <c r="J1751" s="5">
        <v>0</v>
      </c>
      <c r="K1751" s="5">
        <v>10588530</v>
      </c>
      <c r="L1751" s="5">
        <v>1098280</v>
      </c>
      <c r="M1751" s="5">
        <v>-4299850</v>
      </c>
      <c r="N1751" s="5">
        <v>-8426210</v>
      </c>
    </row>
    <row r="1752" spans="1:14" x14ac:dyDescent="0.25">
      <c r="A1752" s="3" t="s">
        <v>1763</v>
      </c>
      <c r="B1752" s="4">
        <v>2.86</v>
      </c>
      <c r="C1752" s="4">
        <v>0.23</v>
      </c>
      <c r="D1752" s="4">
        <v>0.2</v>
      </c>
      <c r="E1752" s="4">
        <v>-1.148590180764868E-2</v>
      </c>
      <c r="F1752" s="3">
        <v>1750</v>
      </c>
      <c r="G1752" s="3">
        <v>2</v>
      </c>
      <c r="H1752" s="5">
        <v>1186660387.23</v>
      </c>
      <c r="I1752" s="5">
        <v>743877387.23000002</v>
      </c>
      <c r="J1752" s="5">
        <v>38965000</v>
      </c>
      <c r="K1752" s="5">
        <v>481748000</v>
      </c>
      <c r="L1752" s="5">
        <v>535180000</v>
      </c>
      <c r="M1752" s="5">
        <v>260064000</v>
      </c>
      <c r="N1752" s="5">
        <v>162186000</v>
      </c>
    </row>
    <row r="1753" spans="1:14" x14ac:dyDescent="0.25">
      <c r="A1753" s="3" t="s">
        <v>1764</v>
      </c>
      <c r="B1753" s="4">
        <v>9.82</v>
      </c>
      <c r="C1753" s="4">
        <v>1.7</v>
      </c>
      <c r="D1753" s="4">
        <v>0.5</v>
      </c>
      <c r="E1753" s="4">
        <v>-1.1488357944364079E-2</v>
      </c>
      <c r="F1753" s="3">
        <v>1751</v>
      </c>
      <c r="G1753" s="3">
        <v>2</v>
      </c>
      <c r="H1753" s="5">
        <v>286416000</v>
      </c>
      <c r="I1753" s="5">
        <v>280893970</v>
      </c>
      <c r="J1753" s="5">
        <v>5000000</v>
      </c>
      <c r="K1753" s="5">
        <v>10522030</v>
      </c>
      <c r="L1753" s="5">
        <v>363660250</v>
      </c>
      <c r="M1753" s="5">
        <v>28607780</v>
      </c>
      <c r="N1753" s="5">
        <v>23740510</v>
      </c>
    </row>
    <row r="1754" spans="1:14" x14ac:dyDescent="0.25">
      <c r="A1754" s="3" t="s">
        <v>1765</v>
      </c>
      <c r="B1754" s="4">
        <v>-1.02</v>
      </c>
      <c r="C1754" s="4">
        <v>-0.56000000000000005</v>
      </c>
      <c r="D1754" s="4">
        <v>-0.43</v>
      </c>
      <c r="E1754" s="4">
        <v>-1.148861362570768E-2</v>
      </c>
      <c r="F1754" s="3">
        <v>1752</v>
      </c>
      <c r="G1754" s="3">
        <v>2</v>
      </c>
      <c r="H1754" s="5">
        <v>122964052.75</v>
      </c>
      <c r="I1754" s="5">
        <v>116756052.75</v>
      </c>
      <c r="J1754" s="5">
        <v>29419000</v>
      </c>
      <c r="K1754" s="5">
        <v>35627000</v>
      </c>
      <c r="L1754" s="5">
        <v>0</v>
      </c>
      <c r="M1754" s="5">
        <v>-113954000</v>
      </c>
      <c r="N1754" s="5">
        <v>-102329000</v>
      </c>
    </row>
    <row r="1755" spans="1:14" x14ac:dyDescent="0.25">
      <c r="A1755" s="3" t="s">
        <v>1766</v>
      </c>
      <c r="B1755" s="4">
        <v>-2.4700000000000002</v>
      </c>
      <c r="C1755" s="4">
        <v>-0.87</v>
      </c>
      <c r="D1755" s="4">
        <v>-0.49</v>
      </c>
      <c r="E1755" s="4">
        <v>-1.1498454776544679E-2</v>
      </c>
      <c r="F1755" s="3">
        <v>1753</v>
      </c>
      <c r="G1755" s="3">
        <v>2</v>
      </c>
      <c r="H1755" s="5">
        <v>586470047.75999999</v>
      </c>
      <c r="I1755" s="5">
        <v>528944047.75999999</v>
      </c>
      <c r="J1755" s="5">
        <v>0</v>
      </c>
      <c r="K1755" s="5">
        <v>57526000</v>
      </c>
      <c r="L1755" s="5">
        <v>83328000</v>
      </c>
      <c r="M1755" s="5">
        <v>-214130000</v>
      </c>
      <c r="N1755" s="5">
        <v>-227102000</v>
      </c>
    </row>
    <row r="1756" spans="1:14" x14ac:dyDescent="0.25">
      <c r="A1756" s="3" t="s">
        <v>1767</v>
      </c>
      <c r="B1756" s="4">
        <v>-1.1499999999999999</v>
      </c>
      <c r="C1756" s="4">
        <v>-0.59</v>
      </c>
      <c r="D1756" s="4">
        <v>-0.48</v>
      </c>
      <c r="E1756" s="4">
        <v>-1.150447990557657E-2</v>
      </c>
      <c r="F1756" s="3">
        <v>1754</v>
      </c>
      <c r="G1756" s="3">
        <v>2</v>
      </c>
      <c r="H1756" s="5">
        <v>203939893.41</v>
      </c>
      <c r="I1756" s="5">
        <v>187646893.41</v>
      </c>
      <c r="J1756" s="5">
        <v>0</v>
      </c>
      <c r="K1756" s="5">
        <v>16293000</v>
      </c>
      <c r="L1756" s="5">
        <v>9994000</v>
      </c>
      <c r="M1756" s="5">
        <v>-162689000</v>
      </c>
      <c r="N1756" s="5">
        <v>-149105000</v>
      </c>
    </row>
    <row r="1757" spans="1:14" x14ac:dyDescent="0.25">
      <c r="A1757" s="3" t="s">
        <v>1768</v>
      </c>
      <c r="B1757" s="4">
        <v>6.61</v>
      </c>
      <c r="C1757" s="4">
        <v>1.03</v>
      </c>
      <c r="D1757" s="4">
        <v>0.14000000000000001</v>
      </c>
      <c r="E1757" s="4">
        <v>-1.150693954236112E-2</v>
      </c>
      <c r="F1757" s="3">
        <v>1755</v>
      </c>
      <c r="G1757" s="3">
        <v>2</v>
      </c>
      <c r="H1757" s="5">
        <v>4599519376.8000002</v>
      </c>
      <c r="I1757" s="5">
        <v>5024219376.8000002</v>
      </c>
      <c r="J1757" s="5">
        <v>443600000</v>
      </c>
      <c r="K1757" s="5">
        <v>18900000</v>
      </c>
      <c r="L1757" s="5">
        <v>5384200000</v>
      </c>
      <c r="M1757" s="5">
        <v>760400000</v>
      </c>
      <c r="N1757" s="5">
        <v>383100000</v>
      </c>
    </row>
    <row r="1758" spans="1:14" x14ac:dyDescent="0.25">
      <c r="A1758" s="3" t="s">
        <v>1769</v>
      </c>
      <c r="B1758" s="4">
        <v>-2.34</v>
      </c>
      <c r="C1758" s="4">
        <v>-0.84</v>
      </c>
      <c r="D1758" s="4">
        <v>-0.56999999999999995</v>
      </c>
      <c r="E1758" s="4">
        <v>-1.150766584218336E-2</v>
      </c>
      <c r="F1758" s="3">
        <v>1756</v>
      </c>
      <c r="G1758" s="3">
        <v>2</v>
      </c>
      <c r="H1758" s="5">
        <v>220339529.72999999</v>
      </c>
      <c r="I1758" s="5">
        <v>183902529.72999999</v>
      </c>
      <c r="J1758" s="5">
        <v>0</v>
      </c>
      <c r="K1758" s="5">
        <v>36437000</v>
      </c>
      <c r="L1758" s="5">
        <v>0</v>
      </c>
      <c r="M1758" s="5">
        <v>-78438000</v>
      </c>
      <c r="N1758" s="5">
        <v>-69676000</v>
      </c>
    </row>
    <row r="1759" spans="1:14" x14ac:dyDescent="0.25">
      <c r="A1759" s="3" t="s">
        <v>1770</v>
      </c>
      <c r="B1759" s="4">
        <v>2.63</v>
      </c>
      <c r="C1759" s="4">
        <v>0.18</v>
      </c>
      <c r="D1759" s="4">
        <v>0.09</v>
      </c>
      <c r="E1759" s="4">
        <v>-1.1509237404040751E-2</v>
      </c>
      <c r="F1759" s="3">
        <v>1757</v>
      </c>
      <c r="G1759" s="3">
        <v>2</v>
      </c>
      <c r="H1759" s="5">
        <v>2044792327.2</v>
      </c>
      <c r="I1759" s="5">
        <v>4821535327.1999998</v>
      </c>
      <c r="J1759" s="5">
        <v>2776743000</v>
      </c>
      <c r="K1759" s="5">
        <v>0</v>
      </c>
      <c r="L1759" s="5">
        <v>2690259000</v>
      </c>
      <c r="M1759" s="5">
        <v>1835042000</v>
      </c>
      <c r="N1759" s="5">
        <v>770293000</v>
      </c>
    </row>
    <row r="1760" spans="1:14" x14ac:dyDescent="0.25">
      <c r="A1760" s="3" t="s">
        <v>1771</v>
      </c>
      <c r="B1760" s="4">
        <v>2.06</v>
      </c>
      <c r="C1760" s="4">
        <v>0.06</v>
      </c>
      <c r="D1760" s="4">
        <v>0.03</v>
      </c>
      <c r="E1760" s="4">
        <v>-1.1514750122945869E-2</v>
      </c>
      <c r="F1760" s="3">
        <v>1758</v>
      </c>
      <c r="G1760" s="3">
        <v>2</v>
      </c>
      <c r="H1760" s="5">
        <v>771929602.55999994</v>
      </c>
      <c r="I1760" s="5">
        <v>1733664602.5599999</v>
      </c>
      <c r="J1760" s="5">
        <v>1048384000</v>
      </c>
      <c r="K1760" s="5">
        <v>86649000</v>
      </c>
      <c r="L1760" s="5">
        <v>1069414000</v>
      </c>
      <c r="M1760" s="5">
        <v>841958000</v>
      </c>
      <c r="N1760" s="5">
        <v>95069000</v>
      </c>
    </row>
    <row r="1761" spans="1:14" x14ac:dyDescent="0.25">
      <c r="A1761" s="3" t="s">
        <v>1772</v>
      </c>
      <c r="B1761" s="4">
        <v>2.1800000000000002</v>
      </c>
      <c r="C1761" s="4">
        <v>0.08</v>
      </c>
      <c r="D1761" s="4">
        <v>0.02</v>
      </c>
      <c r="E1761" s="4">
        <v>-1.153316240385938E-2</v>
      </c>
      <c r="F1761" s="3">
        <v>1759</v>
      </c>
      <c r="G1761" s="3">
        <v>2</v>
      </c>
      <c r="H1761" s="5">
        <v>903436940.72000003</v>
      </c>
      <c r="I1761" s="5">
        <v>819546940.72000003</v>
      </c>
      <c r="J1761" s="5">
        <v>117059000</v>
      </c>
      <c r="K1761" s="5">
        <v>200949000</v>
      </c>
      <c r="L1761" s="5">
        <v>1253307000</v>
      </c>
      <c r="M1761" s="5">
        <v>376557000</v>
      </c>
      <c r="N1761" s="5">
        <v>61957000</v>
      </c>
    </row>
    <row r="1762" spans="1:14" x14ac:dyDescent="0.25">
      <c r="A1762" s="3" t="s">
        <v>1773</v>
      </c>
      <c r="B1762" s="4">
        <v>2.67</v>
      </c>
      <c r="C1762" s="4">
        <v>0.18</v>
      </c>
      <c r="D1762" s="4">
        <v>0.06</v>
      </c>
      <c r="E1762" s="4">
        <v>-1.1539781306561581E-2</v>
      </c>
      <c r="F1762" s="3">
        <v>1760</v>
      </c>
      <c r="G1762" s="3">
        <v>2</v>
      </c>
      <c r="H1762" s="5">
        <v>385132065.44</v>
      </c>
      <c r="I1762" s="5">
        <v>574996065.44000006</v>
      </c>
      <c r="J1762" s="5">
        <v>219500000</v>
      </c>
      <c r="K1762" s="5">
        <v>29636000</v>
      </c>
      <c r="L1762" s="5">
        <v>2722683000</v>
      </c>
      <c r="M1762" s="5">
        <v>215315000</v>
      </c>
      <c r="N1762" s="5">
        <v>107255000</v>
      </c>
    </row>
    <row r="1763" spans="1:14" x14ac:dyDescent="0.25">
      <c r="A1763" s="3" t="s">
        <v>1774</v>
      </c>
      <c r="B1763" s="4">
        <v>1.0900000000000001</v>
      </c>
      <c r="C1763" s="4">
        <v>-0.15</v>
      </c>
      <c r="D1763" s="4">
        <v>-0.08</v>
      </c>
      <c r="E1763" s="4">
        <v>-1.1542382209985529E-2</v>
      </c>
      <c r="F1763" s="3">
        <v>1761</v>
      </c>
      <c r="G1763" s="3">
        <v>2</v>
      </c>
      <c r="H1763" s="5">
        <v>36991263.18</v>
      </c>
      <c r="I1763" s="5">
        <v>-15139736.82</v>
      </c>
      <c r="J1763" s="5">
        <v>5205000</v>
      </c>
      <c r="K1763" s="5">
        <v>57336000</v>
      </c>
      <c r="L1763" s="5">
        <v>443221000</v>
      </c>
      <c r="M1763" s="5">
        <v>-13850000</v>
      </c>
      <c r="N1763" s="5">
        <v>-42832000</v>
      </c>
    </row>
    <row r="1764" spans="1:14" x14ac:dyDescent="0.25">
      <c r="A1764" s="3" t="s">
        <v>1775</v>
      </c>
      <c r="B1764" s="4">
        <v>2.0699999999999998</v>
      </c>
      <c r="C1764" s="4">
        <v>0.05</v>
      </c>
      <c r="D1764" s="4">
        <v>0.02</v>
      </c>
      <c r="E1764" s="4">
        <v>-1.155176196223491E-2</v>
      </c>
      <c r="F1764" s="3">
        <v>1762</v>
      </c>
      <c r="G1764" s="3">
        <v>2</v>
      </c>
      <c r="H1764" s="5">
        <v>14558321.039999999</v>
      </c>
      <c r="I1764" s="5">
        <v>11577321.039999999</v>
      </c>
      <c r="J1764" s="5">
        <v>872000</v>
      </c>
      <c r="K1764" s="5">
        <v>3853000</v>
      </c>
      <c r="L1764" s="5">
        <v>142315000</v>
      </c>
      <c r="M1764" s="5">
        <v>5597000</v>
      </c>
      <c r="N1764" s="5">
        <v>1613000</v>
      </c>
    </row>
    <row r="1765" spans="1:14" x14ac:dyDescent="0.25">
      <c r="A1765" s="3" t="s">
        <v>1776</v>
      </c>
      <c r="B1765" s="4">
        <v>-2.81</v>
      </c>
      <c r="C1765" s="4">
        <v>-0.94</v>
      </c>
      <c r="D1765" s="4">
        <v>-0.87</v>
      </c>
      <c r="E1765" s="4">
        <v>-1.1563580041890479E-2</v>
      </c>
      <c r="F1765" s="3">
        <v>1763</v>
      </c>
      <c r="G1765" s="3">
        <v>2</v>
      </c>
      <c r="H1765" s="5">
        <v>65962036.75</v>
      </c>
      <c r="I1765" s="5">
        <v>47951036.75</v>
      </c>
      <c r="J1765" s="5">
        <v>0</v>
      </c>
      <c r="K1765" s="5">
        <v>18011000</v>
      </c>
      <c r="L1765" s="5">
        <v>0</v>
      </c>
      <c r="M1765" s="5">
        <v>-17087000</v>
      </c>
      <c r="N1765" s="5">
        <v>-15945000</v>
      </c>
    </row>
    <row r="1766" spans="1:14" x14ac:dyDescent="0.25">
      <c r="A1766" s="3" t="s">
        <v>1777</v>
      </c>
      <c r="B1766" s="4">
        <v>2.4900000000000002</v>
      </c>
      <c r="C1766" s="4">
        <v>0.13</v>
      </c>
      <c r="D1766" s="4">
        <v>7.0000000000000007E-2</v>
      </c>
      <c r="E1766" s="4">
        <v>-1.157091461250897E-2</v>
      </c>
      <c r="F1766" s="3">
        <v>1764</v>
      </c>
      <c r="G1766" s="3">
        <v>2</v>
      </c>
      <c r="H1766" s="5">
        <v>393273650550.12</v>
      </c>
      <c r="I1766" s="5">
        <v>478489650550.12</v>
      </c>
      <c r="J1766" s="5">
        <v>230703000000</v>
      </c>
      <c r="K1766" s="5">
        <v>145487000000</v>
      </c>
      <c r="L1766" s="5">
        <v>996347000000</v>
      </c>
      <c r="M1766" s="5">
        <v>192163000000</v>
      </c>
      <c r="N1766" s="5">
        <v>129470000000</v>
      </c>
    </row>
    <row r="1767" spans="1:14" x14ac:dyDescent="0.25">
      <c r="A1767" s="3" t="s">
        <v>1778</v>
      </c>
      <c r="B1767" s="4">
        <v>2.2000000000000002</v>
      </c>
      <c r="C1767" s="4">
        <v>7.0000000000000007E-2</v>
      </c>
      <c r="D1767" s="4">
        <v>0.02</v>
      </c>
      <c r="E1767" s="4">
        <v>-1.1574434422268E-2</v>
      </c>
      <c r="F1767" s="3">
        <v>1765</v>
      </c>
      <c r="G1767" s="3">
        <v>2</v>
      </c>
      <c r="H1767" s="5">
        <v>417715518.5</v>
      </c>
      <c r="I1767" s="5">
        <v>413779518.5</v>
      </c>
      <c r="J1767" s="5">
        <v>60749000</v>
      </c>
      <c r="K1767" s="5">
        <v>64685000</v>
      </c>
      <c r="L1767" s="5">
        <v>654760000</v>
      </c>
      <c r="M1767" s="5">
        <v>188257000</v>
      </c>
      <c r="N1767" s="5">
        <v>42816000</v>
      </c>
    </row>
    <row r="1768" spans="1:14" x14ac:dyDescent="0.25">
      <c r="A1768" s="3" t="s">
        <v>1779</v>
      </c>
      <c r="B1768" s="4">
        <v>-0.99</v>
      </c>
      <c r="C1768" s="4">
        <v>-0.59</v>
      </c>
      <c r="D1768" s="4">
        <v>-0.36</v>
      </c>
      <c r="E1768" s="4">
        <v>-1.158035887779974E-2</v>
      </c>
      <c r="F1768" s="3">
        <v>1766</v>
      </c>
      <c r="G1768" s="3">
        <v>2</v>
      </c>
      <c r="H1768" s="5">
        <v>48302243.909999996</v>
      </c>
      <c r="I1768" s="5">
        <v>48764243.909999996</v>
      </c>
      <c r="J1768" s="5">
        <v>28923000</v>
      </c>
      <c r="K1768" s="5">
        <v>28461000</v>
      </c>
      <c r="L1768" s="5">
        <v>27040000</v>
      </c>
      <c r="M1768" s="5">
        <v>-49461000</v>
      </c>
      <c r="N1768" s="5">
        <v>-42747000</v>
      </c>
    </row>
    <row r="1769" spans="1:14" x14ac:dyDescent="0.25">
      <c r="A1769" s="3" t="s">
        <v>1780</v>
      </c>
      <c r="B1769" s="4">
        <v>0.53</v>
      </c>
      <c r="C1769" s="4">
        <v>-0.28000000000000003</v>
      </c>
      <c r="D1769" s="4">
        <v>-0.13</v>
      </c>
      <c r="E1769" s="4">
        <v>-1.1581048715024691E-2</v>
      </c>
      <c r="F1769" s="3">
        <v>1767</v>
      </c>
      <c r="G1769" s="3">
        <v>2</v>
      </c>
      <c r="H1769" s="5">
        <v>97002000</v>
      </c>
      <c r="I1769" s="5">
        <v>-49267000</v>
      </c>
      <c r="J1769" s="5">
        <v>125654000</v>
      </c>
      <c r="K1769" s="5">
        <v>271923000</v>
      </c>
      <c r="L1769" s="5">
        <v>95466000</v>
      </c>
      <c r="M1769" s="5">
        <v>-92785000</v>
      </c>
      <c r="N1769" s="5">
        <v>-48231000</v>
      </c>
    </row>
    <row r="1770" spans="1:14" x14ac:dyDescent="0.25">
      <c r="A1770" s="3" t="s">
        <v>1781</v>
      </c>
      <c r="B1770" s="4">
        <v>2.6</v>
      </c>
      <c r="C1770" s="4">
        <v>0.15</v>
      </c>
      <c r="D1770" s="4">
        <v>7.0000000000000007E-2</v>
      </c>
      <c r="E1770" s="4">
        <v>-1.1581208661147899E-2</v>
      </c>
      <c r="F1770" s="3">
        <v>1768</v>
      </c>
      <c r="G1770" s="3">
        <v>2</v>
      </c>
      <c r="H1770" s="5">
        <v>1343048168.23</v>
      </c>
      <c r="I1770" s="5">
        <v>3611608168.23</v>
      </c>
      <c r="J1770" s="5">
        <v>3173497000</v>
      </c>
      <c r="K1770" s="5">
        <v>904937000</v>
      </c>
      <c r="L1770" s="5">
        <v>3304329000</v>
      </c>
      <c r="M1770" s="5">
        <v>1387668000</v>
      </c>
      <c r="N1770" s="5">
        <v>631510000</v>
      </c>
    </row>
    <row r="1771" spans="1:14" x14ac:dyDescent="0.25">
      <c r="A1771" s="3" t="s">
        <v>1782</v>
      </c>
      <c r="B1771" s="4">
        <v>-1.05</v>
      </c>
      <c r="C1771" s="4">
        <v>0.11</v>
      </c>
      <c r="D1771" s="4">
        <v>-11.11</v>
      </c>
      <c r="E1771" s="4">
        <v>-1.159437472342402E-2</v>
      </c>
      <c r="F1771" s="3">
        <v>1769</v>
      </c>
      <c r="G1771" s="3">
        <v>2</v>
      </c>
      <c r="H1771" s="5">
        <v>137147.55499999999</v>
      </c>
      <c r="I1771" s="5">
        <v>619687.55499999993</v>
      </c>
      <c r="J1771" s="5">
        <v>502040</v>
      </c>
      <c r="K1771" s="5">
        <v>19500</v>
      </c>
      <c r="L1771" s="5">
        <v>0</v>
      </c>
      <c r="M1771" s="5">
        <v>-588670</v>
      </c>
      <c r="N1771" s="5">
        <v>-701930</v>
      </c>
    </row>
    <row r="1772" spans="1:14" x14ac:dyDescent="0.25">
      <c r="A1772" s="3" t="s">
        <v>1783</v>
      </c>
      <c r="B1772" s="4">
        <v>2.66</v>
      </c>
      <c r="C1772" s="4">
        <v>0.16</v>
      </c>
      <c r="D1772" s="4">
        <v>0.01</v>
      </c>
      <c r="E1772" s="4">
        <v>-1.1601024447780941E-2</v>
      </c>
      <c r="F1772" s="3">
        <v>1770</v>
      </c>
      <c r="G1772" s="3">
        <v>2</v>
      </c>
      <c r="H1772" s="5">
        <v>4027345667.8200002</v>
      </c>
      <c r="I1772" s="5">
        <v>3934345667.8200002</v>
      </c>
      <c r="J1772" s="5">
        <v>2171000000</v>
      </c>
      <c r="K1772" s="5">
        <v>2264000000</v>
      </c>
      <c r="L1772" s="5">
        <v>5778000000</v>
      </c>
      <c r="M1772" s="5">
        <v>1479000000</v>
      </c>
      <c r="N1772" s="5">
        <v>639000000</v>
      </c>
    </row>
    <row r="1773" spans="1:14" x14ac:dyDescent="0.25">
      <c r="A1773" s="3" t="s">
        <v>1784</v>
      </c>
      <c r="B1773" s="4">
        <v>-7.74</v>
      </c>
      <c r="C1773" s="4">
        <v>-2.0499999999999998</v>
      </c>
      <c r="D1773" s="4">
        <v>-0.3</v>
      </c>
      <c r="E1773" s="4">
        <v>-1.1609537496918289E-2</v>
      </c>
      <c r="F1773" s="3">
        <v>1771</v>
      </c>
      <c r="G1773" s="3">
        <v>2</v>
      </c>
      <c r="H1773" s="5">
        <v>1007890668</v>
      </c>
      <c r="I1773" s="5">
        <v>884810668</v>
      </c>
      <c r="J1773" s="5">
        <v>0</v>
      </c>
      <c r="K1773" s="5">
        <v>123080000</v>
      </c>
      <c r="L1773" s="5">
        <v>91280000</v>
      </c>
      <c r="M1773" s="5">
        <v>-114343000</v>
      </c>
      <c r="N1773" s="5">
        <v>-145231000</v>
      </c>
    </row>
    <row r="1774" spans="1:14" x14ac:dyDescent="0.25">
      <c r="A1774" s="3" t="s">
        <v>1785</v>
      </c>
      <c r="B1774" s="4">
        <v>3.3</v>
      </c>
      <c r="C1774" s="4">
        <v>0.28999999999999998</v>
      </c>
      <c r="D1774" s="4">
        <v>7.0000000000000007E-2</v>
      </c>
      <c r="E1774" s="4">
        <v>-1.1609942561740911E-2</v>
      </c>
      <c r="F1774" s="3">
        <v>1772</v>
      </c>
      <c r="G1774" s="3">
        <v>2</v>
      </c>
      <c r="H1774" s="5">
        <v>17222425.800000001</v>
      </c>
      <c r="I1774" s="5">
        <v>9765425.8000000007</v>
      </c>
      <c r="J1774" s="5">
        <v>3939000</v>
      </c>
      <c r="K1774" s="5">
        <v>11396000</v>
      </c>
      <c r="L1774" s="5">
        <v>117866000</v>
      </c>
      <c r="M1774" s="5">
        <v>2963000</v>
      </c>
      <c r="N1774" s="5">
        <v>2490000</v>
      </c>
    </row>
    <row r="1775" spans="1:14" x14ac:dyDescent="0.25">
      <c r="A1775" s="3" t="s">
        <v>1786</v>
      </c>
      <c r="B1775" s="4">
        <v>2.61</v>
      </c>
      <c r="C1775" s="4">
        <v>0.14000000000000001</v>
      </c>
      <c r="D1775" s="4">
        <v>0.08</v>
      </c>
      <c r="E1775" s="4">
        <v>-1.161436244728193E-2</v>
      </c>
      <c r="F1775" s="3">
        <v>1773</v>
      </c>
      <c r="G1775" s="3">
        <v>2</v>
      </c>
      <c r="H1775" s="5">
        <v>199808749.16999999</v>
      </c>
      <c r="I1775" s="5">
        <v>129872749.17</v>
      </c>
      <c r="J1775" s="5">
        <v>0</v>
      </c>
      <c r="K1775" s="5">
        <v>69936000</v>
      </c>
      <c r="L1775" s="5">
        <v>691042000</v>
      </c>
      <c r="M1775" s="5">
        <v>49730000</v>
      </c>
      <c r="N1775" s="5">
        <v>33920000</v>
      </c>
    </row>
    <row r="1776" spans="1:14" x14ac:dyDescent="0.25">
      <c r="A1776" s="3" t="s">
        <v>1787</v>
      </c>
      <c r="B1776" s="4">
        <v>-0.34</v>
      </c>
      <c r="C1776" s="4">
        <v>-0.46</v>
      </c>
      <c r="D1776" s="4">
        <v>-0.41</v>
      </c>
      <c r="E1776" s="4">
        <v>-1.1616685489809349E-2</v>
      </c>
      <c r="F1776" s="3">
        <v>1774</v>
      </c>
      <c r="G1776" s="3">
        <v>2</v>
      </c>
      <c r="H1776" s="5">
        <v>6739454.1299999999</v>
      </c>
      <c r="I1776" s="5">
        <v>2087454.13</v>
      </c>
      <c r="J1776" s="5">
        <v>0</v>
      </c>
      <c r="K1776" s="5">
        <v>4652000</v>
      </c>
      <c r="L1776" s="5">
        <v>0</v>
      </c>
      <c r="M1776" s="5">
        <v>-6195000</v>
      </c>
      <c r="N1776" s="5">
        <v>-7517000</v>
      </c>
    </row>
    <row r="1777" spans="1:14" x14ac:dyDescent="0.25">
      <c r="A1777" s="3" t="s">
        <v>1788</v>
      </c>
      <c r="B1777" s="4">
        <v>-0.82</v>
      </c>
      <c r="C1777" s="4">
        <v>-0.56000000000000005</v>
      </c>
      <c r="D1777" s="4">
        <v>-0.49</v>
      </c>
      <c r="E1777" s="4">
        <v>-1.1623971899114261E-2</v>
      </c>
      <c r="F1777" s="3">
        <v>1775</v>
      </c>
      <c r="G1777" s="3">
        <v>2</v>
      </c>
      <c r="H1777" s="5">
        <v>358240851.72000003</v>
      </c>
      <c r="I1777" s="5">
        <v>215844851.72</v>
      </c>
      <c r="J1777" s="5">
        <v>21239000</v>
      </c>
      <c r="K1777" s="5">
        <v>163635000</v>
      </c>
      <c r="L1777" s="5">
        <v>0</v>
      </c>
      <c r="M1777" s="5">
        <v>-263830000</v>
      </c>
      <c r="N1777" s="5">
        <v>-258746000</v>
      </c>
    </row>
    <row r="1778" spans="1:14" x14ac:dyDescent="0.25">
      <c r="A1778" s="3" t="s">
        <v>1789</v>
      </c>
      <c r="B1778" s="4">
        <v>2.1</v>
      </c>
      <c r="C1778" s="4">
        <v>0.03</v>
      </c>
      <c r="D1778" s="4">
        <v>0.02</v>
      </c>
      <c r="E1778" s="4">
        <v>-1.162811679335506E-2</v>
      </c>
      <c r="F1778" s="3">
        <v>1776</v>
      </c>
      <c r="G1778" s="3">
        <v>2</v>
      </c>
      <c r="H1778" s="5">
        <v>19131460.920000002</v>
      </c>
      <c r="I1778" s="5">
        <v>34783510.920000002</v>
      </c>
      <c r="J1778" s="5">
        <v>103548840</v>
      </c>
      <c r="K1778" s="5">
        <v>87896790</v>
      </c>
      <c r="L1778" s="5">
        <v>66243380</v>
      </c>
      <c r="M1778" s="5">
        <v>16530970</v>
      </c>
      <c r="N1778" s="5">
        <v>14619000</v>
      </c>
    </row>
    <row r="1779" spans="1:14" x14ac:dyDescent="0.25">
      <c r="A1779" s="3" t="s">
        <v>1790</v>
      </c>
      <c r="B1779" s="4">
        <v>2.1</v>
      </c>
      <c r="C1779" s="4">
        <v>0.03</v>
      </c>
      <c r="D1779" s="4">
        <v>0.01</v>
      </c>
      <c r="E1779" s="4">
        <v>-1.163004581993256E-2</v>
      </c>
      <c r="F1779" s="3">
        <v>1777</v>
      </c>
      <c r="G1779" s="3">
        <v>2</v>
      </c>
      <c r="H1779" s="5">
        <v>256862097.02000001</v>
      </c>
      <c r="I1779" s="5">
        <v>671159097.01999998</v>
      </c>
      <c r="J1779" s="5">
        <v>429633000</v>
      </c>
      <c r="K1779" s="5">
        <v>15336000</v>
      </c>
      <c r="L1779" s="5">
        <v>776501000</v>
      </c>
      <c r="M1779" s="5">
        <v>319522000</v>
      </c>
      <c r="N1779" s="5">
        <v>19251000</v>
      </c>
    </row>
    <row r="1780" spans="1:14" x14ac:dyDescent="0.25">
      <c r="A1780" s="3" t="s">
        <v>1791</v>
      </c>
      <c r="B1780" s="4">
        <v>2.08</v>
      </c>
      <c r="C1780" s="4">
        <v>0.02</v>
      </c>
      <c r="D1780" s="4">
        <v>0.01</v>
      </c>
      <c r="E1780" s="4">
        <v>-1.1646561015552861E-2</v>
      </c>
      <c r="F1780" s="3">
        <v>1778</v>
      </c>
      <c r="G1780" s="3">
        <v>2</v>
      </c>
      <c r="H1780" s="5">
        <v>51188995.350000001</v>
      </c>
      <c r="I1780" s="5">
        <v>39287995.350000001</v>
      </c>
      <c r="J1780" s="5">
        <v>0</v>
      </c>
      <c r="K1780" s="5">
        <v>11901000</v>
      </c>
      <c r="L1780" s="5">
        <v>467015000</v>
      </c>
      <c r="M1780" s="5">
        <v>18913000</v>
      </c>
      <c r="N1780" s="5">
        <v>3055000</v>
      </c>
    </row>
    <row r="1781" spans="1:14" x14ac:dyDescent="0.25">
      <c r="A1781" s="3" t="s">
        <v>1792</v>
      </c>
      <c r="B1781" s="4">
        <v>-5.24</v>
      </c>
      <c r="C1781" s="4">
        <v>-1.47</v>
      </c>
      <c r="D1781" s="4">
        <v>-1.1599999999999999</v>
      </c>
      <c r="E1781" s="4">
        <v>-1.16469060000146E-2</v>
      </c>
      <c r="F1781" s="3">
        <v>1779</v>
      </c>
      <c r="G1781" s="3">
        <v>2</v>
      </c>
      <c r="H1781" s="5">
        <v>369573543.38999999</v>
      </c>
      <c r="I1781" s="5">
        <v>333428823.38999999</v>
      </c>
      <c r="J1781" s="5">
        <v>0</v>
      </c>
      <c r="K1781" s="5">
        <v>36144720</v>
      </c>
      <c r="L1781" s="5">
        <v>0</v>
      </c>
      <c r="M1781" s="5">
        <v>-63686320</v>
      </c>
      <c r="N1781" s="5">
        <v>-61036610</v>
      </c>
    </row>
    <row r="1782" spans="1:14" x14ac:dyDescent="0.25">
      <c r="A1782" s="3" t="s">
        <v>1793</v>
      </c>
      <c r="B1782" s="4">
        <v>2.25</v>
      </c>
      <c r="C1782" s="4">
        <v>0.05</v>
      </c>
      <c r="D1782" s="4">
        <v>0.04</v>
      </c>
      <c r="E1782" s="4">
        <v>-1.165930961162729E-2</v>
      </c>
      <c r="F1782" s="3">
        <v>1780</v>
      </c>
      <c r="G1782" s="3">
        <v>2</v>
      </c>
      <c r="H1782" s="5">
        <v>93044327.5</v>
      </c>
      <c r="I1782" s="5">
        <v>37097447.5</v>
      </c>
      <c r="J1782" s="5">
        <v>386760</v>
      </c>
      <c r="K1782" s="5">
        <v>56333640</v>
      </c>
      <c r="L1782" s="5">
        <v>104351320</v>
      </c>
      <c r="M1782" s="5">
        <v>16495960</v>
      </c>
      <c r="N1782" s="5">
        <v>8334260</v>
      </c>
    </row>
    <row r="1783" spans="1:14" x14ac:dyDescent="0.25">
      <c r="A1783" s="3" t="s">
        <v>1794</v>
      </c>
      <c r="B1783" s="4">
        <v>-0.61</v>
      </c>
      <c r="C1783" s="4">
        <v>-0.55000000000000004</v>
      </c>
      <c r="D1783" s="4">
        <v>-0.15</v>
      </c>
      <c r="E1783" s="4">
        <v>-1.165946470810323E-2</v>
      </c>
      <c r="F1783" s="3">
        <v>1781</v>
      </c>
      <c r="G1783" s="3">
        <v>2</v>
      </c>
      <c r="H1783" s="5">
        <v>312387238.61400002</v>
      </c>
      <c r="I1783" s="5">
        <v>159060238.61399999</v>
      </c>
      <c r="J1783" s="5">
        <v>34904000</v>
      </c>
      <c r="K1783" s="5">
        <v>188231000</v>
      </c>
      <c r="L1783" s="5">
        <v>6060530000</v>
      </c>
      <c r="M1783" s="5">
        <v>-259457000</v>
      </c>
      <c r="N1783" s="5">
        <v>-260151000</v>
      </c>
    </row>
    <row r="1784" spans="1:14" x14ac:dyDescent="0.25">
      <c r="A1784" s="3" t="s">
        <v>1795</v>
      </c>
      <c r="B1784" s="4">
        <v>-0.27</v>
      </c>
      <c r="C1784" s="4">
        <v>-0.46</v>
      </c>
      <c r="D1784" s="4">
        <v>-0.41</v>
      </c>
      <c r="E1784" s="4">
        <v>-1.1660009929688891E-2</v>
      </c>
      <c r="F1784" s="3">
        <v>1782</v>
      </c>
      <c r="G1784" s="3">
        <v>2</v>
      </c>
      <c r="H1784" s="5">
        <v>63854959.350000001</v>
      </c>
      <c r="I1784" s="5">
        <v>24036959.350000001</v>
      </c>
      <c r="J1784" s="5">
        <v>0</v>
      </c>
      <c r="K1784" s="5">
        <v>39818000</v>
      </c>
      <c r="L1784" s="5">
        <v>0</v>
      </c>
      <c r="M1784" s="5">
        <v>-88193000</v>
      </c>
      <c r="N1784" s="5">
        <v>-80556000</v>
      </c>
    </row>
    <row r="1785" spans="1:14" x14ac:dyDescent="0.25">
      <c r="A1785" s="3" t="s">
        <v>1796</v>
      </c>
      <c r="B1785" s="4">
        <v>2.6</v>
      </c>
      <c r="C1785" s="4">
        <v>0.12</v>
      </c>
      <c r="D1785" s="4">
        <v>0.08</v>
      </c>
      <c r="E1785" s="4">
        <v>-1.166596045561377E-2</v>
      </c>
      <c r="F1785" s="3">
        <v>1783</v>
      </c>
      <c r="G1785" s="3">
        <v>2</v>
      </c>
      <c r="H1785" s="5">
        <v>1372447577.5</v>
      </c>
      <c r="I1785" s="5">
        <v>791959577.5</v>
      </c>
      <c r="J1785" s="5">
        <v>17997000</v>
      </c>
      <c r="K1785" s="5">
        <v>598485000</v>
      </c>
      <c r="L1785" s="5">
        <v>866946000</v>
      </c>
      <c r="M1785" s="5">
        <v>304323000</v>
      </c>
      <c r="N1785" s="5">
        <v>130688000</v>
      </c>
    </row>
    <row r="1786" spans="1:14" x14ac:dyDescent="0.25">
      <c r="A1786" s="3" t="s">
        <v>1797</v>
      </c>
      <c r="B1786" s="4">
        <v>3.26</v>
      </c>
      <c r="C1786" s="4">
        <v>0.26</v>
      </c>
      <c r="D1786" s="4">
        <v>0.08</v>
      </c>
      <c r="E1786" s="4">
        <v>-1.1669937533418469E-2</v>
      </c>
      <c r="F1786" s="3">
        <v>1784</v>
      </c>
      <c r="G1786" s="3">
        <v>2</v>
      </c>
      <c r="H1786" s="5">
        <v>7697150000</v>
      </c>
      <c r="I1786" s="5">
        <v>6176150000</v>
      </c>
      <c r="J1786" s="5">
        <v>3141000000</v>
      </c>
      <c r="K1786" s="5">
        <v>4662000000</v>
      </c>
      <c r="L1786" s="5">
        <v>40650000000</v>
      </c>
      <c r="M1786" s="5">
        <v>1894000000</v>
      </c>
      <c r="N1786" s="5">
        <v>1179000000</v>
      </c>
    </row>
    <row r="1787" spans="1:14" x14ac:dyDescent="0.25">
      <c r="A1787" s="3" t="s">
        <v>1798</v>
      </c>
      <c r="B1787" s="4">
        <v>-0.03</v>
      </c>
      <c r="C1787" s="4">
        <v>-0.42</v>
      </c>
      <c r="D1787" s="4">
        <v>-0.3</v>
      </c>
      <c r="E1787" s="4">
        <v>-1.1671757146008351E-2</v>
      </c>
      <c r="F1787" s="3">
        <v>1785</v>
      </c>
      <c r="G1787" s="3">
        <v>2</v>
      </c>
      <c r="H1787" s="5">
        <v>6278.8855999999996</v>
      </c>
      <c r="I1787" s="5">
        <v>27008.88559999998</v>
      </c>
      <c r="J1787" s="5">
        <v>350010</v>
      </c>
      <c r="K1787" s="5">
        <v>329280</v>
      </c>
      <c r="L1787" s="5">
        <v>4467490</v>
      </c>
      <c r="M1787" s="5">
        <v>-950540</v>
      </c>
      <c r="N1787" s="5">
        <v>-1015330</v>
      </c>
    </row>
    <row r="1788" spans="1:14" x14ac:dyDescent="0.25">
      <c r="A1788" s="3" t="s">
        <v>1799</v>
      </c>
      <c r="B1788" s="4">
        <v>6.29</v>
      </c>
      <c r="C1788" s="4">
        <v>0.92</v>
      </c>
      <c r="D1788" s="4">
        <v>-0.12</v>
      </c>
      <c r="E1788" s="4">
        <v>-1.1676869328228831E-2</v>
      </c>
      <c r="F1788" s="3">
        <v>1786</v>
      </c>
      <c r="G1788" s="3">
        <v>2</v>
      </c>
      <c r="H1788" s="5">
        <v>83460860.959999993</v>
      </c>
      <c r="I1788" s="5">
        <v>242215860.96000001</v>
      </c>
      <c r="J1788" s="5">
        <v>189406000</v>
      </c>
      <c r="K1788" s="5">
        <v>30651000</v>
      </c>
      <c r="L1788" s="5">
        <v>1248560000</v>
      </c>
      <c r="M1788" s="5">
        <v>38496000</v>
      </c>
      <c r="N1788" s="5">
        <v>-77541000</v>
      </c>
    </row>
    <row r="1789" spans="1:14" x14ac:dyDescent="0.25">
      <c r="A1789" s="3" t="s">
        <v>1800</v>
      </c>
      <c r="B1789" s="4">
        <v>-2.61</v>
      </c>
      <c r="C1789" s="4">
        <v>-0.96</v>
      </c>
      <c r="D1789" s="4">
        <v>-0.52</v>
      </c>
      <c r="E1789" s="4">
        <v>-1.167763543964824E-2</v>
      </c>
      <c r="F1789" s="3">
        <v>1787</v>
      </c>
      <c r="G1789" s="3">
        <v>2</v>
      </c>
      <c r="H1789" s="5">
        <v>15554059.84</v>
      </c>
      <c r="I1789" s="5">
        <v>23661139.84</v>
      </c>
      <c r="J1789" s="5">
        <v>12000000</v>
      </c>
      <c r="K1789" s="5">
        <v>3892920</v>
      </c>
      <c r="L1789" s="5">
        <v>20730</v>
      </c>
      <c r="M1789" s="5">
        <v>-9053930</v>
      </c>
      <c r="N1789" s="5">
        <v>-14863160</v>
      </c>
    </row>
    <row r="1790" spans="1:14" x14ac:dyDescent="0.25">
      <c r="A1790" s="3" t="s">
        <v>1801</v>
      </c>
      <c r="B1790" s="4">
        <v>2.38</v>
      </c>
      <c r="C1790" s="4">
        <v>7.0000000000000007E-2</v>
      </c>
      <c r="D1790" s="4">
        <v>0.06</v>
      </c>
      <c r="E1790" s="4">
        <v>-1.1678124018505371E-2</v>
      </c>
      <c r="F1790" s="3">
        <v>1788</v>
      </c>
      <c r="G1790" s="3">
        <v>2</v>
      </c>
      <c r="H1790" s="5">
        <v>25152562.5</v>
      </c>
      <c r="I1790" s="5">
        <v>22387482.5</v>
      </c>
      <c r="J1790" s="5">
        <v>1158740</v>
      </c>
      <c r="K1790" s="5">
        <v>3923820</v>
      </c>
      <c r="L1790" s="5">
        <v>15995660</v>
      </c>
      <c r="M1790" s="5">
        <v>9414270</v>
      </c>
      <c r="N1790" s="5">
        <v>2029280</v>
      </c>
    </row>
    <row r="1791" spans="1:14" x14ac:dyDescent="0.25">
      <c r="A1791" s="3" t="s">
        <v>1802</v>
      </c>
      <c r="B1791" s="4">
        <v>0.91</v>
      </c>
      <c r="C1791" s="4">
        <v>-0.23</v>
      </c>
      <c r="D1791" s="4">
        <v>-0.18</v>
      </c>
      <c r="E1791" s="4">
        <v>-1.1681415629328871E-2</v>
      </c>
      <c r="F1791" s="3">
        <v>1789</v>
      </c>
      <c r="G1791" s="3">
        <v>2</v>
      </c>
      <c r="H1791" s="5">
        <v>634414332.24000001</v>
      </c>
      <c r="I1791" s="5">
        <v>-182980667.75999999</v>
      </c>
      <c r="J1791" s="5">
        <v>0</v>
      </c>
      <c r="K1791" s="5">
        <v>817395000</v>
      </c>
      <c r="L1791" s="5">
        <v>3393414000</v>
      </c>
      <c r="M1791" s="5">
        <v>-201751000</v>
      </c>
      <c r="N1791" s="5">
        <v>-708174000</v>
      </c>
    </row>
    <row r="1792" spans="1:14" x14ac:dyDescent="0.25">
      <c r="A1792" s="3" t="s">
        <v>1803</v>
      </c>
      <c r="B1792" s="4">
        <v>-2.25</v>
      </c>
      <c r="C1792" s="4">
        <v>-0.9</v>
      </c>
      <c r="D1792" s="4">
        <v>-0.31</v>
      </c>
      <c r="E1792" s="4">
        <v>-1.168657564452865E-2</v>
      </c>
      <c r="F1792" s="3">
        <v>1790</v>
      </c>
      <c r="G1792" s="3">
        <v>2</v>
      </c>
      <c r="H1792" s="5">
        <v>304426919.16000003</v>
      </c>
      <c r="I1792" s="5">
        <v>268543919.16000003</v>
      </c>
      <c r="J1792" s="5">
        <v>1350000</v>
      </c>
      <c r="K1792" s="5">
        <v>37233000</v>
      </c>
      <c r="L1792" s="5">
        <v>67635000</v>
      </c>
      <c r="M1792" s="5">
        <v>-119355000</v>
      </c>
      <c r="N1792" s="5">
        <v>-116045000</v>
      </c>
    </row>
    <row r="1793" spans="1:14" x14ac:dyDescent="0.25">
      <c r="A1793" s="3" t="s">
        <v>1804</v>
      </c>
      <c r="B1793" s="4">
        <v>-3.77</v>
      </c>
      <c r="C1793" s="4">
        <v>-1.21</v>
      </c>
      <c r="D1793" s="4">
        <v>-0.57999999999999996</v>
      </c>
      <c r="E1793" s="4">
        <v>-1.1693601913613729E-2</v>
      </c>
      <c r="F1793" s="3">
        <v>1791</v>
      </c>
      <c r="G1793" s="3">
        <v>2</v>
      </c>
      <c r="H1793" s="5">
        <v>3123725671.4400001</v>
      </c>
      <c r="I1793" s="5">
        <v>3683270671.4400001</v>
      </c>
      <c r="J1793" s="5">
        <v>765238000</v>
      </c>
      <c r="K1793" s="5">
        <v>205693000</v>
      </c>
      <c r="L1793" s="5">
        <v>628814000</v>
      </c>
      <c r="M1793" s="5">
        <v>-977820000</v>
      </c>
      <c r="N1793" s="5">
        <v>-2104701000</v>
      </c>
    </row>
    <row r="1794" spans="1:14" x14ac:dyDescent="0.25">
      <c r="A1794" s="3" t="s">
        <v>1805</v>
      </c>
      <c r="B1794" s="4">
        <v>-0.34</v>
      </c>
      <c r="C1794" s="4">
        <v>-0.49</v>
      </c>
      <c r="D1794" s="4">
        <v>-0.39</v>
      </c>
      <c r="E1794" s="4">
        <v>-1.1699508257697709E-2</v>
      </c>
      <c r="F1794" s="3">
        <v>1792</v>
      </c>
      <c r="G1794" s="3">
        <v>2</v>
      </c>
      <c r="H1794" s="5">
        <v>96661507.019999996</v>
      </c>
      <c r="I1794" s="5">
        <v>62760507.020000003</v>
      </c>
      <c r="J1794" s="5">
        <v>0</v>
      </c>
      <c r="K1794" s="5">
        <v>33901000</v>
      </c>
      <c r="L1794" s="5">
        <v>67425000</v>
      </c>
      <c r="M1794" s="5">
        <v>-186158000</v>
      </c>
      <c r="N1794" s="5">
        <v>-165839000</v>
      </c>
    </row>
    <row r="1795" spans="1:14" x14ac:dyDescent="0.25">
      <c r="A1795" s="3" t="s">
        <v>1806</v>
      </c>
      <c r="B1795" s="4">
        <v>3.94</v>
      </c>
      <c r="C1795" s="4">
        <v>0.4</v>
      </c>
      <c r="D1795" s="4">
        <v>0.01</v>
      </c>
      <c r="E1795" s="4">
        <v>-1.169979620865986E-2</v>
      </c>
      <c r="F1795" s="3">
        <v>1793</v>
      </c>
      <c r="G1795" s="3">
        <v>2</v>
      </c>
      <c r="H1795" s="5">
        <v>495385213.85000002</v>
      </c>
      <c r="I1795" s="5">
        <v>1974585213.8499999</v>
      </c>
      <c r="J1795" s="5">
        <v>1486100000</v>
      </c>
      <c r="K1795" s="5">
        <v>6900000</v>
      </c>
      <c r="L1795" s="5">
        <v>2132700000</v>
      </c>
      <c r="M1795" s="5">
        <v>501600000</v>
      </c>
      <c r="N1795" s="5">
        <v>58300000</v>
      </c>
    </row>
    <row r="1796" spans="1:14" x14ac:dyDescent="0.25">
      <c r="A1796" s="3" t="s">
        <v>1807</v>
      </c>
      <c r="B1796" s="4">
        <v>-2.48</v>
      </c>
      <c r="C1796" s="4">
        <v>0.89</v>
      </c>
      <c r="D1796" s="4">
        <v>-27.93</v>
      </c>
      <c r="E1796" s="4">
        <v>-1.1700239664979101E-2</v>
      </c>
      <c r="F1796" s="3">
        <v>1794</v>
      </c>
      <c r="G1796" s="3">
        <v>2</v>
      </c>
      <c r="H1796" s="5">
        <v>36870.375599999999</v>
      </c>
      <c r="I1796" s="5">
        <v>22713950.375599999</v>
      </c>
      <c r="J1796" s="5">
        <v>22758360</v>
      </c>
      <c r="K1796" s="5">
        <v>81280</v>
      </c>
      <c r="L1796" s="5">
        <v>1977760</v>
      </c>
      <c r="M1796" s="5">
        <v>-9160130</v>
      </c>
      <c r="N1796" s="5">
        <v>-29314300</v>
      </c>
    </row>
    <row r="1797" spans="1:14" x14ac:dyDescent="0.25">
      <c r="A1797" s="3" t="s">
        <v>1808</v>
      </c>
      <c r="B1797" s="4">
        <v>2.5499999999999998</v>
      </c>
      <c r="C1797" s="4">
        <v>0.1</v>
      </c>
      <c r="D1797" s="4">
        <v>0.04</v>
      </c>
      <c r="E1797" s="4">
        <v>-1.1700517747467319E-2</v>
      </c>
      <c r="F1797" s="3">
        <v>1795</v>
      </c>
      <c r="G1797" s="3">
        <v>2</v>
      </c>
      <c r="H1797" s="5">
        <v>389439551.68000001</v>
      </c>
      <c r="I1797" s="5">
        <v>604539551.68000007</v>
      </c>
      <c r="J1797" s="5">
        <v>563400000</v>
      </c>
      <c r="K1797" s="5">
        <v>348300000</v>
      </c>
      <c r="L1797" s="5">
        <v>2104800000</v>
      </c>
      <c r="M1797" s="5">
        <v>237000000</v>
      </c>
      <c r="N1797" s="5">
        <v>108000000</v>
      </c>
    </row>
    <row r="1798" spans="1:14" x14ac:dyDescent="0.25">
      <c r="A1798" s="3" t="s">
        <v>1809</v>
      </c>
      <c r="B1798" s="4">
        <v>-2.89</v>
      </c>
      <c r="C1798" s="4">
        <v>-1.04</v>
      </c>
      <c r="D1798" s="4">
        <v>-0.36</v>
      </c>
      <c r="E1798" s="4">
        <v>-1.170462211100563E-2</v>
      </c>
      <c r="F1798" s="3">
        <v>1796</v>
      </c>
      <c r="G1798" s="3">
        <v>2</v>
      </c>
      <c r="H1798" s="5">
        <v>22797907.859999999</v>
      </c>
      <c r="I1798" s="5">
        <v>16018907.859999999</v>
      </c>
      <c r="J1798" s="5">
        <v>90000</v>
      </c>
      <c r="K1798" s="5">
        <v>6869000</v>
      </c>
      <c r="L1798" s="5">
        <v>27882000</v>
      </c>
      <c r="M1798" s="5">
        <v>-5549000</v>
      </c>
      <c r="N1798" s="5">
        <v>-5923000</v>
      </c>
    </row>
    <row r="1799" spans="1:14" x14ac:dyDescent="0.25">
      <c r="A1799" s="3" t="s">
        <v>1810</v>
      </c>
      <c r="B1799" s="4">
        <v>0.99</v>
      </c>
      <c r="C1799" s="4">
        <v>-0.22</v>
      </c>
      <c r="D1799" s="4">
        <v>-0.2</v>
      </c>
      <c r="E1799" s="4">
        <v>-1.1705893721046041E-2</v>
      </c>
      <c r="F1799" s="3">
        <v>1797</v>
      </c>
      <c r="G1799" s="3">
        <v>2</v>
      </c>
      <c r="H1799" s="5">
        <v>268875277.5</v>
      </c>
      <c r="I1799" s="5">
        <v>-76971722.5</v>
      </c>
      <c r="J1799" s="5">
        <v>8502000</v>
      </c>
      <c r="K1799" s="5">
        <v>354349000</v>
      </c>
      <c r="L1799" s="5">
        <v>0</v>
      </c>
      <c r="M1799" s="5">
        <v>-78027000</v>
      </c>
      <c r="N1799" s="5">
        <v>-71109000</v>
      </c>
    </row>
    <row r="1800" spans="1:14" x14ac:dyDescent="0.25">
      <c r="A1800" s="3" t="s">
        <v>1811</v>
      </c>
      <c r="B1800" s="4">
        <v>-0.02</v>
      </c>
      <c r="C1800" s="4">
        <v>-0.43</v>
      </c>
      <c r="D1800" s="4">
        <v>-0.32</v>
      </c>
      <c r="E1800" s="4">
        <v>-1.1710698011874901E-2</v>
      </c>
      <c r="F1800" s="3">
        <v>1798</v>
      </c>
      <c r="G1800" s="3">
        <v>2</v>
      </c>
      <c r="H1800" s="5">
        <v>28205869.859999999</v>
      </c>
      <c r="I1800" s="5">
        <v>1618869.8599999989</v>
      </c>
      <c r="J1800" s="5">
        <v>0</v>
      </c>
      <c r="K1800" s="5">
        <v>26587000</v>
      </c>
      <c r="L1800" s="5">
        <v>0</v>
      </c>
      <c r="M1800" s="5">
        <v>-72167000</v>
      </c>
      <c r="N1800" s="5">
        <v>-65363000</v>
      </c>
    </row>
    <row r="1801" spans="1:14" x14ac:dyDescent="0.25">
      <c r="A1801" s="3" t="s">
        <v>1812</v>
      </c>
      <c r="B1801" s="4">
        <v>2.58</v>
      </c>
      <c r="C1801" s="4">
        <v>0.1</v>
      </c>
      <c r="D1801" s="4">
        <v>7.0000000000000007E-2</v>
      </c>
      <c r="E1801" s="4">
        <v>-1.171329828482604E-2</v>
      </c>
      <c r="F1801" s="3">
        <v>1799</v>
      </c>
      <c r="G1801" s="3">
        <v>2</v>
      </c>
      <c r="H1801" s="5">
        <v>4866366003.9899998</v>
      </c>
      <c r="I1801" s="5">
        <v>5677294003.9899998</v>
      </c>
      <c r="J1801" s="5">
        <v>847878000</v>
      </c>
      <c r="K1801" s="5">
        <v>36950000</v>
      </c>
      <c r="L1801" s="5">
        <v>5251082000</v>
      </c>
      <c r="M1801" s="5">
        <v>2200555000</v>
      </c>
      <c r="N1801" s="5">
        <v>848627000</v>
      </c>
    </row>
    <row r="1802" spans="1:14" x14ac:dyDescent="0.25">
      <c r="A1802" s="3" t="s">
        <v>1813</v>
      </c>
      <c r="B1802" s="4">
        <v>-1.55</v>
      </c>
      <c r="C1802" s="4">
        <v>-0.76</v>
      </c>
      <c r="D1802" s="4">
        <v>-0.31</v>
      </c>
      <c r="E1802" s="4">
        <v>-1.171530954512166E-2</v>
      </c>
      <c r="F1802" s="3">
        <v>1800</v>
      </c>
      <c r="G1802" s="3">
        <v>2</v>
      </c>
      <c r="H1802" s="5">
        <v>16659990.85</v>
      </c>
      <c r="I1802" s="5">
        <v>8063390.8500000006</v>
      </c>
      <c r="J1802" s="5">
        <v>5000000</v>
      </c>
      <c r="K1802" s="5">
        <v>13596600</v>
      </c>
      <c r="L1802" s="5">
        <v>10249420</v>
      </c>
      <c r="M1802" s="5">
        <v>-5204130</v>
      </c>
      <c r="N1802" s="5">
        <v>-5352190</v>
      </c>
    </row>
    <row r="1803" spans="1:14" x14ac:dyDescent="0.25">
      <c r="A1803" s="3" t="s">
        <v>1814</v>
      </c>
      <c r="B1803" s="4">
        <v>2.2000000000000002</v>
      </c>
      <c r="C1803" s="4">
        <v>0.02</v>
      </c>
      <c r="D1803" s="4">
        <v>0.01</v>
      </c>
      <c r="E1803" s="4">
        <v>-1.1720831483917791E-2</v>
      </c>
      <c r="F1803" s="3">
        <v>1801</v>
      </c>
      <c r="G1803" s="3">
        <v>2</v>
      </c>
      <c r="H1803" s="5">
        <v>37933857.68</v>
      </c>
      <c r="I1803" s="5">
        <v>34941857.680000007</v>
      </c>
      <c r="J1803" s="5">
        <v>31043000</v>
      </c>
      <c r="K1803" s="5">
        <v>34035000</v>
      </c>
      <c r="L1803" s="5">
        <v>472672000</v>
      </c>
      <c r="M1803" s="5">
        <v>15855000</v>
      </c>
      <c r="N1803" s="5">
        <v>3486000</v>
      </c>
    </row>
    <row r="1804" spans="1:14" x14ac:dyDescent="0.25">
      <c r="A1804" s="3" t="s">
        <v>1815</v>
      </c>
      <c r="B1804" s="4">
        <v>3.15</v>
      </c>
      <c r="C1804" s="4">
        <v>0.21</v>
      </c>
      <c r="D1804" s="4">
        <v>0.19</v>
      </c>
      <c r="E1804" s="4">
        <v>-1.1725105013470341E-2</v>
      </c>
      <c r="F1804" s="3">
        <v>1802</v>
      </c>
      <c r="G1804" s="3">
        <v>2</v>
      </c>
      <c r="H1804" s="5">
        <v>507051463.94</v>
      </c>
      <c r="I1804" s="5">
        <v>498859463.94000012</v>
      </c>
      <c r="J1804" s="5">
        <v>38796000</v>
      </c>
      <c r="K1804" s="5">
        <v>46988000</v>
      </c>
      <c r="L1804" s="5">
        <v>405784000</v>
      </c>
      <c r="M1804" s="5">
        <v>158531000</v>
      </c>
      <c r="N1804" s="5">
        <v>133006000</v>
      </c>
    </row>
    <row r="1805" spans="1:14" x14ac:dyDescent="0.25">
      <c r="A1805" s="3" t="s">
        <v>1816</v>
      </c>
      <c r="B1805" s="4">
        <v>5.0599999999999996</v>
      </c>
      <c r="C1805" s="4">
        <v>0.6</v>
      </c>
      <c r="D1805" s="4">
        <v>0.44</v>
      </c>
      <c r="E1805" s="4">
        <v>-1.1732166963610629E-2</v>
      </c>
      <c r="F1805" s="3">
        <v>1803</v>
      </c>
      <c r="G1805" s="3">
        <v>2</v>
      </c>
      <c r="H1805" s="5">
        <v>19716305</v>
      </c>
      <c r="I1805" s="5">
        <v>19586765</v>
      </c>
      <c r="J1805" s="5">
        <v>0</v>
      </c>
      <c r="K1805" s="5">
        <v>129540</v>
      </c>
      <c r="L1805" s="5">
        <v>15640630</v>
      </c>
      <c r="M1805" s="5">
        <v>3873360</v>
      </c>
      <c r="N1805" s="5">
        <v>3773240</v>
      </c>
    </row>
    <row r="1806" spans="1:14" x14ac:dyDescent="0.25">
      <c r="A1806" s="3" t="s">
        <v>1817</v>
      </c>
      <c r="B1806" s="4">
        <v>3.62</v>
      </c>
      <c r="C1806" s="4">
        <v>0.31</v>
      </c>
      <c r="D1806" s="4">
        <v>0.16</v>
      </c>
      <c r="E1806" s="4">
        <v>-1.173284869082092E-2</v>
      </c>
      <c r="F1806" s="3">
        <v>1804</v>
      </c>
      <c r="G1806" s="3">
        <v>2</v>
      </c>
      <c r="H1806" s="5">
        <v>2299360361.7600002</v>
      </c>
      <c r="I1806" s="5">
        <v>2722844361.7600002</v>
      </c>
      <c r="J1806" s="5">
        <v>774869000</v>
      </c>
      <c r="K1806" s="5">
        <v>351385000</v>
      </c>
      <c r="L1806" s="5">
        <v>3202053000</v>
      </c>
      <c r="M1806" s="5">
        <v>752643000</v>
      </c>
      <c r="N1806" s="5">
        <v>472872000</v>
      </c>
    </row>
    <row r="1807" spans="1:14" x14ac:dyDescent="0.25">
      <c r="A1807" s="3" t="s">
        <v>1818</v>
      </c>
      <c r="B1807" s="4">
        <v>-0.27</v>
      </c>
      <c r="C1807" s="4">
        <v>-0.49</v>
      </c>
      <c r="D1807" s="4">
        <v>-0.38</v>
      </c>
      <c r="E1807" s="4">
        <v>-1.1740903670999749E-2</v>
      </c>
      <c r="F1807" s="3">
        <v>1805</v>
      </c>
      <c r="G1807" s="3">
        <v>2</v>
      </c>
      <c r="H1807" s="5">
        <v>2805.3735000000001</v>
      </c>
      <c r="I1807" s="5">
        <v>106115.3735</v>
      </c>
      <c r="J1807" s="5">
        <v>103330</v>
      </c>
      <c r="K1807" s="5">
        <v>20</v>
      </c>
      <c r="L1807" s="5">
        <v>0</v>
      </c>
      <c r="M1807" s="5">
        <v>-388500</v>
      </c>
      <c r="N1807" s="5">
        <v>-388500</v>
      </c>
    </row>
    <row r="1808" spans="1:14" x14ac:dyDescent="0.25">
      <c r="A1808" s="3" t="s">
        <v>1819</v>
      </c>
      <c r="B1808" s="4">
        <v>-8.4499999999999993</v>
      </c>
      <c r="C1808" s="4">
        <v>-2.23</v>
      </c>
      <c r="D1808" s="4">
        <v>-0.57999999999999996</v>
      </c>
      <c r="E1808" s="4">
        <v>-1.17442015628562E-2</v>
      </c>
      <c r="F1808" s="3">
        <v>1806</v>
      </c>
      <c r="G1808" s="3">
        <v>2</v>
      </c>
      <c r="H1808" s="5">
        <v>170502923.5</v>
      </c>
      <c r="I1808" s="5">
        <v>146223923.5</v>
      </c>
      <c r="J1808" s="5">
        <v>1933000</v>
      </c>
      <c r="K1808" s="5">
        <v>26212000</v>
      </c>
      <c r="L1808" s="5">
        <v>32806000</v>
      </c>
      <c r="M1808" s="5">
        <v>-17303000</v>
      </c>
      <c r="N1808" s="5">
        <v>-29007000</v>
      </c>
    </row>
    <row r="1809" spans="1:14" x14ac:dyDescent="0.25">
      <c r="A1809" s="3" t="s">
        <v>1820</v>
      </c>
      <c r="B1809" s="4">
        <v>3.86</v>
      </c>
      <c r="C1809" s="4">
        <v>0.36</v>
      </c>
      <c r="D1809" s="4">
        <v>0.12</v>
      </c>
      <c r="E1809" s="4">
        <v>-1.174463769878851E-2</v>
      </c>
      <c r="F1809" s="3">
        <v>1807</v>
      </c>
      <c r="G1809" s="3">
        <v>2</v>
      </c>
      <c r="H1809" s="5">
        <v>1640740635.2</v>
      </c>
      <c r="I1809" s="5">
        <v>2343740635.1999998</v>
      </c>
      <c r="J1809" s="5">
        <v>804000000</v>
      </c>
      <c r="K1809" s="5">
        <v>101000000</v>
      </c>
      <c r="L1809" s="5">
        <v>3773000000</v>
      </c>
      <c r="M1809" s="5">
        <v>607000000</v>
      </c>
      <c r="N1809" s="5">
        <v>302000000</v>
      </c>
    </row>
    <row r="1810" spans="1:14" x14ac:dyDescent="0.25">
      <c r="A1810" s="3" t="s">
        <v>1821</v>
      </c>
      <c r="B1810" s="4">
        <v>2.88</v>
      </c>
      <c r="C1810" s="4">
        <v>0.15</v>
      </c>
      <c r="D1810" s="4">
        <v>0.12</v>
      </c>
      <c r="E1810" s="4">
        <v>-1.1744861287778539E-2</v>
      </c>
      <c r="F1810" s="3">
        <v>1808</v>
      </c>
      <c r="G1810" s="3">
        <v>2</v>
      </c>
      <c r="H1810" s="5">
        <v>1681924816.4400001</v>
      </c>
      <c r="I1810" s="5">
        <v>1963323816.4400001</v>
      </c>
      <c r="J1810" s="5">
        <v>734783000</v>
      </c>
      <c r="K1810" s="5">
        <v>453384000</v>
      </c>
      <c r="L1810" s="5">
        <v>1014110000</v>
      </c>
      <c r="M1810" s="5">
        <v>680896000</v>
      </c>
      <c r="N1810" s="5">
        <v>505073000</v>
      </c>
    </row>
    <row r="1811" spans="1:14" x14ac:dyDescent="0.25">
      <c r="A1811" s="3" t="s">
        <v>1822</v>
      </c>
      <c r="B1811" s="4">
        <v>1.1599999999999999</v>
      </c>
      <c r="C1811" s="4">
        <v>-0.2</v>
      </c>
      <c r="D1811" s="4">
        <v>-0.17</v>
      </c>
      <c r="E1811" s="4">
        <v>-1.174753592413492E-2</v>
      </c>
      <c r="F1811" s="3">
        <v>1809</v>
      </c>
      <c r="G1811" s="3">
        <v>2</v>
      </c>
      <c r="H1811" s="5">
        <v>4754013.5</v>
      </c>
      <c r="I1811" s="5">
        <v>1519013.5</v>
      </c>
      <c r="J1811" s="5">
        <v>0</v>
      </c>
      <c r="K1811" s="5">
        <v>3235000</v>
      </c>
      <c r="L1811" s="5">
        <v>11110000</v>
      </c>
      <c r="M1811" s="5">
        <v>1310000</v>
      </c>
      <c r="N1811" s="5">
        <v>-1519000</v>
      </c>
    </row>
    <row r="1812" spans="1:14" x14ac:dyDescent="0.25">
      <c r="A1812" s="3" t="s">
        <v>1823</v>
      </c>
      <c r="B1812" s="4">
        <v>-5.29</v>
      </c>
      <c r="C1812" s="4">
        <v>-1.53</v>
      </c>
      <c r="D1812" s="4">
        <v>-1.03</v>
      </c>
      <c r="E1812" s="4">
        <v>-1.1764244268108379E-2</v>
      </c>
      <c r="F1812" s="3">
        <v>1810</v>
      </c>
      <c r="G1812" s="3">
        <v>2</v>
      </c>
      <c r="H1812" s="5">
        <v>776195678.44000006</v>
      </c>
      <c r="I1812" s="5">
        <v>747331678.44000006</v>
      </c>
      <c r="J1812" s="5">
        <v>0</v>
      </c>
      <c r="K1812" s="5">
        <v>28864000</v>
      </c>
      <c r="L1812" s="5">
        <v>9065000</v>
      </c>
      <c r="M1812" s="5">
        <v>-141372000</v>
      </c>
      <c r="N1812" s="5">
        <v>-152261000</v>
      </c>
    </row>
    <row r="1813" spans="1:14" x14ac:dyDescent="0.25">
      <c r="A1813" s="3" t="s">
        <v>1824</v>
      </c>
      <c r="B1813" s="4">
        <v>1.34</v>
      </c>
      <c r="C1813" s="4">
        <v>-0.17</v>
      </c>
      <c r="D1813" s="4">
        <v>-0.14000000000000001</v>
      </c>
      <c r="E1813" s="4">
        <v>-1.176647372590642E-2</v>
      </c>
      <c r="F1813" s="3">
        <v>1811</v>
      </c>
      <c r="G1813" s="3">
        <v>2</v>
      </c>
      <c r="H1813" s="5">
        <v>12257.484</v>
      </c>
      <c r="I1813" s="5">
        <v>-726092.51600000006</v>
      </c>
      <c r="J1813" s="5">
        <v>102430</v>
      </c>
      <c r="K1813" s="5">
        <v>840780</v>
      </c>
      <c r="L1813" s="5">
        <v>1935470</v>
      </c>
      <c r="M1813" s="5">
        <v>-541900</v>
      </c>
      <c r="N1813" s="5">
        <v>-398220</v>
      </c>
    </row>
    <row r="1814" spans="1:14" x14ac:dyDescent="0.25">
      <c r="A1814" s="3" t="s">
        <v>1825</v>
      </c>
      <c r="B1814" s="4">
        <v>-0.36</v>
      </c>
      <c r="C1814" s="4">
        <v>-0.53</v>
      </c>
      <c r="D1814" s="4">
        <v>-0.23</v>
      </c>
      <c r="E1814" s="4">
        <v>-1.17718398491213E-2</v>
      </c>
      <c r="F1814" s="3">
        <v>1812</v>
      </c>
      <c r="G1814" s="3">
        <v>2</v>
      </c>
      <c r="H1814" s="5">
        <v>1285.7985000000001</v>
      </c>
      <c r="I1814" s="5">
        <v>3631565.7985</v>
      </c>
      <c r="J1814" s="5">
        <v>4761230</v>
      </c>
      <c r="K1814" s="5">
        <v>1130950</v>
      </c>
      <c r="L1814" s="5">
        <v>40718190</v>
      </c>
      <c r="M1814" s="5">
        <v>-10120580</v>
      </c>
      <c r="N1814" s="5">
        <v>-13203850</v>
      </c>
    </row>
    <row r="1815" spans="1:14" x14ac:dyDescent="0.25">
      <c r="A1815" s="3" t="s">
        <v>1826</v>
      </c>
      <c r="B1815" s="4">
        <v>3.01</v>
      </c>
      <c r="C1815" s="4">
        <v>0.17</v>
      </c>
      <c r="D1815" s="4">
        <v>0.09</v>
      </c>
      <c r="E1815" s="4">
        <v>-1.177332082754415E-2</v>
      </c>
      <c r="F1815" s="3">
        <v>1813</v>
      </c>
      <c r="G1815" s="3">
        <v>2</v>
      </c>
      <c r="H1815" s="5">
        <v>560093420.03999996</v>
      </c>
      <c r="I1815" s="5">
        <v>816463420.03999996</v>
      </c>
      <c r="J1815" s="5">
        <v>269494000</v>
      </c>
      <c r="K1815" s="5">
        <v>13124000</v>
      </c>
      <c r="L1815" s="5">
        <v>410181000</v>
      </c>
      <c r="M1815" s="5">
        <v>271643000</v>
      </c>
      <c r="N1815" s="5">
        <v>88897000</v>
      </c>
    </row>
    <row r="1816" spans="1:14" x14ac:dyDescent="0.25">
      <c r="A1816" s="3" t="s">
        <v>1827</v>
      </c>
      <c r="B1816" s="4">
        <v>3.04</v>
      </c>
      <c r="C1816" s="4">
        <v>0.18</v>
      </c>
      <c r="D1816" s="4">
        <v>0.03</v>
      </c>
      <c r="E1816" s="4">
        <v>-1.177456899708596E-2</v>
      </c>
      <c r="F1816" s="3">
        <v>1814</v>
      </c>
      <c r="G1816" s="3">
        <v>2</v>
      </c>
      <c r="H1816" s="5">
        <v>7456483144.9700003</v>
      </c>
      <c r="I1816" s="5">
        <v>6628191144.9700012</v>
      </c>
      <c r="J1816" s="5">
        <v>1315179000</v>
      </c>
      <c r="K1816" s="5">
        <v>2143471000</v>
      </c>
      <c r="L1816" s="5">
        <v>5968397000</v>
      </c>
      <c r="M1816" s="5">
        <v>2177759000</v>
      </c>
      <c r="N1816" s="5">
        <v>1081786000</v>
      </c>
    </row>
    <row r="1817" spans="1:14" x14ac:dyDescent="0.25">
      <c r="A1817" s="3" t="s">
        <v>1828</v>
      </c>
      <c r="B1817" s="4">
        <v>2.2400000000000002</v>
      </c>
      <c r="C1817" s="4">
        <v>0.01</v>
      </c>
      <c r="D1817" s="4">
        <v>0</v>
      </c>
      <c r="E1817" s="4">
        <v>-1.177641094029807E-2</v>
      </c>
      <c r="F1817" s="3">
        <v>1815</v>
      </c>
      <c r="G1817" s="3">
        <v>2</v>
      </c>
      <c r="H1817" s="5">
        <v>143653714.71000001</v>
      </c>
      <c r="I1817" s="5">
        <v>787204714.71000004</v>
      </c>
      <c r="J1817" s="5">
        <v>746930000</v>
      </c>
      <c r="K1817" s="5">
        <v>103379000</v>
      </c>
      <c r="L1817" s="5">
        <v>621849000</v>
      </c>
      <c r="M1817" s="5">
        <v>351435000</v>
      </c>
      <c r="N1817" s="5">
        <v>3216000</v>
      </c>
    </row>
    <row r="1818" spans="1:14" x14ac:dyDescent="0.25">
      <c r="A1818" s="3" t="s">
        <v>1829</v>
      </c>
      <c r="B1818" s="4">
        <v>3.87</v>
      </c>
      <c r="C1818" s="4">
        <v>0.35</v>
      </c>
      <c r="D1818" s="4">
        <v>0.12</v>
      </c>
      <c r="E1818" s="4">
        <v>-1.1779720511500049E-2</v>
      </c>
      <c r="F1818" s="3">
        <v>1816</v>
      </c>
      <c r="G1818" s="3">
        <v>2</v>
      </c>
      <c r="H1818" s="5">
        <v>9456.9377999999997</v>
      </c>
      <c r="I1818" s="5">
        <v>2392676.9378</v>
      </c>
      <c r="J1818" s="5">
        <v>2952500</v>
      </c>
      <c r="K1818" s="5">
        <v>569280</v>
      </c>
      <c r="L1818" s="5">
        <v>10444630</v>
      </c>
      <c r="M1818" s="5">
        <v>617790</v>
      </c>
      <c r="N1818" s="5">
        <v>807850</v>
      </c>
    </row>
    <row r="1819" spans="1:14" x14ac:dyDescent="0.25">
      <c r="A1819" s="3" t="s">
        <v>1830</v>
      </c>
      <c r="B1819" s="4">
        <v>2.64</v>
      </c>
      <c r="C1819" s="4">
        <v>0.08</v>
      </c>
      <c r="D1819" s="4">
        <v>0.06</v>
      </c>
      <c r="E1819" s="4">
        <v>-1.181014975961492E-2</v>
      </c>
      <c r="F1819" s="3">
        <v>1817</v>
      </c>
      <c r="G1819" s="3">
        <v>2</v>
      </c>
      <c r="H1819" s="5">
        <v>372928172.75999999</v>
      </c>
      <c r="I1819" s="5">
        <v>214160172.75999999</v>
      </c>
      <c r="J1819" s="5">
        <v>23000000</v>
      </c>
      <c r="K1819" s="5">
        <v>181768000</v>
      </c>
      <c r="L1819" s="5">
        <v>854503000</v>
      </c>
      <c r="M1819" s="5">
        <v>80992000</v>
      </c>
      <c r="N1819" s="5">
        <v>42030000</v>
      </c>
    </row>
    <row r="1820" spans="1:14" x14ac:dyDescent="0.25">
      <c r="A1820" s="3" t="s">
        <v>1831</v>
      </c>
      <c r="B1820" s="4">
        <v>-14.39</v>
      </c>
      <c r="C1820" s="4">
        <v>-3.45</v>
      </c>
      <c r="D1820" s="4">
        <v>-1.71</v>
      </c>
      <c r="E1820" s="4">
        <v>-1.181081343781424E-2</v>
      </c>
      <c r="F1820" s="3">
        <v>1818</v>
      </c>
      <c r="G1820" s="3">
        <v>2</v>
      </c>
      <c r="H1820" s="5">
        <v>8274549.8556000004</v>
      </c>
      <c r="I1820" s="5">
        <v>8500169.8555999994</v>
      </c>
      <c r="J1820" s="5">
        <v>531680</v>
      </c>
      <c r="K1820" s="5">
        <v>306060</v>
      </c>
      <c r="L1820" s="5">
        <v>6672790</v>
      </c>
      <c r="M1820" s="5">
        <v>-590860</v>
      </c>
      <c r="N1820" s="5">
        <v>-7423080</v>
      </c>
    </row>
    <row r="1821" spans="1:14" x14ac:dyDescent="0.25">
      <c r="A1821" s="3" t="s">
        <v>1832</v>
      </c>
      <c r="B1821" s="4">
        <v>2.84</v>
      </c>
      <c r="C1821" s="4">
        <v>0.12</v>
      </c>
      <c r="D1821" s="4">
        <v>0.03</v>
      </c>
      <c r="E1821" s="4">
        <v>-1.182414652523116E-2</v>
      </c>
      <c r="F1821" s="3">
        <v>1819</v>
      </c>
      <c r="G1821" s="3">
        <v>2</v>
      </c>
      <c r="H1821" s="5">
        <v>2404789808.0700002</v>
      </c>
      <c r="I1821" s="5">
        <v>4484789808.0699997</v>
      </c>
      <c r="J1821" s="5">
        <v>3876000000</v>
      </c>
      <c r="K1821" s="5">
        <v>1796000000</v>
      </c>
      <c r="L1821" s="5">
        <v>12871000000</v>
      </c>
      <c r="M1821" s="5">
        <v>1578000000</v>
      </c>
      <c r="N1821" s="5">
        <v>389000000</v>
      </c>
    </row>
    <row r="1822" spans="1:14" x14ac:dyDescent="0.25">
      <c r="A1822" s="3" t="s">
        <v>1833</v>
      </c>
      <c r="B1822" s="4">
        <v>2.83</v>
      </c>
      <c r="C1822" s="4">
        <v>0.12</v>
      </c>
      <c r="D1822" s="4">
        <v>-0.02</v>
      </c>
      <c r="E1822" s="4">
        <v>-1.182760245242161E-2</v>
      </c>
      <c r="F1822" s="3">
        <v>1820</v>
      </c>
      <c r="G1822" s="3">
        <v>2</v>
      </c>
      <c r="H1822" s="5">
        <v>1951351643.52</v>
      </c>
      <c r="I1822" s="5">
        <v>5401751643.5200005</v>
      </c>
      <c r="J1822" s="5">
        <v>3656100000</v>
      </c>
      <c r="K1822" s="5">
        <v>205700000</v>
      </c>
      <c r="L1822" s="5">
        <v>3195500000</v>
      </c>
      <c r="M1822" s="5">
        <v>1906500000</v>
      </c>
      <c r="N1822" s="5">
        <v>-123500000</v>
      </c>
    </row>
    <row r="1823" spans="1:14" x14ac:dyDescent="0.25">
      <c r="A1823" s="3" t="s">
        <v>1834</v>
      </c>
      <c r="B1823" s="4">
        <v>2.13</v>
      </c>
      <c r="C1823" s="4">
        <v>-0.03</v>
      </c>
      <c r="D1823" s="4">
        <v>-0.02</v>
      </c>
      <c r="E1823" s="4">
        <v>-1.1827762158843061E-2</v>
      </c>
      <c r="F1823" s="3">
        <v>1821</v>
      </c>
      <c r="G1823" s="3">
        <v>2</v>
      </c>
      <c r="H1823" s="5">
        <v>4041432.2689999999</v>
      </c>
      <c r="I1823" s="5">
        <v>4846432.2689999994</v>
      </c>
      <c r="J1823" s="5">
        <v>3113000</v>
      </c>
      <c r="K1823" s="5">
        <v>2308000</v>
      </c>
      <c r="L1823" s="5">
        <v>39434000</v>
      </c>
      <c r="M1823" s="5">
        <v>2275000</v>
      </c>
      <c r="N1823" s="5">
        <v>-847000</v>
      </c>
    </row>
    <row r="1824" spans="1:14" x14ac:dyDescent="0.25">
      <c r="A1824" s="3" t="s">
        <v>1835</v>
      </c>
      <c r="B1824" s="4">
        <v>-0.44</v>
      </c>
      <c r="C1824" s="4">
        <v>-0.56000000000000005</v>
      </c>
      <c r="D1824" s="4">
        <v>-0.34</v>
      </c>
      <c r="E1824" s="4">
        <v>-1.183022631694061E-2</v>
      </c>
      <c r="F1824" s="3">
        <v>1822</v>
      </c>
      <c r="G1824" s="3">
        <v>2</v>
      </c>
      <c r="H1824" s="5">
        <v>21830989.73</v>
      </c>
      <c r="I1824" s="5">
        <v>18579109.73</v>
      </c>
      <c r="J1824" s="5">
        <v>0</v>
      </c>
      <c r="K1824" s="5">
        <v>3251880</v>
      </c>
      <c r="L1824" s="5">
        <v>0</v>
      </c>
      <c r="M1824" s="5">
        <v>-41994250</v>
      </c>
      <c r="N1824" s="5">
        <v>-39138840</v>
      </c>
    </row>
    <row r="1825" spans="1:14" x14ac:dyDescent="0.25">
      <c r="A1825" s="3" t="s">
        <v>1836</v>
      </c>
      <c r="B1825" s="4">
        <v>-0.71</v>
      </c>
      <c r="C1825" s="4">
        <v>-0.61</v>
      </c>
      <c r="D1825" s="4">
        <v>-0.47</v>
      </c>
      <c r="E1825" s="4">
        <v>-1.1832663143699389E-2</v>
      </c>
      <c r="F1825" s="3">
        <v>1823</v>
      </c>
      <c r="G1825" s="3">
        <v>2</v>
      </c>
      <c r="H1825" s="5">
        <v>246287942.19</v>
      </c>
      <c r="I1825" s="5">
        <v>171069942.19</v>
      </c>
      <c r="J1825" s="5">
        <v>0</v>
      </c>
      <c r="K1825" s="5">
        <v>75218000</v>
      </c>
      <c r="L1825" s="5">
        <v>22000</v>
      </c>
      <c r="M1825" s="5">
        <v>-241843000</v>
      </c>
      <c r="N1825" s="5">
        <v>-257590000</v>
      </c>
    </row>
    <row r="1826" spans="1:14" x14ac:dyDescent="0.25">
      <c r="A1826" s="3" t="s">
        <v>1837</v>
      </c>
      <c r="B1826" s="4">
        <v>-2.08</v>
      </c>
      <c r="C1826" s="4">
        <v>-0.89</v>
      </c>
      <c r="D1826" s="4">
        <v>-0.68</v>
      </c>
      <c r="E1826" s="4">
        <v>-1.183427251773223E-2</v>
      </c>
      <c r="F1826" s="3">
        <v>1824</v>
      </c>
      <c r="G1826" s="3">
        <v>2</v>
      </c>
      <c r="H1826" s="5">
        <v>88030596.819999993</v>
      </c>
      <c r="I1826" s="5">
        <v>69114596.819999993</v>
      </c>
      <c r="J1826" s="5">
        <v>0</v>
      </c>
      <c r="K1826" s="5">
        <v>18916000</v>
      </c>
      <c r="L1826" s="5">
        <v>7009000</v>
      </c>
      <c r="M1826" s="5">
        <v>-33223000</v>
      </c>
      <c r="N1826" s="5">
        <v>-32005000</v>
      </c>
    </row>
    <row r="1827" spans="1:14" x14ac:dyDescent="0.25">
      <c r="A1827" s="3" t="s">
        <v>1838</v>
      </c>
      <c r="B1827" s="4">
        <v>4.78</v>
      </c>
      <c r="C1827" s="4">
        <v>0.52</v>
      </c>
      <c r="D1827" s="4">
        <v>0.2</v>
      </c>
      <c r="E1827" s="4">
        <v>-1.183631469806826E-2</v>
      </c>
      <c r="F1827" s="3">
        <v>1825</v>
      </c>
      <c r="G1827" s="3">
        <v>2</v>
      </c>
      <c r="H1827" s="5">
        <v>4165193161.1100001</v>
      </c>
      <c r="I1827" s="5">
        <v>5334047161.1100006</v>
      </c>
      <c r="J1827" s="5">
        <v>1349339000</v>
      </c>
      <c r="K1827" s="5">
        <v>180485000</v>
      </c>
      <c r="L1827" s="5">
        <v>4102108000</v>
      </c>
      <c r="M1827" s="5">
        <v>1116832000</v>
      </c>
      <c r="N1827" s="5">
        <v>950071000</v>
      </c>
    </row>
    <row r="1828" spans="1:14" x14ac:dyDescent="0.25">
      <c r="A1828" s="3" t="s">
        <v>1839</v>
      </c>
      <c r="B1828" s="4">
        <v>2.67</v>
      </c>
      <c r="C1828" s="4">
        <v>0.08</v>
      </c>
      <c r="D1828" s="4">
        <v>0.02</v>
      </c>
      <c r="E1828" s="4">
        <v>-1.183643348301618E-2</v>
      </c>
      <c r="F1828" s="3">
        <v>1826</v>
      </c>
      <c r="G1828" s="3">
        <v>2</v>
      </c>
      <c r="H1828" s="5">
        <v>210717929.02000001</v>
      </c>
      <c r="I1828" s="5">
        <v>176911609.02000001</v>
      </c>
      <c r="J1828" s="5">
        <v>106740100</v>
      </c>
      <c r="K1828" s="5">
        <v>140546420</v>
      </c>
      <c r="L1828" s="5">
        <v>329564890</v>
      </c>
      <c r="M1828" s="5">
        <v>66315140</v>
      </c>
      <c r="N1828" s="5">
        <v>26535770</v>
      </c>
    </row>
    <row r="1829" spans="1:14" x14ac:dyDescent="0.25">
      <c r="A1829" s="3" t="s">
        <v>1840</v>
      </c>
      <c r="B1829" s="4">
        <v>0.4</v>
      </c>
      <c r="C1829" s="4">
        <v>-0.4</v>
      </c>
      <c r="D1829" s="4">
        <v>-0.11</v>
      </c>
      <c r="E1829" s="4">
        <v>-1.184345427198116E-2</v>
      </c>
      <c r="F1829" s="3">
        <v>1827</v>
      </c>
      <c r="G1829" s="3">
        <v>2</v>
      </c>
      <c r="H1829" s="5">
        <v>59691616</v>
      </c>
      <c r="I1829" s="5">
        <v>-69728384</v>
      </c>
      <c r="J1829" s="5">
        <v>288500000</v>
      </c>
      <c r="K1829" s="5">
        <v>417920000</v>
      </c>
      <c r="L1829" s="5">
        <v>331190000</v>
      </c>
      <c r="M1829" s="5">
        <v>-173761000</v>
      </c>
      <c r="N1829" s="5">
        <v>-91753000</v>
      </c>
    </row>
    <row r="1830" spans="1:14" x14ac:dyDescent="0.25">
      <c r="A1830" s="3" t="s">
        <v>1841</v>
      </c>
      <c r="B1830" s="4">
        <v>2.99</v>
      </c>
      <c r="C1830" s="4">
        <v>0.14000000000000001</v>
      </c>
      <c r="D1830" s="4">
        <v>0.11</v>
      </c>
      <c r="E1830" s="4">
        <v>-1.184376518403836E-2</v>
      </c>
      <c r="F1830" s="3">
        <v>1828</v>
      </c>
      <c r="G1830" s="3">
        <v>2</v>
      </c>
      <c r="H1830" s="5">
        <v>28661799.239999998</v>
      </c>
      <c r="I1830" s="5">
        <v>28607059.239999998</v>
      </c>
      <c r="J1830" s="5">
        <v>0</v>
      </c>
      <c r="K1830" s="5">
        <v>54740</v>
      </c>
      <c r="L1830" s="5">
        <v>12818180</v>
      </c>
      <c r="M1830" s="5">
        <v>9556770</v>
      </c>
      <c r="N1830" s="5">
        <v>3491290</v>
      </c>
    </row>
    <row r="1831" spans="1:14" x14ac:dyDescent="0.25">
      <c r="A1831" s="3" t="s">
        <v>1842</v>
      </c>
      <c r="B1831" s="4">
        <v>2.31</v>
      </c>
      <c r="C1831" s="4">
        <v>0</v>
      </c>
      <c r="D1831" s="4">
        <v>0</v>
      </c>
      <c r="E1831" s="4">
        <v>-1.1848628987192069E-2</v>
      </c>
      <c r="F1831" s="3">
        <v>1829</v>
      </c>
      <c r="G1831" s="3">
        <v>2</v>
      </c>
      <c r="H1831" s="5">
        <v>139608410.75999999</v>
      </c>
      <c r="I1831" s="5">
        <v>50514410.75999999</v>
      </c>
      <c r="J1831" s="5">
        <v>0</v>
      </c>
      <c r="K1831" s="5">
        <v>89094000</v>
      </c>
      <c r="L1831" s="5">
        <v>889875000</v>
      </c>
      <c r="M1831" s="5">
        <v>21839000</v>
      </c>
      <c r="N1831" s="5">
        <v>-711000</v>
      </c>
    </row>
    <row r="1832" spans="1:14" x14ac:dyDescent="0.25">
      <c r="A1832" s="3" t="s">
        <v>1843</v>
      </c>
      <c r="B1832" s="4">
        <v>3.19</v>
      </c>
      <c r="C1832" s="4">
        <v>0.18</v>
      </c>
      <c r="D1832" s="4">
        <v>0.11</v>
      </c>
      <c r="E1832" s="4">
        <v>-1.185197486992207E-2</v>
      </c>
      <c r="F1832" s="3">
        <v>1830</v>
      </c>
      <c r="G1832" s="3">
        <v>2</v>
      </c>
      <c r="H1832" s="5">
        <v>18018547.789999999</v>
      </c>
      <c r="I1832" s="5">
        <v>8941247.7899999991</v>
      </c>
      <c r="J1832" s="5">
        <v>1591830</v>
      </c>
      <c r="K1832" s="5">
        <v>10669130</v>
      </c>
      <c r="L1832" s="5">
        <v>39075090</v>
      </c>
      <c r="M1832" s="5">
        <v>2806470</v>
      </c>
      <c r="N1832" s="5">
        <v>2593250</v>
      </c>
    </row>
    <row r="1833" spans="1:14" x14ac:dyDescent="0.25">
      <c r="A1833" s="3" t="s">
        <v>1844</v>
      </c>
      <c r="B1833" s="4">
        <v>3.04</v>
      </c>
      <c r="C1833" s="4">
        <v>0.15</v>
      </c>
      <c r="D1833" s="4">
        <v>7.0000000000000007E-2</v>
      </c>
      <c r="E1833" s="4">
        <v>-1.185353371181931E-2</v>
      </c>
      <c r="F1833" s="3">
        <v>1831</v>
      </c>
      <c r="G1833" s="3">
        <v>2</v>
      </c>
      <c r="H1833" s="5">
        <v>566587391.38</v>
      </c>
      <c r="I1833" s="5">
        <v>588222391.38</v>
      </c>
      <c r="J1833" s="5">
        <v>31105000</v>
      </c>
      <c r="K1833" s="5">
        <v>9470000</v>
      </c>
      <c r="L1833" s="5">
        <v>1516601000</v>
      </c>
      <c r="M1833" s="5">
        <v>193258000</v>
      </c>
      <c r="N1833" s="5">
        <v>92973000</v>
      </c>
    </row>
    <row r="1834" spans="1:14" x14ac:dyDescent="0.25">
      <c r="A1834" s="3" t="s">
        <v>1845</v>
      </c>
      <c r="B1834" s="4">
        <v>0.78</v>
      </c>
      <c r="C1834" s="4">
        <v>-0.31</v>
      </c>
      <c r="D1834" s="4">
        <v>-0.3</v>
      </c>
      <c r="E1834" s="4">
        <v>-1.1855253130312601E-2</v>
      </c>
      <c r="F1834" s="3">
        <v>1832</v>
      </c>
      <c r="G1834" s="3">
        <v>2</v>
      </c>
      <c r="H1834" s="5">
        <v>1387.9224999999999</v>
      </c>
      <c r="I1834" s="5">
        <v>-2716022.0775000001</v>
      </c>
      <c r="J1834" s="5">
        <v>0</v>
      </c>
      <c r="K1834" s="5">
        <v>2717410</v>
      </c>
      <c r="L1834" s="5">
        <v>526400</v>
      </c>
      <c r="M1834" s="5">
        <v>-3499150</v>
      </c>
      <c r="N1834" s="5">
        <v>-3590590</v>
      </c>
    </row>
    <row r="1835" spans="1:14" x14ac:dyDescent="0.25">
      <c r="A1835" s="3" t="s">
        <v>1846</v>
      </c>
      <c r="B1835" s="4">
        <v>-0.51</v>
      </c>
      <c r="C1835" s="4">
        <v>-0.57999999999999996</v>
      </c>
      <c r="D1835" s="4">
        <v>-0.42</v>
      </c>
      <c r="E1835" s="4">
        <v>-1.1860121303710039E-2</v>
      </c>
      <c r="F1835" s="3">
        <v>1833</v>
      </c>
      <c r="G1835" s="3">
        <v>2</v>
      </c>
      <c r="H1835" s="5">
        <v>125709369.73</v>
      </c>
      <c r="I1835" s="5">
        <v>89653369.730000004</v>
      </c>
      <c r="J1835" s="5">
        <v>0</v>
      </c>
      <c r="K1835" s="5">
        <v>36056000</v>
      </c>
      <c r="L1835" s="5">
        <v>13631000</v>
      </c>
      <c r="M1835" s="5">
        <v>-176539000</v>
      </c>
      <c r="N1835" s="5">
        <v>-186262000</v>
      </c>
    </row>
    <row r="1836" spans="1:14" x14ac:dyDescent="0.25">
      <c r="A1836" s="3" t="s">
        <v>1847</v>
      </c>
      <c r="B1836" s="4">
        <v>-1.1599999999999999</v>
      </c>
      <c r="C1836" s="4">
        <v>-0.71</v>
      </c>
      <c r="D1836" s="4">
        <v>-0.56000000000000005</v>
      </c>
      <c r="E1836" s="4">
        <v>-1.1860446196673039E-2</v>
      </c>
      <c r="F1836" s="3">
        <v>1834</v>
      </c>
      <c r="G1836" s="3">
        <v>2</v>
      </c>
      <c r="H1836" s="5">
        <v>7394303.3600000003</v>
      </c>
      <c r="I1836" s="5">
        <v>6806403.3600000003</v>
      </c>
      <c r="J1836" s="5">
        <v>0</v>
      </c>
      <c r="K1836" s="5">
        <v>587900</v>
      </c>
      <c r="L1836" s="5">
        <v>10712600</v>
      </c>
      <c r="M1836" s="5">
        <v>-5887500</v>
      </c>
      <c r="N1836" s="5">
        <v>-6445400</v>
      </c>
    </row>
    <row r="1837" spans="1:14" x14ac:dyDescent="0.25">
      <c r="A1837" s="3" t="s">
        <v>1848</v>
      </c>
      <c r="B1837" s="4">
        <v>2.5299999999999998</v>
      </c>
      <c r="C1837" s="4">
        <v>0.04</v>
      </c>
      <c r="D1837" s="4">
        <v>0.03</v>
      </c>
      <c r="E1837" s="4">
        <v>-1.186343000473742E-2</v>
      </c>
      <c r="F1837" s="3">
        <v>1835</v>
      </c>
      <c r="G1837" s="3">
        <v>2</v>
      </c>
      <c r="H1837" s="5">
        <v>292941553.27999997</v>
      </c>
      <c r="I1837" s="5">
        <v>84440553.279999971</v>
      </c>
      <c r="J1837" s="5">
        <v>0</v>
      </c>
      <c r="K1837" s="5">
        <v>208501000</v>
      </c>
      <c r="L1837" s="5">
        <v>653378000</v>
      </c>
      <c r="M1837" s="5">
        <v>33427000</v>
      </c>
      <c r="N1837" s="5">
        <v>18364000</v>
      </c>
    </row>
    <row r="1838" spans="1:14" x14ac:dyDescent="0.25">
      <c r="A1838" s="3" t="s">
        <v>1849</v>
      </c>
      <c r="B1838" s="4">
        <v>0.24</v>
      </c>
      <c r="C1838" s="4">
        <v>-0.44</v>
      </c>
      <c r="D1838" s="4">
        <v>-0.24</v>
      </c>
      <c r="E1838" s="4">
        <v>-1.1885078754393329E-2</v>
      </c>
      <c r="F1838" s="3">
        <v>1836</v>
      </c>
      <c r="G1838" s="3">
        <v>2</v>
      </c>
      <c r="H1838" s="5">
        <v>56.784146999999997</v>
      </c>
      <c r="I1838" s="5">
        <v>-5705943.2158530001</v>
      </c>
      <c r="J1838" s="5">
        <v>2101000</v>
      </c>
      <c r="K1838" s="5">
        <v>7807000</v>
      </c>
      <c r="L1838" s="5">
        <v>161935000</v>
      </c>
      <c r="M1838" s="5">
        <v>-23386000</v>
      </c>
      <c r="N1838" s="5">
        <v>-28211000</v>
      </c>
    </row>
    <row r="1839" spans="1:14" x14ac:dyDescent="0.25">
      <c r="A1839" s="3" t="s">
        <v>1850</v>
      </c>
      <c r="B1839" s="4">
        <v>3.88</v>
      </c>
      <c r="C1839" s="4">
        <v>0.31</v>
      </c>
      <c r="D1839" s="4">
        <v>0.19</v>
      </c>
      <c r="E1839" s="4">
        <v>-1.1887980959212421E-2</v>
      </c>
      <c r="F1839" s="3">
        <v>1837</v>
      </c>
      <c r="G1839" s="3">
        <v>2</v>
      </c>
      <c r="H1839" s="5">
        <v>414441099.80000001</v>
      </c>
      <c r="I1839" s="5">
        <v>546105519.79999995</v>
      </c>
      <c r="J1839" s="5">
        <v>205403920</v>
      </c>
      <c r="K1839" s="5">
        <v>73739500</v>
      </c>
      <c r="L1839" s="5">
        <v>212897310</v>
      </c>
      <c r="M1839" s="5">
        <v>140691620</v>
      </c>
      <c r="N1839" s="5">
        <v>112775680</v>
      </c>
    </row>
    <row r="1840" spans="1:14" x14ac:dyDescent="0.25">
      <c r="A1840" s="3" t="s">
        <v>1851</v>
      </c>
      <c r="B1840" s="4">
        <v>0.63</v>
      </c>
      <c r="C1840" s="4">
        <v>-0.36</v>
      </c>
      <c r="D1840" s="4">
        <v>-0.24</v>
      </c>
      <c r="E1840" s="4">
        <v>-1.189530892046368E-2</v>
      </c>
      <c r="F1840" s="3">
        <v>1838</v>
      </c>
      <c r="G1840" s="3">
        <v>2</v>
      </c>
      <c r="H1840" s="5">
        <v>5255881</v>
      </c>
      <c r="I1840" s="5">
        <v>-228927119</v>
      </c>
      <c r="J1840" s="5">
        <v>53865000</v>
      </c>
      <c r="K1840" s="5">
        <v>288048000</v>
      </c>
      <c r="L1840" s="5">
        <v>2556856000</v>
      </c>
      <c r="M1840" s="5">
        <v>-361271000</v>
      </c>
      <c r="N1840" s="5">
        <v>-356217000</v>
      </c>
    </row>
    <row r="1841" spans="1:14" x14ac:dyDescent="0.25">
      <c r="A1841" s="3" t="s">
        <v>1852</v>
      </c>
      <c r="B1841" s="4">
        <v>4.1900000000000004</v>
      </c>
      <c r="C1841" s="4">
        <v>0.38</v>
      </c>
      <c r="D1841" s="4">
        <v>0.05</v>
      </c>
      <c r="E1841" s="4">
        <v>-1.1904597458805691E-2</v>
      </c>
      <c r="F1841" s="3">
        <v>1839</v>
      </c>
      <c r="G1841" s="3">
        <v>2</v>
      </c>
      <c r="H1841" s="5">
        <v>3199054649.2199998</v>
      </c>
      <c r="I1841" s="5">
        <v>7093054649.2199993</v>
      </c>
      <c r="J1841" s="5">
        <v>4694000000</v>
      </c>
      <c r="K1841" s="5">
        <v>800000000</v>
      </c>
      <c r="L1841" s="5">
        <v>4004000000</v>
      </c>
      <c r="M1841" s="5">
        <v>1691000000</v>
      </c>
      <c r="N1841" s="5">
        <v>415000000</v>
      </c>
    </row>
    <row r="1842" spans="1:14" x14ac:dyDescent="0.25">
      <c r="A1842" s="3" t="s">
        <v>1853</v>
      </c>
      <c r="B1842" s="4">
        <v>1.79</v>
      </c>
      <c r="C1842" s="4">
        <v>-0.13</v>
      </c>
      <c r="D1842" s="4">
        <v>-0.03</v>
      </c>
      <c r="E1842" s="4">
        <v>-1.190819426186451E-2</v>
      </c>
      <c r="F1842" s="3">
        <v>1840</v>
      </c>
      <c r="G1842" s="3">
        <v>2</v>
      </c>
      <c r="H1842" s="5">
        <v>5170161412.6400003</v>
      </c>
      <c r="I1842" s="5">
        <v>12838448412.639999</v>
      </c>
      <c r="J1842" s="5">
        <v>12895941000</v>
      </c>
      <c r="K1842" s="5">
        <v>5227654000</v>
      </c>
      <c r="L1842" s="5">
        <v>13257454000</v>
      </c>
      <c r="M1842" s="5">
        <v>7183021000</v>
      </c>
      <c r="N1842" s="5">
        <v>-1515222000</v>
      </c>
    </row>
    <row r="1843" spans="1:14" x14ac:dyDescent="0.25">
      <c r="A1843" s="3" t="s">
        <v>1854</v>
      </c>
      <c r="B1843" s="4">
        <v>-0.37</v>
      </c>
      <c r="C1843" s="4">
        <v>-0.57999999999999996</v>
      </c>
      <c r="D1843" s="4">
        <v>-0.34</v>
      </c>
      <c r="E1843" s="4">
        <v>-1.193133797084908E-2</v>
      </c>
      <c r="F1843" s="3">
        <v>1841</v>
      </c>
      <c r="G1843" s="3">
        <v>2</v>
      </c>
      <c r="H1843" s="5">
        <v>12124264.0407</v>
      </c>
      <c r="I1843" s="5">
        <v>10879314.0407</v>
      </c>
      <c r="J1843" s="5">
        <v>11302220</v>
      </c>
      <c r="K1843" s="5">
        <v>12547170</v>
      </c>
      <c r="L1843" s="5">
        <v>31297390</v>
      </c>
      <c r="M1843" s="5">
        <v>-29621290</v>
      </c>
      <c r="N1843" s="5">
        <v>-44866810</v>
      </c>
    </row>
    <row r="1844" spans="1:14" x14ac:dyDescent="0.25">
      <c r="A1844" s="3" t="s">
        <v>1855</v>
      </c>
      <c r="B1844" s="4">
        <v>2.99</v>
      </c>
      <c r="C1844" s="4">
        <v>0.11</v>
      </c>
      <c r="D1844" s="4">
        <v>0.1</v>
      </c>
      <c r="E1844" s="4">
        <v>-1.193237503165924E-2</v>
      </c>
      <c r="F1844" s="3">
        <v>1842</v>
      </c>
      <c r="G1844" s="3">
        <v>2</v>
      </c>
      <c r="H1844" s="5">
        <v>252325722.66999999</v>
      </c>
      <c r="I1844" s="5">
        <v>256561992.66999999</v>
      </c>
      <c r="J1844" s="5">
        <v>84889670</v>
      </c>
      <c r="K1844" s="5">
        <v>80653400</v>
      </c>
      <c r="L1844" s="5">
        <v>167262190</v>
      </c>
      <c r="M1844" s="5">
        <v>85887400</v>
      </c>
      <c r="N1844" s="5">
        <v>69862180</v>
      </c>
    </row>
    <row r="1845" spans="1:14" x14ac:dyDescent="0.25">
      <c r="A1845" s="3" t="s">
        <v>1856</v>
      </c>
      <c r="B1845" s="4">
        <v>2.89</v>
      </c>
      <c r="C1845" s="4">
        <v>0.09</v>
      </c>
      <c r="D1845" s="4">
        <v>0.04</v>
      </c>
      <c r="E1845" s="4">
        <v>-1.193984434818241E-2</v>
      </c>
      <c r="F1845" s="3">
        <v>1843</v>
      </c>
      <c r="G1845" s="3">
        <v>2</v>
      </c>
      <c r="H1845" s="5">
        <v>13801200</v>
      </c>
      <c r="I1845" s="5">
        <v>22958200</v>
      </c>
      <c r="J1845" s="5">
        <v>20182000</v>
      </c>
      <c r="K1845" s="5">
        <v>11025000</v>
      </c>
      <c r="L1845" s="5">
        <v>28340000</v>
      </c>
      <c r="M1845" s="5">
        <v>7952000</v>
      </c>
      <c r="N1845" s="5">
        <v>2186000</v>
      </c>
    </row>
    <row r="1846" spans="1:14" x14ac:dyDescent="0.25">
      <c r="A1846" s="3" t="s">
        <v>1857</v>
      </c>
      <c r="B1846" s="4">
        <v>3.2</v>
      </c>
      <c r="C1846" s="4">
        <v>0.15</v>
      </c>
      <c r="D1846" s="4">
        <v>0.12</v>
      </c>
      <c r="E1846" s="4">
        <v>-1.194291587008502E-2</v>
      </c>
      <c r="F1846" s="3">
        <v>1844</v>
      </c>
      <c r="G1846" s="3">
        <v>2</v>
      </c>
      <c r="H1846" s="5">
        <v>263977328.25999999</v>
      </c>
      <c r="I1846" s="5">
        <v>162766328.25999999</v>
      </c>
      <c r="J1846" s="5">
        <v>0</v>
      </c>
      <c r="K1846" s="5">
        <v>101211000</v>
      </c>
      <c r="L1846" s="5">
        <v>210782000</v>
      </c>
      <c r="M1846" s="5">
        <v>50811000</v>
      </c>
      <c r="N1846" s="5">
        <v>65626000</v>
      </c>
    </row>
    <row r="1847" spans="1:14" x14ac:dyDescent="0.25">
      <c r="A1847" s="3" t="s">
        <v>1858</v>
      </c>
      <c r="B1847" s="4">
        <v>2.04</v>
      </c>
      <c r="C1847" s="4">
        <v>-0.09</v>
      </c>
      <c r="D1847" s="4">
        <v>-0.04</v>
      </c>
      <c r="E1847" s="4">
        <v>-1.194927900281112E-2</v>
      </c>
      <c r="F1847" s="3">
        <v>1845</v>
      </c>
      <c r="G1847" s="3">
        <v>2</v>
      </c>
      <c r="H1847" s="5">
        <v>485053095</v>
      </c>
      <c r="I1847" s="5">
        <v>-580714905</v>
      </c>
      <c r="J1847" s="5">
        <v>358175000</v>
      </c>
      <c r="K1847" s="5">
        <v>1423943000</v>
      </c>
      <c r="L1847" s="5">
        <v>8761318000</v>
      </c>
      <c r="M1847" s="5">
        <v>-284001000</v>
      </c>
      <c r="N1847" s="5">
        <v>-268043000</v>
      </c>
    </row>
    <row r="1848" spans="1:14" x14ac:dyDescent="0.25">
      <c r="A1848" s="3" t="s">
        <v>1859</v>
      </c>
      <c r="B1848" s="4">
        <v>3.61</v>
      </c>
      <c r="C1848" s="4">
        <v>0.23</v>
      </c>
      <c r="D1848" s="4">
        <v>0.2</v>
      </c>
      <c r="E1848" s="4">
        <v>-1.1950092234929479E-2</v>
      </c>
      <c r="F1848" s="3">
        <v>1846</v>
      </c>
      <c r="G1848" s="3">
        <v>2</v>
      </c>
      <c r="H1848" s="5">
        <v>2106365014</v>
      </c>
      <c r="I1848" s="5">
        <v>1594477014</v>
      </c>
      <c r="J1848" s="5">
        <v>0</v>
      </c>
      <c r="K1848" s="5">
        <v>511888000</v>
      </c>
      <c r="L1848" s="5">
        <v>1229336000</v>
      </c>
      <c r="M1848" s="5">
        <v>441277000</v>
      </c>
      <c r="N1848" s="5">
        <v>403667000</v>
      </c>
    </row>
    <row r="1849" spans="1:14" x14ac:dyDescent="0.25">
      <c r="A1849" s="3" t="s">
        <v>1860</v>
      </c>
      <c r="B1849" s="4">
        <v>2.38</v>
      </c>
      <c r="C1849" s="4">
        <v>-0.02</v>
      </c>
      <c r="D1849" s="4">
        <v>-0.02</v>
      </c>
      <c r="E1849" s="4">
        <v>-1.195359869425554E-2</v>
      </c>
      <c r="F1849" s="3">
        <v>1847</v>
      </c>
      <c r="G1849" s="3">
        <v>2</v>
      </c>
      <c r="H1849" s="5">
        <v>39531228</v>
      </c>
      <c r="I1849" s="5">
        <v>-10722982</v>
      </c>
      <c r="J1849" s="5">
        <v>199180</v>
      </c>
      <c r="K1849" s="5">
        <v>50453390</v>
      </c>
      <c r="L1849" s="5">
        <v>0</v>
      </c>
      <c r="M1849" s="5">
        <v>-4510630</v>
      </c>
      <c r="N1849" s="5">
        <v>-1692290</v>
      </c>
    </row>
    <row r="1850" spans="1:14" x14ac:dyDescent="0.25">
      <c r="A1850" s="3" t="s">
        <v>1861</v>
      </c>
      <c r="B1850" s="4">
        <v>3.61</v>
      </c>
      <c r="C1850" s="4">
        <v>0.24</v>
      </c>
      <c r="D1850" s="4">
        <v>0.03</v>
      </c>
      <c r="E1850" s="4">
        <v>-1.195399207973263E-2</v>
      </c>
      <c r="F1850" s="3">
        <v>1848</v>
      </c>
      <c r="G1850" s="3">
        <v>2</v>
      </c>
      <c r="H1850" s="5">
        <v>480491740.75</v>
      </c>
      <c r="I1850" s="5">
        <v>308300740.75</v>
      </c>
      <c r="J1850" s="5">
        <v>1029000</v>
      </c>
      <c r="K1850" s="5">
        <v>173220000</v>
      </c>
      <c r="L1850" s="5">
        <v>204354000</v>
      </c>
      <c r="M1850" s="5">
        <v>85412000</v>
      </c>
      <c r="N1850" s="5">
        <v>39742000</v>
      </c>
    </row>
    <row r="1851" spans="1:14" x14ac:dyDescent="0.25">
      <c r="A1851" s="3" t="s">
        <v>1862</v>
      </c>
      <c r="B1851" s="4">
        <v>-3.34</v>
      </c>
      <c r="C1851" s="4">
        <v>-1.2</v>
      </c>
      <c r="D1851" s="4">
        <v>-0.72</v>
      </c>
      <c r="E1851" s="4">
        <v>-1.195785052365869E-2</v>
      </c>
      <c r="F1851" s="3">
        <v>1849</v>
      </c>
      <c r="G1851" s="3">
        <v>2</v>
      </c>
      <c r="H1851" s="5">
        <v>339309479.60000002</v>
      </c>
      <c r="I1851" s="5">
        <v>313944479.60000002</v>
      </c>
      <c r="J1851" s="5">
        <v>0</v>
      </c>
      <c r="K1851" s="5">
        <v>25365000</v>
      </c>
      <c r="L1851" s="5">
        <v>24268000</v>
      </c>
      <c r="M1851" s="5">
        <v>-94132000</v>
      </c>
      <c r="N1851" s="5">
        <v>-94757000</v>
      </c>
    </row>
    <row r="1852" spans="1:14" x14ac:dyDescent="0.25">
      <c r="A1852" s="3" t="s">
        <v>1863</v>
      </c>
      <c r="B1852" s="4">
        <v>2.89</v>
      </c>
      <c r="C1852" s="4">
        <v>0.08</v>
      </c>
      <c r="D1852" s="4">
        <v>7.0000000000000007E-2</v>
      </c>
      <c r="E1852" s="4">
        <v>-1.1962950875464361E-2</v>
      </c>
      <c r="F1852" s="3">
        <v>1850</v>
      </c>
      <c r="G1852" s="3">
        <v>2</v>
      </c>
      <c r="H1852" s="5">
        <v>13220102599.52</v>
      </c>
      <c r="I1852" s="5">
        <v>7409755599.5200005</v>
      </c>
      <c r="J1852" s="5">
        <v>0</v>
      </c>
      <c r="K1852" s="5">
        <v>5810347000</v>
      </c>
      <c r="L1852" s="5">
        <v>11238638000</v>
      </c>
      <c r="M1852" s="5">
        <v>2560457000</v>
      </c>
      <c r="N1852" s="5">
        <v>3069849000</v>
      </c>
    </row>
    <row r="1853" spans="1:14" x14ac:dyDescent="0.25">
      <c r="A1853" s="3" t="s">
        <v>1864</v>
      </c>
      <c r="B1853" s="4">
        <v>-1.59</v>
      </c>
      <c r="C1853" s="4">
        <v>-0.83</v>
      </c>
      <c r="D1853" s="4">
        <v>-0.69</v>
      </c>
      <c r="E1853" s="4">
        <v>-1.196611098137978E-2</v>
      </c>
      <c r="F1853" s="3">
        <v>1851</v>
      </c>
      <c r="G1853" s="3">
        <v>2</v>
      </c>
      <c r="H1853" s="5">
        <v>104616531.13</v>
      </c>
      <c r="I1853" s="5">
        <v>66971531.130000003</v>
      </c>
      <c r="J1853" s="5">
        <v>0</v>
      </c>
      <c r="K1853" s="5">
        <v>37645000</v>
      </c>
      <c r="L1853" s="5">
        <v>12890000</v>
      </c>
      <c r="M1853" s="5">
        <v>-42215000</v>
      </c>
      <c r="N1853" s="5">
        <v>-40720000</v>
      </c>
    </row>
    <row r="1854" spans="1:14" x14ac:dyDescent="0.25">
      <c r="A1854" s="3" t="s">
        <v>1865</v>
      </c>
      <c r="B1854" s="4">
        <v>3.09</v>
      </c>
      <c r="C1854" s="4">
        <v>0.12</v>
      </c>
      <c r="D1854" s="4">
        <v>0.08</v>
      </c>
      <c r="E1854" s="4">
        <v>-1.196923153477057E-2</v>
      </c>
      <c r="F1854" s="3">
        <v>1852</v>
      </c>
      <c r="G1854" s="3">
        <v>2</v>
      </c>
      <c r="H1854" s="5">
        <v>1192587112.25</v>
      </c>
      <c r="I1854" s="5">
        <v>1017306112.25</v>
      </c>
      <c r="J1854" s="5">
        <v>6159000</v>
      </c>
      <c r="K1854" s="5">
        <v>181440000</v>
      </c>
      <c r="L1854" s="5">
        <v>3180796000</v>
      </c>
      <c r="M1854" s="5">
        <v>328714000</v>
      </c>
      <c r="N1854" s="5">
        <v>193566000</v>
      </c>
    </row>
    <row r="1855" spans="1:14" x14ac:dyDescent="0.25">
      <c r="A1855" s="3" t="s">
        <v>1866</v>
      </c>
      <c r="B1855" s="4">
        <v>3.7</v>
      </c>
      <c r="C1855" s="4">
        <v>0.24</v>
      </c>
      <c r="D1855" s="4">
        <v>0.15</v>
      </c>
      <c r="E1855" s="4">
        <v>-1.198654661207625E-2</v>
      </c>
      <c r="F1855" s="3">
        <v>1853</v>
      </c>
      <c r="G1855" s="3">
        <v>2</v>
      </c>
      <c r="H1855" s="5">
        <v>1138222146.6400001</v>
      </c>
      <c r="I1855" s="5">
        <v>1680904146.6400001</v>
      </c>
      <c r="J1855" s="5">
        <v>684057000</v>
      </c>
      <c r="K1855" s="5">
        <v>141375000</v>
      </c>
      <c r="L1855" s="5">
        <v>711055000</v>
      </c>
      <c r="M1855" s="5">
        <v>454842000</v>
      </c>
      <c r="N1855" s="5">
        <v>353628000</v>
      </c>
    </row>
    <row r="1856" spans="1:14" x14ac:dyDescent="0.25">
      <c r="A1856" s="3" t="s">
        <v>1867</v>
      </c>
      <c r="B1856" s="4">
        <v>3.49</v>
      </c>
      <c r="C1856" s="4">
        <v>0.2</v>
      </c>
      <c r="D1856" s="4">
        <v>7.0000000000000007E-2</v>
      </c>
      <c r="E1856" s="4">
        <v>-1.198757993311551E-2</v>
      </c>
      <c r="F1856" s="3">
        <v>1854</v>
      </c>
      <c r="G1856" s="3">
        <v>2</v>
      </c>
      <c r="H1856" s="5">
        <v>416007474.60000002</v>
      </c>
      <c r="I1856" s="5">
        <v>1155741474.5999999</v>
      </c>
      <c r="J1856" s="5">
        <v>759085000</v>
      </c>
      <c r="K1856" s="5">
        <v>19351000</v>
      </c>
      <c r="L1856" s="5">
        <v>1846035000</v>
      </c>
      <c r="M1856" s="5">
        <v>331032000</v>
      </c>
      <c r="N1856" s="5">
        <v>129907000</v>
      </c>
    </row>
    <row r="1857" spans="1:14" x14ac:dyDescent="0.25">
      <c r="A1857" s="3" t="s">
        <v>1868</v>
      </c>
      <c r="B1857" s="4">
        <v>0.6</v>
      </c>
      <c r="C1857" s="4">
        <v>-0.39</v>
      </c>
      <c r="D1857" s="4">
        <v>-0.37</v>
      </c>
      <c r="E1857" s="4">
        <v>-1.19884994699234E-2</v>
      </c>
      <c r="F1857" s="3">
        <v>1855</v>
      </c>
      <c r="G1857" s="3">
        <v>2</v>
      </c>
      <c r="H1857" s="5">
        <v>46792514.200000003</v>
      </c>
      <c r="I1857" s="5">
        <v>-21623225.800000001</v>
      </c>
      <c r="J1857" s="5">
        <v>0</v>
      </c>
      <c r="K1857" s="5">
        <v>68415740</v>
      </c>
      <c r="L1857" s="5">
        <v>0</v>
      </c>
      <c r="M1857" s="5">
        <v>-36128800</v>
      </c>
      <c r="N1857" s="5">
        <v>-26567120</v>
      </c>
    </row>
    <row r="1858" spans="1:14" x14ac:dyDescent="0.25">
      <c r="A1858" s="3" t="s">
        <v>1869</v>
      </c>
      <c r="B1858" s="4">
        <v>2.93</v>
      </c>
      <c r="C1858" s="4">
        <v>0.08</v>
      </c>
      <c r="D1858" s="4">
        <v>0.04</v>
      </c>
      <c r="E1858" s="4">
        <v>-1.199349477798518E-2</v>
      </c>
      <c r="F1858" s="3">
        <v>1856</v>
      </c>
      <c r="G1858" s="3">
        <v>2</v>
      </c>
      <c r="H1858" s="5">
        <v>3792384457.4000001</v>
      </c>
      <c r="I1858" s="5">
        <v>4644188457.3999996</v>
      </c>
      <c r="J1858" s="5">
        <v>1275373000</v>
      </c>
      <c r="K1858" s="5">
        <v>423569000</v>
      </c>
      <c r="L1858" s="5">
        <v>3016891000</v>
      </c>
      <c r="M1858" s="5">
        <v>1584934000</v>
      </c>
      <c r="N1858" s="5">
        <v>407171000</v>
      </c>
    </row>
    <row r="1859" spans="1:14" x14ac:dyDescent="0.25">
      <c r="A1859" s="3" t="s">
        <v>1870</v>
      </c>
      <c r="B1859" s="4">
        <v>3.09</v>
      </c>
      <c r="C1859" s="4">
        <v>0.11</v>
      </c>
      <c r="D1859" s="4">
        <v>7.0000000000000007E-2</v>
      </c>
      <c r="E1859" s="4">
        <v>-1.200005416836253E-2</v>
      </c>
      <c r="F1859" s="3">
        <v>1857</v>
      </c>
      <c r="G1859" s="3">
        <v>2</v>
      </c>
      <c r="H1859" s="5">
        <v>488604872.69999999</v>
      </c>
      <c r="I1859" s="5">
        <v>379924872.69999999</v>
      </c>
      <c r="J1859" s="5">
        <v>0</v>
      </c>
      <c r="K1859" s="5">
        <v>108680000</v>
      </c>
      <c r="L1859" s="5">
        <v>1202885000</v>
      </c>
      <c r="M1859" s="5">
        <v>122787000</v>
      </c>
      <c r="N1859" s="5">
        <v>73766000</v>
      </c>
    </row>
    <row r="1860" spans="1:14" x14ac:dyDescent="0.25">
      <c r="A1860" s="3" t="s">
        <v>1871</v>
      </c>
      <c r="B1860" s="4">
        <v>3.03</v>
      </c>
      <c r="C1860" s="4">
        <v>0.1</v>
      </c>
      <c r="D1860" s="4">
        <v>0</v>
      </c>
      <c r="E1860" s="4">
        <v>-1.200531572723706E-2</v>
      </c>
      <c r="F1860" s="3">
        <v>1858</v>
      </c>
      <c r="G1860" s="3">
        <v>2</v>
      </c>
      <c r="H1860" s="5">
        <v>6366057274.9200001</v>
      </c>
      <c r="I1860" s="5">
        <v>4633057274.9200001</v>
      </c>
      <c r="J1860" s="5">
        <v>2034000000</v>
      </c>
      <c r="K1860" s="5">
        <v>3767000000</v>
      </c>
      <c r="L1860" s="5">
        <v>3257000000</v>
      </c>
      <c r="M1860" s="5">
        <v>1531000000</v>
      </c>
      <c r="N1860" s="5">
        <v>946000000</v>
      </c>
    </row>
    <row r="1861" spans="1:14" x14ac:dyDescent="0.25">
      <c r="A1861" s="3" t="s">
        <v>1872</v>
      </c>
      <c r="B1861" s="4">
        <v>-1.03</v>
      </c>
      <c r="C1861" s="4">
        <v>-0.73</v>
      </c>
      <c r="D1861" s="4">
        <v>-0.61</v>
      </c>
      <c r="E1861" s="4">
        <v>-1.2008338217651489E-2</v>
      </c>
      <c r="F1861" s="3">
        <v>1859</v>
      </c>
      <c r="G1861" s="3">
        <v>2</v>
      </c>
      <c r="H1861" s="5">
        <v>124814636.98</v>
      </c>
      <c r="I1861" s="5">
        <v>57683636.979999997</v>
      </c>
      <c r="J1861" s="5">
        <v>0</v>
      </c>
      <c r="K1861" s="5">
        <v>67131000</v>
      </c>
      <c r="L1861" s="5">
        <v>486000</v>
      </c>
      <c r="M1861" s="5">
        <v>-55823000</v>
      </c>
      <c r="N1861" s="5">
        <v>-51418000</v>
      </c>
    </row>
    <row r="1862" spans="1:14" x14ac:dyDescent="0.25">
      <c r="A1862" s="3" t="s">
        <v>1873</v>
      </c>
      <c r="B1862" s="4">
        <v>0.2</v>
      </c>
      <c r="C1862" s="4">
        <v>-0.48</v>
      </c>
      <c r="D1862" s="4">
        <v>-0.43</v>
      </c>
      <c r="E1862" s="4">
        <v>-1.2012547864635461E-2</v>
      </c>
      <c r="F1862" s="3">
        <v>1860</v>
      </c>
      <c r="G1862" s="3">
        <v>2</v>
      </c>
      <c r="H1862" s="5">
        <v>166.11279200000001</v>
      </c>
      <c r="I1862" s="5">
        <v>-1369613.8872080001</v>
      </c>
      <c r="J1862" s="5">
        <v>0</v>
      </c>
      <c r="K1862" s="5">
        <v>1369780</v>
      </c>
      <c r="L1862" s="5">
        <v>0</v>
      </c>
      <c r="M1862" s="5">
        <v>-6835350</v>
      </c>
      <c r="N1862" s="5">
        <v>-6562090</v>
      </c>
    </row>
    <row r="1863" spans="1:14" x14ac:dyDescent="0.25">
      <c r="A1863" s="3" t="s">
        <v>1874</v>
      </c>
      <c r="B1863" s="4">
        <v>0.3</v>
      </c>
      <c r="C1863" s="4">
        <v>-0.46</v>
      </c>
      <c r="D1863" s="4">
        <v>-0.42</v>
      </c>
      <c r="E1863" s="4">
        <v>-1.201472368099982E-2</v>
      </c>
      <c r="F1863" s="3">
        <v>1861</v>
      </c>
      <c r="G1863" s="3">
        <v>2</v>
      </c>
      <c r="H1863" s="5">
        <v>24.629832</v>
      </c>
      <c r="I1863" s="5">
        <v>-109925.37016799999</v>
      </c>
      <c r="J1863" s="5">
        <v>0</v>
      </c>
      <c r="K1863" s="5">
        <v>109950</v>
      </c>
      <c r="L1863" s="5">
        <v>140710</v>
      </c>
      <c r="M1863" s="5">
        <v>-372540</v>
      </c>
      <c r="N1863" s="5">
        <v>-474500</v>
      </c>
    </row>
    <row r="1864" spans="1:14" x14ac:dyDescent="0.25">
      <c r="A1864" s="3" t="s">
        <v>1875</v>
      </c>
      <c r="B1864" s="4">
        <v>2.77</v>
      </c>
      <c r="C1864" s="4">
        <v>0.04</v>
      </c>
      <c r="D1864" s="4">
        <v>0.01</v>
      </c>
      <c r="E1864" s="4">
        <v>-1.201582899462229E-2</v>
      </c>
      <c r="F1864" s="3">
        <v>1862</v>
      </c>
      <c r="G1864" s="3">
        <v>2</v>
      </c>
      <c r="H1864" s="5">
        <v>123003454.86</v>
      </c>
      <c r="I1864" s="5">
        <v>268431454.86000001</v>
      </c>
      <c r="J1864" s="5">
        <v>388910000</v>
      </c>
      <c r="K1864" s="5">
        <v>243482000</v>
      </c>
      <c r="L1864" s="5">
        <v>775586000</v>
      </c>
      <c r="M1864" s="5">
        <v>96918000</v>
      </c>
      <c r="N1864" s="5">
        <v>9425000</v>
      </c>
    </row>
    <row r="1865" spans="1:14" x14ac:dyDescent="0.25">
      <c r="A1865" s="3" t="s">
        <v>1876</v>
      </c>
      <c r="B1865" s="4">
        <v>3.25</v>
      </c>
      <c r="C1865" s="4">
        <v>0.14000000000000001</v>
      </c>
      <c r="D1865" s="4">
        <v>0.03</v>
      </c>
      <c r="E1865" s="4">
        <v>-1.2020116744782421E-2</v>
      </c>
      <c r="F1865" s="3">
        <v>1863</v>
      </c>
      <c r="G1865" s="3">
        <v>2</v>
      </c>
      <c r="H1865" s="5">
        <v>3376896717.8200002</v>
      </c>
      <c r="I1865" s="5">
        <v>2944596717.8200002</v>
      </c>
      <c r="J1865" s="5">
        <v>300000000</v>
      </c>
      <c r="K1865" s="5">
        <v>732300000</v>
      </c>
      <c r="L1865" s="5">
        <v>3158200000</v>
      </c>
      <c r="M1865" s="5">
        <v>907300000</v>
      </c>
      <c r="N1865" s="5">
        <v>486100000</v>
      </c>
    </row>
    <row r="1866" spans="1:14" x14ac:dyDescent="0.25">
      <c r="A1866" s="3" t="s">
        <v>1877</v>
      </c>
      <c r="B1866" s="4">
        <v>3.27</v>
      </c>
      <c r="C1866" s="4">
        <v>0.14000000000000001</v>
      </c>
      <c r="D1866" s="4">
        <v>0.06</v>
      </c>
      <c r="E1866" s="4">
        <v>-1.202670807644405E-2</v>
      </c>
      <c r="F1866" s="3">
        <v>1864</v>
      </c>
      <c r="G1866" s="3">
        <v>2</v>
      </c>
      <c r="H1866" s="5">
        <v>588425287.54999995</v>
      </c>
      <c r="I1866" s="5">
        <v>891125287.54999995</v>
      </c>
      <c r="J1866" s="5">
        <v>492300000</v>
      </c>
      <c r="K1866" s="5">
        <v>189600000</v>
      </c>
      <c r="L1866" s="5">
        <v>1935400000</v>
      </c>
      <c r="M1866" s="5">
        <v>272800000</v>
      </c>
      <c r="N1866" s="5">
        <v>95900000</v>
      </c>
    </row>
    <row r="1867" spans="1:14" x14ac:dyDescent="0.25">
      <c r="A1867" s="3" t="s">
        <v>1878</v>
      </c>
      <c r="B1867" s="4">
        <v>2.36</v>
      </c>
      <c r="C1867" s="4">
        <v>-0.05</v>
      </c>
      <c r="D1867" s="4">
        <v>-0.02</v>
      </c>
      <c r="E1867" s="4">
        <v>-1.202790110390476E-2</v>
      </c>
      <c r="F1867" s="3">
        <v>1865</v>
      </c>
      <c r="G1867" s="3">
        <v>2</v>
      </c>
      <c r="H1867" s="5">
        <v>2980900.7549999999</v>
      </c>
      <c r="I1867" s="5">
        <v>9468550.754999999</v>
      </c>
      <c r="J1867" s="5">
        <v>7224520</v>
      </c>
      <c r="K1867" s="5">
        <v>736870</v>
      </c>
      <c r="L1867" s="5">
        <v>45302080</v>
      </c>
      <c r="M1867" s="5">
        <v>4019940</v>
      </c>
      <c r="N1867" s="5">
        <v>-1544890</v>
      </c>
    </row>
    <row r="1868" spans="1:14" x14ac:dyDescent="0.25">
      <c r="A1868" s="3" t="s">
        <v>1879</v>
      </c>
      <c r="B1868" s="4">
        <v>2.6</v>
      </c>
      <c r="C1868" s="4">
        <v>0</v>
      </c>
      <c r="D1868" s="4">
        <v>0</v>
      </c>
      <c r="E1868" s="4">
        <v>-1.202811595240731E-2</v>
      </c>
      <c r="F1868" s="3">
        <v>1866</v>
      </c>
      <c r="G1868" s="3">
        <v>2</v>
      </c>
      <c r="H1868" s="5">
        <v>3641112560.4000001</v>
      </c>
      <c r="I1868" s="5">
        <v>14770100560.4</v>
      </c>
      <c r="J1868" s="5">
        <v>36182750000</v>
      </c>
      <c r="K1868" s="5">
        <v>25053762000</v>
      </c>
      <c r="L1868" s="5">
        <v>92256302000</v>
      </c>
      <c r="M1868" s="5">
        <v>5675279000</v>
      </c>
      <c r="N1868" s="5">
        <v>54540000</v>
      </c>
    </row>
    <row r="1869" spans="1:14" x14ac:dyDescent="0.25">
      <c r="A1869" s="3" t="s">
        <v>1880</v>
      </c>
      <c r="B1869" s="4">
        <v>4.66</v>
      </c>
      <c r="C1869" s="4">
        <v>-0.53</v>
      </c>
      <c r="D1869" s="4">
        <v>14.47</v>
      </c>
      <c r="E1869" s="4">
        <v>-1.2043152040120551E-2</v>
      </c>
      <c r="F1869" s="3">
        <v>1867</v>
      </c>
      <c r="G1869" s="3">
        <v>2</v>
      </c>
      <c r="H1869" s="5">
        <v>22150.864000000001</v>
      </c>
      <c r="I1869" s="5">
        <v>37100.864000000001</v>
      </c>
      <c r="J1869" s="5">
        <v>15500</v>
      </c>
      <c r="K1869" s="5">
        <v>550</v>
      </c>
      <c r="L1869" s="5">
        <v>30950</v>
      </c>
      <c r="M1869" s="5">
        <v>7960</v>
      </c>
      <c r="N1869" s="5">
        <v>7960</v>
      </c>
    </row>
    <row r="1870" spans="1:14" x14ac:dyDescent="0.25">
      <c r="A1870" s="3" t="s">
        <v>1881</v>
      </c>
      <c r="B1870" s="4">
        <v>0.56000000000000005</v>
      </c>
      <c r="C1870" s="4">
        <v>-0.42</v>
      </c>
      <c r="D1870" s="4">
        <v>-0.34</v>
      </c>
      <c r="E1870" s="4">
        <v>-1.204463638844595E-2</v>
      </c>
      <c r="F1870" s="3">
        <v>1868</v>
      </c>
      <c r="G1870" s="3">
        <v>2</v>
      </c>
      <c r="H1870" s="5">
        <v>9233412.1039099991</v>
      </c>
      <c r="I1870" s="5">
        <v>-69987587.896090001</v>
      </c>
      <c r="J1870" s="5">
        <v>0</v>
      </c>
      <c r="K1870" s="5">
        <v>79221000</v>
      </c>
      <c r="L1870" s="5">
        <v>0</v>
      </c>
      <c r="M1870" s="5">
        <v>-124347000</v>
      </c>
      <c r="N1870" s="5">
        <v>-110290000</v>
      </c>
    </row>
    <row r="1871" spans="1:14" x14ac:dyDescent="0.25">
      <c r="A1871" s="3" t="s">
        <v>1882</v>
      </c>
      <c r="B1871" s="4">
        <v>5.12</v>
      </c>
      <c r="C1871" s="4">
        <v>0.53</v>
      </c>
      <c r="D1871" s="4">
        <v>0.05</v>
      </c>
      <c r="E1871" s="4">
        <v>-1.2046789483417031E-2</v>
      </c>
      <c r="F1871" s="3">
        <v>1869</v>
      </c>
      <c r="G1871" s="3">
        <v>2</v>
      </c>
      <c r="H1871" s="5">
        <v>949286892.62</v>
      </c>
      <c r="I1871" s="5">
        <v>4381286892.6199999</v>
      </c>
      <c r="J1871" s="5">
        <v>4129000000</v>
      </c>
      <c r="K1871" s="5">
        <v>697000000</v>
      </c>
      <c r="L1871" s="5">
        <v>3548000000</v>
      </c>
      <c r="M1871" s="5">
        <v>855000000</v>
      </c>
      <c r="N1871" s="5">
        <v>310000000</v>
      </c>
    </row>
    <row r="1872" spans="1:14" x14ac:dyDescent="0.25">
      <c r="A1872" s="3" t="s">
        <v>1883</v>
      </c>
      <c r="B1872" s="4">
        <v>3.16</v>
      </c>
      <c r="C1872" s="4">
        <v>0.11</v>
      </c>
      <c r="D1872" s="4">
        <v>0.05</v>
      </c>
      <c r="E1872" s="4">
        <v>-1.2047236661397081E-2</v>
      </c>
      <c r="F1872" s="3">
        <v>1870</v>
      </c>
      <c r="G1872" s="3">
        <v>2</v>
      </c>
      <c r="H1872" s="5">
        <v>1170795240.24</v>
      </c>
      <c r="I1872" s="5">
        <v>896203240.24000001</v>
      </c>
      <c r="J1872" s="5">
        <v>3622000</v>
      </c>
      <c r="K1872" s="5">
        <v>278214000</v>
      </c>
      <c r="L1872" s="5">
        <v>1933289000</v>
      </c>
      <c r="M1872" s="5">
        <v>283788000</v>
      </c>
      <c r="N1872" s="5">
        <v>111571000</v>
      </c>
    </row>
    <row r="1873" spans="1:14" x14ac:dyDescent="0.25">
      <c r="A1873" s="3" t="s">
        <v>1884</v>
      </c>
      <c r="B1873" s="4">
        <v>3.92</v>
      </c>
      <c r="C1873" s="4">
        <v>0.26</v>
      </c>
      <c r="D1873" s="4">
        <v>0.17</v>
      </c>
      <c r="E1873" s="4">
        <v>-1.2061063870228031E-2</v>
      </c>
      <c r="F1873" s="3">
        <v>1871</v>
      </c>
      <c r="G1873" s="3">
        <v>2</v>
      </c>
      <c r="H1873" s="5">
        <v>7632166.3399999999</v>
      </c>
      <c r="I1873" s="5">
        <v>5335706.34</v>
      </c>
      <c r="J1873" s="5">
        <v>0</v>
      </c>
      <c r="K1873" s="5">
        <v>2296460</v>
      </c>
      <c r="L1873" s="5">
        <v>16540180</v>
      </c>
      <c r="M1873" s="5">
        <v>1359830</v>
      </c>
      <c r="N1873" s="5">
        <v>1339010</v>
      </c>
    </row>
    <row r="1874" spans="1:14" x14ac:dyDescent="0.25">
      <c r="A1874" s="3" t="s">
        <v>1885</v>
      </c>
      <c r="B1874" s="4">
        <v>3.18</v>
      </c>
      <c r="C1874" s="4">
        <v>0.11</v>
      </c>
      <c r="D1874" s="4">
        <v>0.04</v>
      </c>
      <c r="E1874" s="4">
        <v>-1.2061544099368739E-2</v>
      </c>
      <c r="F1874" s="3">
        <v>1872</v>
      </c>
      <c r="G1874" s="3">
        <v>2</v>
      </c>
      <c r="H1874" s="5">
        <v>2859068.9624999999</v>
      </c>
      <c r="I1874" s="5">
        <v>21418938.962499999</v>
      </c>
      <c r="J1874" s="5">
        <v>25471970</v>
      </c>
      <c r="K1874" s="5">
        <v>6912100</v>
      </c>
      <c r="L1874" s="5">
        <v>32329530</v>
      </c>
      <c r="M1874" s="5">
        <v>6736840</v>
      </c>
      <c r="N1874" s="5">
        <v>2061220</v>
      </c>
    </row>
    <row r="1875" spans="1:14" x14ac:dyDescent="0.25">
      <c r="A1875" s="3" t="s">
        <v>1886</v>
      </c>
      <c r="B1875" s="4">
        <v>3.71</v>
      </c>
      <c r="C1875" s="4">
        <v>0.22</v>
      </c>
      <c r="D1875" s="4">
        <v>0.08</v>
      </c>
      <c r="E1875" s="4">
        <v>-1.2064026217844789E-2</v>
      </c>
      <c r="F1875" s="3">
        <v>1873</v>
      </c>
      <c r="G1875" s="3">
        <v>2</v>
      </c>
      <c r="H1875" s="5">
        <v>1166696254.6800001</v>
      </c>
      <c r="I1875" s="5">
        <v>1251897254.6800001</v>
      </c>
      <c r="J1875" s="5">
        <v>498127000</v>
      </c>
      <c r="K1875" s="5">
        <v>412926000</v>
      </c>
      <c r="L1875" s="5">
        <v>2844102000</v>
      </c>
      <c r="M1875" s="5">
        <v>337361000</v>
      </c>
      <c r="N1875" s="5">
        <v>185509000</v>
      </c>
    </row>
    <row r="1876" spans="1:14" x14ac:dyDescent="0.25">
      <c r="A1876" s="3" t="s">
        <v>1887</v>
      </c>
      <c r="B1876" s="4">
        <v>-1.79</v>
      </c>
      <c r="C1876" s="4">
        <v>-0.91</v>
      </c>
      <c r="D1876" s="4">
        <v>-0.66</v>
      </c>
      <c r="E1876" s="4">
        <v>-1.206768864382137E-2</v>
      </c>
      <c r="F1876" s="3">
        <v>1874</v>
      </c>
      <c r="G1876" s="3">
        <v>2</v>
      </c>
      <c r="H1876" s="5">
        <v>306187239.26999998</v>
      </c>
      <c r="I1876" s="5">
        <v>227183239.27000001</v>
      </c>
      <c r="J1876" s="5">
        <v>1231000</v>
      </c>
      <c r="K1876" s="5">
        <v>80235000</v>
      </c>
      <c r="L1876" s="5">
        <v>0</v>
      </c>
      <c r="M1876" s="5">
        <v>-126787000</v>
      </c>
      <c r="N1876" s="5">
        <v>-124697000</v>
      </c>
    </row>
    <row r="1877" spans="1:14" x14ac:dyDescent="0.25">
      <c r="A1877" s="3" t="s">
        <v>1888</v>
      </c>
      <c r="B1877" s="4">
        <v>6.29</v>
      </c>
      <c r="C1877" s="4">
        <v>0.78</v>
      </c>
      <c r="D1877" s="4">
        <v>-0.06</v>
      </c>
      <c r="E1877" s="4">
        <v>-1.20698056669662E-2</v>
      </c>
      <c r="F1877" s="3">
        <v>1875</v>
      </c>
      <c r="G1877" s="3">
        <v>2</v>
      </c>
      <c r="H1877" s="5">
        <v>4935674188.1599998</v>
      </c>
      <c r="I1877" s="5">
        <v>27330674188.16</v>
      </c>
      <c r="J1877" s="5">
        <v>22929000000</v>
      </c>
      <c r="K1877" s="5">
        <v>534000000</v>
      </c>
      <c r="L1877" s="5">
        <v>11789000000</v>
      </c>
      <c r="M1877" s="5">
        <v>4347000000</v>
      </c>
      <c r="N1877" s="5">
        <v>-1821000000</v>
      </c>
    </row>
    <row r="1878" spans="1:14" x14ac:dyDescent="0.25">
      <c r="A1878" s="3" t="s">
        <v>1889</v>
      </c>
      <c r="B1878" s="4">
        <v>3.67</v>
      </c>
      <c r="C1878" s="4">
        <v>0.21</v>
      </c>
      <c r="D1878" s="4">
        <v>7.0000000000000007E-2</v>
      </c>
      <c r="E1878" s="4">
        <v>-1.2070092028648441E-2</v>
      </c>
      <c r="F1878" s="3">
        <v>1876</v>
      </c>
      <c r="G1878" s="3">
        <v>2</v>
      </c>
      <c r="H1878" s="5">
        <v>987313143.17999995</v>
      </c>
      <c r="I1878" s="5">
        <v>832068143.17999995</v>
      </c>
      <c r="J1878" s="5">
        <v>0</v>
      </c>
      <c r="K1878" s="5">
        <v>155245000</v>
      </c>
      <c r="L1878" s="5">
        <v>537619000</v>
      </c>
      <c r="M1878" s="5">
        <v>226898000</v>
      </c>
      <c r="N1878" s="5">
        <v>135151000</v>
      </c>
    </row>
    <row r="1879" spans="1:14" x14ac:dyDescent="0.25">
      <c r="A1879" s="3" t="s">
        <v>1890</v>
      </c>
      <c r="B1879" s="4">
        <v>-1.05</v>
      </c>
      <c r="C1879" s="4">
        <v>-0.76</v>
      </c>
      <c r="D1879" s="4">
        <v>-0.55000000000000004</v>
      </c>
      <c r="E1879" s="4">
        <v>-1.207106646783567E-2</v>
      </c>
      <c r="F1879" s="3">
        <v>1877</v>
      </c>
      <c r="G1879" s="3">
        <v>2</v>
      </c>
      <c r="H1879" s="5">
        <v>20455347</v>
      </c>
      <c r="I1879" s="5">
        <v>14024247</v>
      </c>
      <c r="J1879" s="5">
        <v>0</v>
      </c>
      <c r="K1879" s="5">
        <v>6431100</v>
      </c>
      <c r="L1879" s="5">
        <v>3431420</v>
      </c>
      <c r="M1879" s="5">
        <v>-13328340</v>
      </c>
      <c r="N1879" s="5">
        <v>-6992520</v>
      </c>
    </row>
    <row r="1880" spans="1:14" x14ac:dyDescent="0.25">
      <c r="A1880" s="3" t="s">
        <v>1891</v>
      </c>
      <c r="B1880" s="4">
        <v>4.01</v>
      </c>
      <c r="C1880" s="4">
        <v>0.28000000000000003</v>
      </c>
      <c r="D1880" s="4">
        <v>0.09</v>
      </c>
      <c r="E1880" s="4">
        <v>-1.2074411720092861E-2</v>
      </c>
      <c r="F1880" s="3">
        <v>1878</v>
      </c>
      <c r="G1880" s="3">
        <v>2</v>
      </c>
      <c r="H1880" s="5">
        <v>223507412.96000001</v>
      </c>
      <c r="I1880" s="5">
        <v>180878412.96000001</v>
      </c>
      <c r="J1880" s="5">
        <v>6034000</v>
      </c>
      <c r="K1880" s="5">
        <v>48663000</v>
      </c>
      <c r="L1880" s="5">
        <v>287233000</v>
      </c>
      <c r="M1880" s="5">
        <v>45131000</v>
      </c>
      <c r="N1880" s="5">
        <v>23402000</v>
      </c>
    </row>
    <row r="1881" spans="1:14" x14ac:dyDescent="0.25">
      <c r="A1881" s="3" t="s">
        <v>1892</v>
      </c>
      <c r="B1881" s="4">
        <v>-3.85</v>
      </c>
      <c r="C1881" s="4">
        <v>-1.32</v>
      </c>
      <c r="D1881" s="4">
        <v>-1.17</v>
      </c>
      <c r="E1881" s="4">
        <v>-1.2075730513269E-2</v>
      </c>
      <c r="F1881" s="3">
        <v>1879</v>
      </c>
      <c r="G1881" s="3">
        <v>2</v>
      </c>
      <c r="H1881" s="5">
        <v>14541227.34</v>
      </c>
      <c r="I1881" s="5">
        <v>12207807.34</v>
      </c>
      <c r="J1881" s="5">
        <v>0</v>
      </c>
      <c r="K1881" s="5">
        <v>2333420</v>
      </c>
      <c r="L1881" s="5">
        <v>110460</v>
      </c>
      <c r="M1881" s="5">
        <v>-3169800</v>
      </c>
      <c r="N1881" s="5">
        <v>-3617090</v>
      </c>
    </row>
    <row r="1882" spans="1:14" x14ac:dyDescent="0.25">
      <c r="A1882" s="3" t="s">
        <v>1893</v>
      </c>
      <c r="B1882" s="4">
        <v>2.56</v>
      </c>
      <c r="C1882" s="4">
        <v>-0.03</v>
      </c>
      <c r="D1882" s="4">
        <v>-0.01</v>
      </c>
      <c r="E1882" s="4">
        <v>-1.2091968977239881E-2</v>
      </c>
      <c r="F1882" s="3">
        <v>1880</v>
      </c>
      <c r="G1882" s="3">
        <v>2</v>
      </c>
      <c r="H1882" s="5">
        <v>1669730652.0799999</v>
      </c>
      <c r="I1882" s="5">
        <v>2914187652.0799999</v>
      </c>
      <c r="J1882" s="5">
        <v>1352629000</v>
      </c>
      <c r="K1882" s="5">
        <v>108172000</v>
      </c>
      <c r="L1882" s="5">
        <v>1973568000</v>
      </c>
      <c r="M1882" s="5">
        <v>1137461000</v>
      </c>
      <c r="N1882" s="5">
        <v>-76393000</v>
      </c>
    </row>
    <row r="1883" spans="1:14" x14ac:dyDescent="0.25">
      <c r="A1883" s="3" t="s">
        <v>1894</v>
      </c>
      <c r="B1883" s="4">
        <v>-0.09</v>
      </c>
      <c r="C1883" s="4">
        <v>-0.56999999999999995</v>
      </c>
      <c r="D1883" s="4">
        <v>-0.43</v>
      </c>
      <c r="E1883" s="4">
        <v>-1.209310336255034E-2</v>
      </c>
      <c r="F1883" s="3">
        <v>1881</v>
      </c>
      <c r="G1883" s="3">
        <v>2</v>
      </c>
      <c r="H1883" s="5">
        <v>5369517.5999999996</v>
      </c>
      <c r="I1883" s="5">
        <v>1023397.6</v>
      </c>
      <c r="J1883" s="5">
        <v>3145000</v>
      </c>
      <c r="K1883" s="5">
        <v>7491120</v>
      </c>
      <c r="L1883" s="5">
        <v>14388520</v>
      </c>
      <c r="M1883" s="5">
        <v>-11009960</v>
      </c>
      <c r="N1883" s="5">
        <v>-11045970</v>
      </c>
    </row>
    <row r="1884" spans="1:14" x14ac:dyDescent="0.25">
      <c r="A1884" s="3" t="s">
        <v>1895</v>
      </c>
      <c r="B1884" s="4">
        <v>0</v>
      </c>
      <c r="C1884" s="4">
        <v>-0.56000000000000005</v>
      </c>
      <c r="D1884" s="4">
        <v>-0.35</v>
      </c>
      <c r="E1884" s="4">
        <v>-1.2104480394189531E-2</v>
      </c>
      <c r="F1884" s="3">
        <v>1882</v>
      </c>
      <c r="G1884" s="3">
        <v>2</v>
      </c>
      <c r="H1884" s="5">
        <v>1788581.2</v>
      </c>
      <c r="I1884" s="5">
        <v>-48478.799999999806</v>
      </c>
      <c r="J1884" s="5">
        <v>2300000</v>
      </c>
      <c r="K1884" s="5">
        <v>4137060</v>
      </c>
      <c r="L1884" s="5">
        <v>21956470</v>
      </c>
      <c r="M1884" s="5">
        <v>-11103640</v>
      </c>
      <c r="N1884" s="5">
        <v>-14362960</v>
      </c>
    </row>
    <row r="1885" spans="1:14" x14ac:dyDescent="0.25">
      <c r="A1885" s="3" t="s">
        <v>1896</v>
      </c>
      <c r="B1885" s="4">
        <v>3.24</v>
      </c>
      <c r="C1885" s="4">
        <v>0.1</v>
      </c>
      <c r="D1885" s="4">
        <v>0.08</v>
      </c>
      <c r="E1885" s="4">
        <v>-1.211985683425564E-2</v>
      </c>
      <c r="F1885" s="3">
        <v>1883</v>
      </c>
      <c r="G1885" s="3">
        <v>2</v>
      </c>
      <c r="H1885" s="5">
        <v>10839431.4</v>
      </c>
      <c r="I1885" s="5">
        <v>-4525298.5999999996</v>
      </c>
      <c r="J1885" s="5">
        <v>334830</v>
      </c>
      <c r="K1885" s="5">
        <v>15699560</v>
      </c>
      <c r="L1885" s="5">
        <v>563730</v>
      </c>
      <c r="M1885" s="5">
        <v>-1395180</v>
      </c>
      <c r="N1885" s="5">
        <v>2684520</v>
      </c>
    </row>
    <row r="1886" spans="1:14" x14ac:dyDescent="0.25">
      <c r="A1886" s="3" t="s">
        <v>1897</v>
      </c>
      <c r="B1886" s="4">
        <v>-1.77</v>
      </c>
      <c r="C1886" s="4">
        <v>-0.93</v>
      </c>
      <c r="D1886" s="4">
        <v>-0.63</v>
      </c>
      <c r="E1886" s="4">
        <v>-1.213206718951193E-2</v>
      </c>
      <c r="F1886" s="3">
        <v>1884</v>
      </c>
      <c r="G1886" s="3">
        <v>2</v>
      </c>
      <c r="H1886" s="5">
        <v>24173795.059999999</v>
      </c>
      <c r="I1886" s="5">
        <v>24294695.059999999</v>
      </c>
      <c r="J1886" s="5">
        <v>5004000</v>
      </c>
      <c r="K1886" s="5">
        <v>4883100</v>
      </c>
      <c r="L1886" s="5">
        <v>8484380</v>
      </c>
      <c r="M1886" s="5">
        <v>-13727430</v>
      </c>
      <c r="N1886" s="5">
        <v>-16163790</v>
      </c>
    </row>
    <row r="1887" spans="1:14" x14ac:dyDescent="0.25">
      <c r="A1887" s="3" t="s">
        <v>1898</v>
      </c>
      <c r="B1887" s="4">
        <v>-0.26</v>
      </c>
      <c r="C1887" s="4">
        <v>-0.66</v>
      </c>
      <c r="D1887" s="4">
        <v>0.16</v>
      </c>
      <c r="E1887" s="4">
        <v>-1.2134116760757291E-2</v>
      </c>
      <c r="F1887" s="3">
        <v>1885</v>
      </c>
      <c r="G1887" s="3">
        <v>2</v>
      </c>
      <c r="H1887" s="5">
        <v>12161792.9</v>
      </c>
      <c r="I1887" s="5">
        <v>8736792.8999999985</v>
      </c>
      <c r="J1887" s="5">
        <v>4950000</v>
      </c>
      <c r="K1887" s="5">
        <v>8375000</v>
      </c>
      <c r="L1887" s="5">
        <v>113381000</v>
      </c>
      <c r="M1887" s="5">
        <v>-33495000</v>
      </c>
      <c r="N1887" s="5">
        <v>20712000</v>
      </c>
    </row>
    <row r="1888" spans="1:14" x14ac:dyDescent="0.25">
      <c r="A1888" s="3" t="s">
        <v>1899</v>
      </c>
      <c r="B1888" s="4">
        <v>3.17</v>
      </c>
      <c r="C1888" s="4">
        <v>0.08</v>
      </c>
      <c r="D1888" s="4">
        <v>7.0000000000000007E-2</v>
      </c>
      <c r="E1888" s="4">
        <v>-1.2136248634982531E-2</v>
      </c>
      <c r="F1888" s="3">
        <v>1886</v>
      </c>
      <c r="G1888" s="3">
        <v>2</v>
      </c>
      <c r="H1888" s="5">
        <v>1485733.7</v>
      </c>
      <c r="I1888" s="5">
        <v>450423.7</v>
      </c>
      <c r="J1888" s="5">
        <v>22070</v>
      </c>
      <c r="K1888" s="5">
        <v>1057380</v>
      </c>
      <c r="L1888" s="5">
        <v>1736390</v>
      </c>
      <c r="M1888" s="5">
        <v>142300</v>
      </c>
      <c r="N1888" s="5">
        <v>143180</v>
      </c>
    </row>
    <row r="1889" spans="1:14" x14ac:dyDescent="0.25">
      <c r="A1889" s="3" t="s">
        <v>1900</v>
      </c>
      <c r="B1889" s="4">
        <v>3.56</v>
      </c>
      <c r="C1889" s="4">
        <v>0.18</v>
      </c>
      <c r="D1889" s="4">
        <v>-0.18</v>
      </c>
      <c r="E1889" s="4">
        <v>-1.2136917251461611E-2</v>
      </c>
      <c r="F1889" s="3">
        <v>1887</v>
      </c>
      <c r="G1889" s="3">
        <v>2</v>
      </c>
      <c r="H1889" s="5">
        <v>339956095.5</v>
      </c>
      <c r="I1889" s="5">
        <v>766779095.5</v>
      </c>
      <c r="J1889" s="5">
        <v>473364000</v>
      </c>
      <c r="K1889" s="5">
        <v>46541000</v>
      </c>
      <c r="L1889" s="5">
        <v>394026000</v>
      </c>
      <c r="M1889" s="5">
        <v>215533000</v>
      </c>
      <c r="N1889" s="5">
        <v>-182697000</v>
      </c>
    </row>
    <row r="1890" spans="1:14" x14ac:dyDescent="0.25">
      <c r="A1890" s="3" t="s">
        <v>1901</v>
      </c>
      <c r="B1890" s="4">
        <v>4.6399999999999997</v>
      </c>
      <c r="C1890" s="4">
        <v>0.39</v>
      </c>
      <c r="D1890" s="4">
        <v>0.1</v>
      </c>
      <c r="E1890" s="4">
        <v>-1.214457297527219E-2</v>
      </c>
      <c r="F1890" s="3">
        <v>1888</v>
      </c>
      <c r="G1890" s="3">
        <v>2</v>
      </c>
      <c r="H1890" s="5">
        <v>5225532904.0500002</v>
      </c>
      <c r="I1890" s="5">
        <v>5943532904.0500002</v>
      </c>
      <c r="J1890" s="5">
        <v>1634000000</v>
      </c>
      <c r="K1890" s="5">
        <v>916000000</v>
      </c>
      <c r="L1890" s="5">
        <v>5513000000</v>
      </c>
      <c r="M1890" s="5">
        <v>1281000000</v>
      </c>
      <c r="N1890" s="5">
        <v>506000000</v>
      </c>
    </row>
    <row r="1891" spans="1:14" x14ac:dyDescent="0.25">
      <c r="A1891" s="3" t="s">
        <v>1902</v>
      </c>
      <c r="B1891" s="4">
        <v>2.5</v>
      </c>
      <c r="C1891" s="4">
        <v>-0.06</v>
      </c>
      <c r="D1891" s="4">
        <v>-0.03</v>
      </c>
      <c r="E1891" s="4">
        <v>-1.214537261725581E-2</v>
      </c>
      <c r="F1891" s="3">
        <v>1889</v>
      </c>
      <c r="G1891" s="3">
        <v>2</v>
      </c>
      <c r="H1891" s="5">
        <v>582283777.60000002</v>
      </c>
      <c r="I1891" s="5">
        <v>2996346777.5999999</v>
      </c>
      <c r="J1891" s="5">
        <v>2454242000</v>
      </c>
      <c r="K1891" s="5">
        <v>40179000</v>
      </c>
      <c r="L1891" s="5">
        <v>1952314000</v>
      </c>
      <c r="M1891" s="5">
        <v>1200001000</v>
      </c>
      <c r="N1891" s="5">
        <v>-173521000</v>
      </c>
    </row>
    <row r="1892" spans="1:14" x14ac:dyDescent="0.25">
      <c r="A1892" s="3" t="s">
        <v>1903</v>
      </c>
      <c r="B1892" s="4">
        <v>3.55</v>
      </c>
      <c r="C1892" s="4">
        <v>0.16</v>
      </c>
      <c r="D1892" s="4">
        <v>0.03</v>
      </c>
      <c r="E1892" s="4">
        <v>-1.2148005701665821E-2</v>
      </c>
      <c r="F1892" s="3">
        <v>1890</v>
      </c>
      <c r="G1892" s="3">
        <v>2</v>
      </c>
      <c r="H1892" s="5">
        <v>115621036.95999999</v>
      </c>
      <c r="I1892" s="5">
        <v>67621036.959999979</v>
      </c>
      <c r="J1892" s="5">
        <v>189216000</v>
      </c>
      <c r="K1892" s="5">
        <v>237216000</v>
      </c>
      <c r="L1892" s="5">
        <v>83901000</v>
      </c>
      <c r="M1892" s="5">
        <v>19029000</v>
      </c>
      <c r="N1892" s="5">
        <v>13286000</v>
      </c>
    </row>
    <row r="1893" spans="1:14" x14ac:dyDescent="0.25">
      <c r="A1893" s="3" t="s">
        <v>1904</v>
      </c>
      <c r="B1893" s="4">
        <v>3.47</v>
      </c>
      <c r="C1893" s="4">
        <v>0.14000000000000001</v>
      </c>
      <c r="D1893" s="4">
        <v>7.0000000000000007E-2</v>
      </c>
      <c r="E1893" s="4">
        <v>-1.21485631638081E-2</v>
      </c>
      <c r="F1893" s="3">
        <v>1891</v>
      </c>
      <c r="G1893" s="3">
        <v>2</v>
      </c>
      <c r="H1893" s="5">
        <v>26162500</v>
      </c>
      <c r="I1893" s="5">
        <v>26511850</v>
      </c>
      <c r="J1893" s="5">
        <v>358720</v>
      </c>
      <c r="K1893" s="5">
        <v>9370</v>
      </c>
      <c r="L1893" s="5">
        <v>60293560</v>
      </c>
      <c r="M1893" s="5">
        <v>7647530</v>
      </c>
      <c r="N1893" s="5">
        <v>4784690</v>
      </c>
    </row>
    <row r="1894" spans="1:14" x14ac:dyDescent="0.25">
      <c r="A1894" s="3" t="s">
        <v>1905</v>
      </c>
      <c r="B1894" s="4">
        <v>2.71</v>
      </c>
      <c r="C1894" s="4">
        <v>-0.02</v>
      </c>
      <c r="D1894" s="4">
        <v>-0.01</v>
      </c>
      <c r="E1894" s="4">
        <v>-1.2155913455681591E-2</v>
      </c>
      <c r="F1894" s="3">
        <v>1892</v>
      </c>
      <c r="G1894" s="3">
        <v>2</v>
      </c>
      <c r="H1894" s="5">
        <v>275808995.57999998</v>
      </c>
      <c r="I1894" s="5">
        <v>225083995.58000001</v>
      </c>
      <c r="J1894" s="5">
        <v>205000</v>
      </c>
      <c r="K1894" s="5">
        <v>50930000</v>
      </c>
      <c r="L1894" s="5">
        <v>323542000</v>
      </c>
      <c r="M1894" s="5">
        <v>83129000</v>
      </c>
      <c r="N1894" s="5">
        <v>-6060000</v>
      </c>
    </row>
    <row r="1895" spans="1:14" x14ac:dyDescent="0.25">
      <c r="A1895" s="3" t="s">
        <v>1906</v>
      </c>
      <c r="B1895" s="4">
        <v>0.56999999999999995</v>
      </c>
      <c r="C1895" s="4">
        <v>-0.46</v>
      </c>
      <c r="D1895" s="4">
        <v>-0.3</v>
      </c>
      <c r="E1895" s="4">
        <v>-1.215868391589083E-2</v>
      </c>
      <c r="F1895" s="3">
        <v>1893</v>
      </c>
      <c r="G1895" s="3">
        <v>2</v>
      </c>
      <c r="H1895" s="5">
        <v>20112564.736000001</v>
      </c>
      <c r="I1895" s="5">
        <v>-98886435.263999999</v>
      </c>
      <c r="J1895" s="5">
        <v>29640000</v>
      </c>
      <c r="K1895" s="5">
        <v>148639000</v>
      </c>
      <c r="L1895" s="5">
        <v>220028000</v>
      </c>
      <c r="M1895" s="5">
        <v>-172322000</v>
      </c>
      <c r="N1895" s="5">
        <v>-221023000</v>
      </c>
    </row>
    <row r="1896" spans="1:14" x14ac:dyDescent="0.25">
      <c r="A1896" s="3" t="s">
        <v>1907</v>
      </c>
      <c r="B1896" s="4">
        <v>-6.41</v>
      </c>
      <c r="C1896" s="4">
        <v>-1.91</v>
      </c>
      <c r="D1896" s="4">
        <v>-1.03</v>
      </c>
      <c r="E1896" s="4">
        <v>-1.216901029658511E-2</v>
      </c>
      <c r="F1896" s="3">
        <v>1894</v>
      </c>
      <c r="G1896" s="3">
        <v>2</v>
      </c>
      <c r="H1896" s="5">
        <v>251947492.24000001</v>
      </c>
      <c r="I1896" s="5">
        <v>249031492.24000001</v>
      </c>
      <c r="J1896" s="5">
        <v>9837000</v>
      </c>
      <c r="K1896" s="5">
        <v>12753000</v>
      </c>
      <c r="L1896" s="5">
        <v>0</v>
      </c>
      <c r="M1896" s="5">
        <v>-38840000</v>
      </c>
      <c r="N1896" s="5">
        <v>-39827000</v>
      </c>
    </row>
    <row r="1897" spans="1:14" x14ac:dyDescent="0.25">
      <c r="A1897" s="3" t="s">
        <v>1908</v>
      </c>
      <c r="B1897" s="4">
        <v>3.37</v>
      </c>
      <c r="C1897" s="4">
        <v>0.11</v>
      </c>
      <c r="D1897" s="4">
        <v>0.06</v>
      </c>
      <c r="E1897" s="4">
        <v>-1.21752809544582E-2</v>
      </c>
      <c r="F1897" s="3">
        <v>1895</v>
      </c>
      <c r="G1897" s="3">
        <v>2</v>
      </c>
      <c r="H1897" s="5">
        <v>9279393638.3999996</v>
      </c>
      <c r="I1897" s="5">
        <v>14710393638.4</v>
      </c>
      <c r="J1897" s="5">
        <v>5473000000</v>
      </c>
      <c r="K1897" s="5">
        <v>42000000</v>
      </c>
      <c r="L1897" s="5">
        <v>9152000000</v>
      </c>
      <c r="M1897" s="5">
        <v>4361000000</v>
      </c>
      <c r="N1897" s="5">
        <v>1125000000</v>
      </c>
    </row>
    <row r="1898" spans="1:14" x14ac:dyDescent="0.25">
      <c r="A1898" s="3" t="s">
        <v>1909</v>
      </c>
      <c r="B1898" s="4">
        <v>4.2699999999999996</v>
      </c>
      <c r="C1898" s="4">
        <v>0.3</v>
      </c>
      <c r="D1898" s="4">
        <v>0.09</v>
      </c>
      <c r="E1898" s="4">
        <v>-1.217754385418795E-2</v>
      </c>
      <c r="F1898" s="3">
        <v>1896</v>
      </c>
      <c r="G1898" s="3">
        <v>2</v>
      </c>
      <c r="H1898" s="5">
        <v>775379881.23000002</v>
      </c>
      <c r="I1898" s="5">
        <v>1552296881.23</v>
      </c>
      <c r="J1898" s="5">
        <v>986893000</v>
      </c>
      <c r="K1898" s="5">
        <v>209976000</v>
      </c>
      <c r="L1898" s="5">
        <v>3004918000</v>
      </c>
      <c r="M1898" s="5">
        <v>363434000</v>
      </c>
      <c r="N1898" s="5">
        <v>242008000</v>
      </c>
    </row>
    <row r="1899" spans="1:14" x14ac:dyDescent="0.25">
      <c r="A1899" s="3" t="s">
        <v>1910</v>
      </c>
      <c r="B1899" s="4">
        <v>3.1</v>
      </c>
      <c r="C1899" s="4">
        <v>0.05</v>
      </c>
      <c r="D1899" s="4">
        <v>0.05</v>
      </c>
      <c r="E1899" s="4">
        <v>-1.218346306930137E-2</v>
      </c>
      <c r="F1899" s="3">
        <v>1897</v>
      </c>
      <c r="G1899" s="3">
        <v>2</v>
      </c>
      <c r="H1899" s="5">
        <v>24464113.75</v>
      </c>
      <c r="I1899" s="5">
        <v>2241773.75</v>
      </c>
      <c r="J1899" s="5">
        <v>0</v>
      </c>
      <c r="K1899" s="5">
        <v>22222340</v>
      </c>
      <c r="L1899" s="5">
        <v>10332570</v>
      </c>
      <c r="M1899" s="5">
        <v>722670</v>
      </c>
      <c r="N1899" s="5">
        <v>1557770</v>
      </c>
    </row>
    <row r="1900" spans="1:14" x14ac:dyDescent="0.25">
      <c r="A1900" s="3" t="s">
        <v>1911</v>
      </c>
      <c r="B1900" s="4">
        <v>-0.24</v>
      </c>
      <c r="C1900" s="4">
        <v>-0.63</v>
      </c>
      <c r="D1900" s="4">
        <v>-0.51</v>
      </c>
      <c r="E1900" s="4">
        <v>-1.218905913180097E-2</v>
      </c>
      <c r="F1900" s="3">
        <v>1898</v>
      </c>
      <c r="G1900" s="3">
        <v>2</v>
      </c>
      <c r="H1900" s="5">
        <v>6315405.6955000004</v>
      </c>
      <c r="I1900" s="5">
        <v>3288405.6954999999</v>
      </c>
      <c r="J1900" s="5">
        <v>73000</v>
      </c>
      <c r="K1900" s="5">
        <v>3100000</v>
      </c>
      <c r="L1900" s="5">
        <v>1049000</v>
      </c>
      <c r="M1900" s="5">
        <v>-13772000</v>
      </c>
      <c r="N1900" s="5">
        <v>-13850000</v>
      </c>
    </row>
    <row r="1901" spans="1:14" x14ac:dyDescent="0.25">
      <c r="A1901" s="3" t="s">
        <v>1912</v>
      </c>
      <c r="B1901" s="4">
        <v>3.62</v>
      </c>
      <c r="C1901" s="4">
        <v>0.16</v>
      </c>
      <c r="D1901" s="4">
        <v>0.04</v>
      </c>
      <c r="E1901" s="4">
        <v>-1.2189401114967861E-2</v>
      </c>
      <c r="F1901" s="3">
        <v>1899</v>
      </c>
      <c r="G1901" s="3">
        <v>2</v>
      </c>
      <c r="H1901" s="5">
        <v>655207941.63999999</v>
      </c>
      <c r="I1901" s="5">
        <v>3314947941.6399999</v>
      </c>
      <c r="J1901" s="5">
        <v>2744712000</v>
      </c>
      <c r="K1901" s="5">
        <v>84972000</v>
      </c>
      <c r="L1901" s="5">
        <v>1675358000</v>
      </c>
      <c r="M1901" s="5">
        <v>914735000</v>
      </c>
      <c r="N1901" s="5">
        <v>189851000</v>
      </c>
    </row>
    <row r="1902" spans="1:14" x14ac:dyDescent="0.25">
      <c r="A1902" s="3" t="s">
        <v>1913</v>
      </c>
      <c r="B1902" s="4">
        <v>0.28999999999999998</v>
      </c>
      <c r="C1902" s="4">
        <v>-0.54</v>
      </c>
      <c r="D1902" s="4">
        <v>-0.18</v>
      </c>
      <c r="E1902" s="4">
        <v>-1.219338669355826E-2</v>
      </c>
      <c r="F1902" s="3">
        <v>1900</v>
      </c>
      <c r="G1902" s="3">
        <v>2</v>
      </c>
      <c r="H1902" s="5">
        <v>1000496111.85</v>
      </c>
      <c r="I1902" s="5">
        <v>-320621888.14999998</v>
      </c>
      <c r="J1902" s="5">
        <v>0</v>
      </c>
      <c r="K1902" s="5">
        <v>1321118000</v>
      </c>
      <c r="L1902" s="5">
        <v>4553556000</v>
      </c>
      <c r="M1902" s="5">
        <v>-1116862000</v>
      </c>
      <c r="N1902" s="5">
        <v>-1048954000</v>
      </c>
    </row>
    <row r="1903" spans="1:14" x14ac:dyDescent="0.25">
      <c r="A1903" s="3" t="s">
        <v>1914</v>
      </c>
      <c r="B1903" s="4">
        <v>5.1100000000000003</v>
      </c>
      <c r="C1903" s="4">
        <v>0.49</v>
      </c>
      <c r="D1903" s="4">
        <v>-0.15</v>
      </c>
      <c r="E1903" s="4">
        <v>-1.21947552373279E-2</v>
      </c>
      <c r="F1903" s="3">
        <v>1901</v>
      </c>
      <c r="G1903" s="3">
        <v>2</v>
      </c>
      <c r="H1903" s="5">
        <v>198956194.25</v>
      </c>
      <c r="I1903" s="5">
        <v>230359194.25</v>
      </c>
      <c r="J1903" s="5">
        <v>60875000</v>
      </c>
      <c r="K1903" s="5">
        <v>29472000</v>
      </c>
      <c r="L1903" s="5">
        <v>573703000</v>
      </c>
      <c r="M1903" s="5">
        <v>45054000</v>
      </c>
      <c r="N1903" s="5">
        <v>-11686000</v>
      </c>
    </row>
    <row r="1904" spans="1:14" x14ac:dyDescent="0.25">
      <c r="A1904" s="3" t="s">
        <v>1915</v>
      </c>
      <c r="B1904" s="4">
        <v>3.31</v>
      </c>
      <c r="C1904" s="4">
        <v>0.09</v>
      </c>
      <c r="D1904" s="4">
        <v>0.05</v>
      </c>
      <c r="E1904" s="4">
        <v>-1.2197861960882159E-2</v>
      </c>
      <c r="F1904" s="3">
        <v>1902</v>
      </c>
      <c r="G1904" s="3">
        <v>2</v>
      </c>
      <c r="H1904" s="5">
        <v>52783360.560000002</v>
      </c>
      <c r="I1904" s="5">
        <v>38842360.560000002</v>
      </c>
      <c r="J1904" s="5">
        <v>0</v>
      </c>
      <c r="K1904" s="5">
        <v>13941000</v>
      </c>
      <c r="L1904" s="5">
        <v>78181000</v>
      </c>
      <c r="M1904" s="5">
        <v>11721000</v>
      </c>
      <c r="N1904" s="5">
        <v>3602000</v>
      </c>
    </row>
    <row r="1905" spans="1:14" x14ac:dyDescent="0.25">
      <c r="A1905" s="3" t="s">
        <v>1916</v>
      </c>
      <c r="B1905" s="4">
        <v>3.55</v>
      </c>
      <c r="C1905" s="4">
        <v>0.14000000000000001</v>
      </c>
      <c r="D1905" s="4">
        <v>7.0000000000000007E-2</v>
      </c>
      <c r="E1905" s="4">
        <v>-1.2198076809384719E-2</v>
      </c>
      <c r="F1905" s="3">
        <v>1903</v>
      </c>
      <c r="G1905" s="3">
        <v>2</v>
      </c>
      <c r="H1905" s="5">
        <v>222927123.12</v>
      </c>
      <c r="I1905" s="5">
        <v>212816123.12</v>
      </c>
      <c r="J1905" s="5">
        <v>25200000</v>
      </c>
      <c r="K1905" s="5">
        <v>35311000</v>
      </c>
      <c r="L1905" s="5">
        <v>394190000</v>
      </c>
      <c r="M1905" s="5">
        <v>59928000</v>
      </c>
      <c r="N1905" s="5">
        <v>24063000</v>
      </c>
    </row>
    <row r="1906" spans="1:14" x14ac:dyDescent="0.25">
      <c r="A1906" s="3" t="s">
        <v>1917</v>
      </c>
      <c r="B1906" s="4">
        <v>0.12</v>
      </c>
      <c r="C1906" s="4">
        <v>-0.56000000000000005</v>
      </c>
      <c r="D1906" s="4">
        <v>-0.48</v>
      </c>
      <c r="E1906" s="4">
        <v>-1.2203828208062029E-2</v>
      </c>
      <c r="F1906" s="3">
        <v>1904</v>
      </c>
      <c r="G1906" s="3">
        <v>2</v>
      </c>
      <c r="H1906" s="5">
        <v>74319367.560000002</v>
      </c>
      <c r="I1906" s="5">
        <v>-10397632.439999999</v>
      </c>
      <c r="J1906" s="5">
        <v>0</v>
      </c>
      <c r="K1906" s="5">
        <v>84717000</v>
      </c>
      <c r="L1906" s="5">
        <v>53477000</v>
      </c>
      <c r="M1906" s="5">
        <v>-90223000</v>
      </c>
      <c r="N1906" s="5">
        <v>-84689000</v>
      </c>
    </row>
    <row r="1907" spans="1:14" x14ac:dyDescent="0.25">
      <c r="A1907" s="3" t="s">
        <v>1918</v>
      </c>
      <c r="B1907" s="4">
        <v>3.67</v>
      </c>
      <c r="C1907" s="4">
        <v>0.16</v>
      </c>
      <c r="D1907" s="4">
        <v>0.1</v>
      </c>
      <c r="E1907" s="4">
        <v>-1.220877298398821E-2</v>
      </c>
      <c r="F1907" s="3">
        <v>1905</v>
      </c>
      <c r="G1907" s="3">
        <v>2</v>
      </c>
      <c r="H1907" s="5">
        <v>2823083973.3600001</v>
      </c>
      <c r="I1907" s="5">
        <v>3263758973.3600001</v>
      </c>
      <c r="J1907" s="5">
        <v>460659000</v>
      </c>
      <c r="K1907" s="5">
        <v>19984000</v>
      </c>
      <c r="L1907" s="5">
        <v>4315161000</v>
      </c>
      <c r="M1907" s="5">
        <v>889181000</v>
      </c>
      <c r="N1907" s="5">
        <v>316010000</v>
      </c>
    </row>
    <row r="1908" spans="1:14" x14ac:dyDescent="0.25">
      <c r="A1908" s="3" t="s">
        <v>1919</v>
      </c>
      <c r="B1908" s="4">
        <v>-2.02</v>
      </c>
      <c r="C1908" s="4">
        <v>-1.03</v>
      </c>
      <c r="D1908" s="4">
        <v>-0.39</v>
      </c>
      <c r="E1908" s="4">
        <v>-1.221997647936944E-2</v>
      </c>
      <c r="F1908" s="3">
        <v>1906</v>
      </c>
      <c r="G1908" s="3">
        <v>2</v>
      </c>
      <c r="H1908" s="5">
        <v>6373436.5499999998</v>
      </c>
      <c r="I1908" s="5">
        <v>5683436.5499999998</v>
      </c>
      <c r="J1908" s="5">
        <v>122000</v>
      </c>
      <c r="K1908" s="5">
        <v>812000</v>
      </c>
      <c r="L1908" s="5">
        <v>15439000</v>
      </c>
      <c r="M1908" s="5">
        <v>-2817000</v>
      </c>
      <c r="N1908" s="5">
        <v>-3761000</v>
      </c>
    </row>
    <row r="1909" spans="1:14" x14ac:dyDescent="0.25">
      <c r="A1909" s="3" t="s">
        <v>1920</v>
      </c>
      <c r="B1909" s="4">
        <v>4.29</v>
      </c>
      <c r="C1909" s="4">
        <v>0.28999999999999998</v>
      </c>
      <c r="D1909" s="4">
        <v>0.05</v>
      </c>
      <c r="E1909" s="4">
        <v>-1.222653197890659E-2</v>
      </c>
      <c r="F1909" s="3">
        <v>1907</v>
      </c>
      <c r="G1909" s="3">
        <v>2</v>
      </c>
      <c r="H1909" s="5">
        <v>1499920965.8399999</v>
      </c>
      <c r="I1909" s="5">
        <v>2143705965.8399999</v>
      </c>
      <c r="J1909" s="5">
        <v>778849000</v>
      </c>
      <c r="K1909" s="5">
        <v>135064000</v>
      </c>
      <c r="L1909" s="5">
        <v>4470162000</v>
      </c>
      <c r="M1909" s="5">
        <v>500046000</v>
      </c>
      <c r="N1909" s="5">
        <v>148759000</v>
      </c>
    </row>
    <row r="1910" spans="1:14" x14ac:dyDescent="0.25">
      <c r="A1910" s="3" t="s">
        <v>1921</v>
      </c>
      <c r="B1910" s="4">
        <v>3.89</v>
      </c>
      <c r="C1910" s="4">
        <v>0.2</v>
      </c>
      <c r="D1910" s="4">
        <v>0.09</v>
      </c>
      <c r="E1910" s="4">
        <v>-1.2231290107843591E-2</v>
      </c>
      <c r="F1910" s="3">
        <v>1908</v>
      </c>
      <c r="G1910" s="3">
        <v>2</v>
      </c>
      <c r="H1910" s="5">
        <v>20529432000</v>
      </c>
      <c r="I1910" s="5">
        <v>28919432000</v>
      </c>
      <c r="J1910" s="5">
        <v>9201000000</v>
      </c>
      <c r="K1910" s="5">
        <v>811000000</v>
      </c>
      <c r="L1910" s="5">
        <v>15940000000</v>
      </c>
      <c r="M1910" s="5">
        <v>7437000000</v>
      </c>
      <c r="N1910" s="5">
        <v>2891000000</v>
      </c>
    </row>
    <row r="1911" spans="1:14" x14ac:dyDescent="0.25">
      <c r="A1911" s="3" t="s">
        <v>1922</v>
      </c>
      <c r="B1911" s="4">
        <v>2.39</v>
      </c>
      <c r="C1911" s="4">
        <v>-0.11</v>
      </c>
      <c r="D1911" s="4">
        <v>-0.09</v>
      </c>
      <c r="E1911" s="4">
        <v>-1.2233333549125281E-2</v>
      </c>
      <c r="F1911" s="3">
        <v>1909</v>
      </c>
      <c r="G1911" s="3">
        <v>2</v>
      </c>
      <c r="H1911" s="5">
        <v>8422673.4000000004</v>
      </c>
      <c r="I1911" s="5">
        <v>-210942326.59999999</v>
      </c>
      <c r="J1911" s="5">
        <v>0</v>
      </c>
      <c r="K1911" s="5">
        <v>219365000</v>
      </c>
      <c r="L1911" s="5">
        <v>417651000</v>
      </c>
      <c r="M1911" s="5">
        <v>-88261000</v>
      </c>
      <c r="N1911" s="5">
        <v>-123110000</v>
      </c>
    </row>
    <row r="1912" spans="1:14" x14ac:dyDescent="0.25">
      <c r="A1912" s="3" t="s">
        <v>1923</v>
      </c>
      <c r="B1912" s="4">
        <v>-0.9</v>
      </c>
      <c r="C1912" s="4">
        <v>0.72</v>
      </c>
      <c r="D1912" s="4">
        <v>-23.09</v>
      </c>
      <c r="E1912" s="4">
        <v>-1.223567662085028E-2</v>
      </c>
      <c r="F1912" s="3">
        <v>1910</v>
      </c>
      <c r="G1912" s="3">
        <v>2</v>
      </c>
      <c r="H1912" s="5">
        <v>195.65954199999999</v>
      </c>
      <c r="I1912" s="5">
        <v>24905.659542000001</v>
      </c>
      <c r="J1912" s="5">
        <v>25000</v>
      </c>
      <c r="K1912" s="5">
        <v>290</v>
      </c>
      <c r="L1912" s="5">
        <v>4090</v>
      </c>
      <c r="M1912" s="5">
        <v>-27580</v>
      </c>
      <c r="N1912" s="5">
        <v>-28630</v>
      </c>
    </row>
    <row r="1913" spans="1:14" x14ac:dyDescent="0.25">
      <c r="A1913" s="3" t="s">
        <v>1924</v>
      </c>
      <c r="B1913" s="4">
        <v>-0.18</v>
      </c>
      <c r="C1913" s="4">
        <v>-0.63</v>
      </c>
      <c r="D1913" s="4">
        <v>-0.56000000000000005</v>
      </c>
      <c r="E1913" s="4">
        <v>-1.223583949887096E-2</v>
      </c>
      <c r="F1913" s="3">
        <v>1911</v>
      </c>
      <c r="G1913" s="3">
        <v>2</v>
      </c>
      <c r="H1913" s="5">
        <v>31168223.798999999</v>
      </c>
      <c r="I1913" s="5">
        <v>9817223.7989999987</v>
      </c>
      <c r="J1913" s="5">
        <v>0</v>
      </c>
      <c r="K1913" s="5">
        <v>21351000</v>
      </c>
      <c r="L1913" s="5">
        <v>0</v>
      </c>
      <c r="M1913" s="5">
        <v>-54554000</v>
      </c>
      <c r="N1913" s="5">
        <v>-51321000</v>
      </c>
    </row>
    <row r="1914" spans="1:14" x14ac:dyDescent="0.25">
      <c r="A1914" s="3" t="s">
        <v>1925</v>
      </c>
      <c r="B1914" s="4">
        <v>3.78</v>
      </c>
      <c r="C1914" s="4">
        <v>0.17</v>
      </c>
      <c r="D1914" s="4">
        <v>0.11</v>
      </c>
      <c r="E1914" s="4">
        <v>-1.22460316130641E-2</v>
      </c>
      <c r="F1914" s="3">
        <v>1912</v>
      </c>
      <c r="G1914" s="3">
        <v>2</v>
      </c>
      <c r="H1914" s="5">
        <v>2644134550.7399998</v>
      </c>
      <c r="I1914" s="5">
        <v>2405656550.7399998</v>
      </c>
      <c r="J1914" s="5">
        <v>474782000</v>
      </c>
      <c r="K1914" s="5">
        <v>713260000</v>
      </c>
      <c r="L1914" s="5">
        <v>6724294000</v>
      </c>
      <c r="M1914" s="5">
        <v>636631000</v>
      </c>
      <c r="N1914" s="5">
        <v>376354000</v>
      </c>
    </row>
    <row r="1915" spans="1:14" x14ac:dyDescent="0.25">
      <c r="A1915" s="3" t="s">
        <v>1926</v>
      </c>
      <c r="B1915" s="4">
        <v>3.01</v>
      </c>
      <c r="C1915" s="4">
        <v>0.01</v>
      </c>
      <c r="D1915" s="4">
        <v>0.01</v>
      </c>
      <c r="E1915" s="4">
        <v>-1.2251050752395531E-2</v>
      </c>
      <c r="F1915" s="3">
        <v>1913</v>
      </c>
      <c r="G1915" s="3">
        <v>2</v>
      </c>
      <c r="H1915" s="5">
        <v>92781144.989999995</v>
      </c>
      <c r="I1915" s="5">
        <v>103911144.98999999</v>
      </c>
      <c r="J1915" s="5">
        <v>12684000</v>
      </c>
      <c r="K1915" s="5">
        <v>1554000</v>
      </c>
      <c r="L1915" s="5">
        <v>311372000</v>
      </c>
      <c r="M1915" s="5">
        <v>34569000</v>
      </c>
      <c r="N1915" s="5">
        <v>2992000</v>
      </c>
    </row>
    <row r="1916" spans="1:14" x14ac:dyDescent="0.25">
      <c r="A1916" s="3" t="s">
        <v>1927</v>
      </c>
      <c r="B1916" s="4">
        <v>1.54</v>
      </c>
      <c r="C1916" s="4">
        <v>-0.3</v>
      </c>
      <c r="D1916" s="4">
        <v>-0.14000000000000001</v>
      </c>
      <c r="E1916" s="4">
        <v>-1.2265874731035929E-2</v>
      </c>
      <c r="F1916" s="3">
        <v>1914</v>
      </c>
      <c r="G1916" s="3">
        <v>2</v>
      </c>
      <c r="H1916" s="5">
        <v>33849765</v>
      </c>
      <c r="I1916" s="5">
        <v>53373765</v>
      </c>
      <c r="J1916" s="5">
        <v>49461000</v>
      </c>
      <c r="K1916" s="5">
        <v>29937000</v>
      </c>
      <c r="L1916" s="5">
        <v>356047000</v>
      </c>
      <c r="M1916" s="5">
        <v>34766000</v>
      </c>
      <c r="N1916" s="5">
        <v>-60248000</v>
      </c>
    </row>
    <row r="1917" spans="1:14" x14ac:dyDescent="0.25">
      <c r="A1917" s="3" t="s">
        <v>1928</v>
      </c>
      <c r="B1917" s="4">
        <v>3.7</v>
      </c>
      <c r="C1917" s="4">
        <v>0.15</v>
      </c>
      <c r="D1917" s="4">
        <v>0.03</v>
      </c>
      <c r="E1917" s="4">
        <v>-1.226973739413645E-2</v>
      </c>
      <c r="F1917" s="3">
        <v>1915</v>
      </c>
      <c r="G1917" s="3">
        <v>2</v>
      </c>
      <c r="H1917" s="5">
        <v>6263133503.6400003</v>
      </c>
      <c r="I1917" s="5">
        <v>6611733503.6400003</v>
      </c>
      <c r="J1917" s="5">
        <v>784100000</v>
      </c>
      <c r="K1917" s="5">
        <v>435500000</v>
      </c>
      <c r="L1917" s="5">
        <v>6229000000</v>
      </c>
      <c r="M1917" s="5">
        <v>1786700000</v>
      </c>
      <c r="N1917" s="5">
        <v>426000000</v>
      </c>
    </row>
    <row r="1918" spans="1:14" x14ac:dyDescent="0.25">
      <c r="A1918" s="3" t="s">
        <v>1929</v>
      </c>
      <c r="B1918" s="4">
        <v>-6.17</v>
      </c>
      <c r="C1918" s="4">
        <v>-1.9</v>
      </c>
      <c r="D1918" s="4">
        <v>-0.94</v>
      </c>
      <c r="E1918" s="4">
        <v>-1.227129638710296E-2</v>
      </c>
      <c r="F1918" s="3">
        <v>1916</v>
      </c>
      <c r="G1918" s="3">
        <v>2</v>
      </c>
      <c r="H1918" s="5">
        <v>321631721.39999998</v>
      </c>
      <c r="I1918" s="5">
        <v>296920721.39999998</v>
      </c>
      <c r="J1918" s="5">
        <v>15414000</v>
      </c>
      <c r="K1918" s="5">
        <v>40125000</v>
      </c>
      <c r="L1918" s="5">
        <v>54330000</v>
      </c>
      <c r="M1918" s="5">
        <v>-48099000</v>
      </c>
      <c r="N1918" s="5">
        <v>-48514000</v>
      </c>
    </row>
    <row r="1919" spans="1:14" x14ac:dyDescent="0.25">
      <c r="A1919" s="3" t="s">
        <v>1930</v>
      </c>
      <c r="B1919" s="4">
        <v>-7.53</v>
      </c>
      <c r="C1919" s="4">
        <v>-2.23</v>
      </c>
      <c r="D1919" s="4">
        <v>-0.38</v>
      </c>
      <c r="E1919" s="4">
        <v>-1.2275027955437209E-2</v>
      </c>
      <c r="F1919" s="3">
        <v>1917</v>
      </c>
      <c r="G1919" s="3">
        <v>2</v>
      </c>
      <c r="H1919" s="5">
        <v>3071364262.4099998</v>
      </c>
      <c r="I1919" s="5">
        <v>3767306262.4099998</v>
      </c>
      <c r="J1919" s="5">
        <v>869671000</v>
      </c>
      <c r="K1919" s="5">
        <v>173729000</v>
      </c>
      <c r="L1919" s="5">
        <v>560230000</v>
      </c>
      <c r="M1919" s="5">
        <v>-500373000</v>
      </c>
      <c r="N1919" s="5">
        <v>-569183000</v>
      </c>
    </row>
    <row r="1920" spans="1:14" x14ac:dyDescent="0.25">
      <c r="A1920" s="3" t="s">
        <v>1931</v>
      </c>
      <c r="B1920" s="4">
        <v>-1.57</v>
      </c>
      <c r="C1920" s="4">
        <v>-0.93</v>
      </c>
      <c r="D1920" s="4">
        <v>-0.8</v>
      </c>
      <c r="E1920" s="4">
        <v>-1.228864475527108E-2</v>
      </c>
      <c r="F1920" s="3">
        <v>1918</v>
      </c>
      <c r="G1920" s="3">
        <v>2</v>
      </c>
      <c r="H1920" s="5">
        <v>207935896.91999999</v>
      </c>
      <c r="I1920" s="5">
        <v>116646896.92</v>
      </c>
      <c r="J1920" s="5">
        <v>7487000</v>
      </c>
      <c r="K1920" s="5">
        <v>98776000</v>
      </c>
      <c r="L1920" s="5">
        <v>10094000</v>
      </c>
      <c r="M1920" s="5">
        <v>-74323000</v>
      </c>
      <c r="N1920" s="5">
        <v>-130036000</v>
      </c>
    </row>
    <row r="1921" spans="1:14" x14ac:dyDescent="0.25">
      <c r="A1921" s="3" t="s">
        <v>1932</v>
      </c>
      <c r="B1921" s="4">
        <v>0.19</v>
      </c>
      <c r="C1921" s="4">
        <v>-0.57999999999999996</v>
      </c>
      <c r="D1921" s="4">
        <v>-0.4</v>
      </c>
      <c r="E1921" s="4">
        <v>-1.228950764935045E-2</v>
      </c>
      <c r="F1921" s="3">
        <v>1919</v>
      </c>
      <c r="G1921" s="3">
        <v>2</v>
      </c>
      <c r="H1921" s="5">
        <v>4057624.32</v>
      </c>
      <c r="I1921" s="5">
        <v>-569375.6799999997</v>
      </c>
      <c r="J1921" s="5">
        <v>253000</v>
      </c>
      <c r="K1921" s="5">
        <v>4880000</v>
      </c>
      <c r="L1921" s="5">
        <v>8257000</v>
      </c>
      <c r="M1921" s="5">
        <v>-2999000</v>
      </c>
      <c r="N1921" s="5">
        <v>-3995000</v>
      </c>
    </row>
    <row r="1922" spans="1:14" x14ac:dyDescent="0.25">
      <c r="A1922" s="3" t="s">
        <v>1933</v>
      </c>
      <c r="B1922" s="4">
        <v>1.97</v>
      </c>
      <c r="C1922" s="4">
        <v>-0.22</v>
      </c>
      <c r="D1922" s="4">
        <v>-0.11</v>
      </c>
      <c r="E1922" s="4">
        <v>-1.2295074640162071E-2</v>
      </c>
      <c r="F1922" s="3">
        <v>1920</v>
      </c>
      <c r="G1922" s="3">
        <v>2</v>
      </c>
      <c r="H1922" s="5">
        <v>3745.5549999999998</v>
      </c>
      <c r="I1922" s="5">
        <v>106696745.55500001</v>
      </c>
      <c r="J1922" s="5">
        <v>107043000</v>
      </c>
      <c r="K1922" s="5">
        <v>350000</v>
      </c>
      <c r="L1922" s="5">
        <v>165643000</v>
      </c>
      <c r="M1922" s="5">
        <v>54291000</v>
      </c>
      <c r="N1922" s="5">
        <v>-42317000</v>
      </c>
    </row>
    <row r="1923" spans="1:14" x14ac:dyDescent="0.25">
      <c r="A1923" s="3" t="s">
        <v>1934</v>
      </c>
      <c r="B1923" s="4">
        <v>0.45</v>
      </c>
      <c r="C1923" s="4">
        <v>-0.52</v>
      </c>
      <c r="D1923" s="4">
        <v>-0.5</v>
      </c>
      <c r="E1923" s="4">
        <v>-1.2296355621162771E-2</v>
      </c>
      <c r="F1923" s="3">
        <v>1921</v>
      </c>
      <c r="G1923" s="3">
        <v>2</v>
      </c>
      <c r="H1923" s="5">
        <v>93512090</v>
      </c>
      <c r="I1923" s="5">
        <v>-24776910</v>
      </c>
      <c r="J1923" s="5">
        <v>0</v>
      </c>
      <c r="K1923" s="5">
        <v>118289000</v>
      </c>
      <c r="L1923" s="5">
        <v>0</v>
      </c>
      <c r="M1923" s="5">
        <v>-55256000</v>
      </c>
      <c r="N1923" s="5">
        <v>-58769000</v>
      </c>
    </row>
    <row r="1924" spans="1:14" x14ac:dyDescent="0.25">
      <c r="A1924" s="3" t="s">
        <v>1935</v>
      </c>
      <c r="B1924" s="4">
        <v>-2.56</v>
      </c>
      <c r="C1924" s="4">
        <v>0.28000000000000003</v>
      </c>
      <c r="D1924" s="4">
        <v>-22.15</v>
      </c>
      <c r="E1924" s="4">
        <v>-1.229825868548602E-2</v>
      </c>
      <c r="F1924" s="3">
        <v>1922</v>
      </c>
      <c r="G1924" s="3">
        <v>2</v>
      </c>
      <c r="H1924" s="5">
        <v>37004.540800000002</v>
      </c>
      <c r="I1924" s="5">
        <v>1305694.5408000001</v>
      </c>
      <c r="J1924" s="5">
        <v>1295110</v>
      </c>
      <c r="K1924" s="5">
        <v>26420</v>
      </c>
      <c r="L1924" s="5">
        <v>130070</v>
      </c>
      <c r="M1924" s="5">
        <v>-510820</v>
      </c>
      <c r="N1924" s="5">
        <v>-695200</v>
      </c>
    </row>
    <row r="1925" spans="1:14" x14ac:dyDescent="0.25">
      <c r="A1925" s="3" t="s">
        <v>1936</v>
      </c>
      <c r="B1925" s="4">
        <v>-0.7</v>
      </c>
      <c r="C1925" s="4">
        <v>-0.76</v>
      </c>
      <c r="D1925" s="4">
        <v>-0.63</v>
      </c>
      <c r="E1925" s="4">
        <v>-1.230312087985343E-2</v>
      </c>
      <c r="F1925" s="3">
        <v>1923</v>
      </c>
      <c r="G1925" s="3">
        <v>2</v>
      </c>
      <c r="H1925" s="5">
        <v>238724258.13</v>
      </c>
      <c r="I1925" s="5">
        <v>83992258.129999995</v>
      </c>
      <c r="J1925" s="5">
        <v>9230000</v>
      </c>
      <c r="K1925" s="5">
        <v>163962000</v>
      </c>
      <c r="L1925" s="5">
        <v>0</v>
      </c>
      <c r="M1925" s="5">
        <v>-120328000</v>
      </c>
      <c r="N1925" s="5">
        <v>-115864000</v>
      </c>
    </row>
    <row r="1926" spans="1:14" x14ac:dyDescent="0.25">
      <c r="A1926" s="3" t="s">
        <v>1937</v>
      </c>
      <c r="B1926" s="4">
        <v>3.16</v>
      </c>
      <c r="C1926" s="4">
        <v>0.02</v>
      </c>
      <c r="D1926" s="4">
        <v>0.01</v>
      </c>
      <c r="E1926" s="4">
        <v>-1.231499523083723E-2</v>
      </c>
      <c r="F1926" s="3">
        <v>1924</v>
      </c>
      <c r="G1926" s="3">
        <v>2</v>
      </c>
      <c r="H1926" s="5">
        <v>3256.8955999999998</v>
      </c>
      <c r="I1926" s="5">
        <v>493121256.89560002</v>
      </c>
      <c r="J1926" s="5">
        <v>759689000</v>
      </c>
      <c r="K1926" s="5">
        <v>266571000</v>
      </c>
      <c r="L1926" s="5">
        <v>3272736000</v>
      </c>
      <c r="M1926" s="5">
        <v>156070000</v>
      </c>
      <c r="N1926" s="5">
        <v>23827000</v>
      </c>
    </row>
    <row r="1927" spans="1:14" x14ac:dyDescent="0.25">
      <c r="A1927" s="3" t="s">
        <v>1938</v>
      </c>
      <c r="B1927" s="4">
        <v>-0.11</v>
      </c>
      <c r="C1927" s="4">
        <v>-0.66</v>
      </c>
      <c r="D1927" s="4">
        <v>-0.37</v>
      </c>
      <c r="E1927" s="4">
        <v>-1.232919325482127E-2</v>
      </c>
      <c r="F1927" s="3">
        <v>1925</v>
      </c>
      <c r="G1927" s="3">
        <v>2</v>
      </c>
      <c r="H1927" s="5">
        <v>70696905</v>
      </c>
      <c r="I1927" s="5">
        <v>3712305</v>
      </c>
      <c r="J1927" s="5">
        <v>18209900</v>
      </c>
      <c r="K1927" s="5">
        <v>85194500</v>
      </c>
      <c r="L1927" s="5">
        <v>103200</v>
      </c>
      <c r="M1927" s="5">
        <v>-35228600</v>
      </c>
      <c r="N1927" s="5">
        <v>-33424110</v>
      </c>
    </row>
    <row r="1928" spans="1:14" x14ac:dyDescent="0.25">
      <c r="A1928" s="3" t="s">
        <v>1939</v>
      </c>
      <c r="B1928" s="4">
        <v>-0.01</v>
      </c>
      <c r="C1928" s="4">
        <v>-0.63</v>
      </c>
      <c r="D1928" s="4">
        <v>-0.53</v>
      </c>
      <c r="E1928" s="4">
        <v>-1.233526891598876E-2</v>
      </c>
      <c r="F1928" s="3">
        <v>1926</v>
      </c>
      <c r="G1928" s="3">
        <v>2</v>
      </c>
      <c r="H1928" s="5">
        <v>57445107.509999998</v>
      </c>
      <c r="I1928" s="5">
        <v>950107.50999999791</v>
      </c>
      <c r="J1928" s="5">
        <v>0</v>
      </c>
      <c r="K1928" s="5">
        <v>56495000</v>
      </c>
      <c r="L1928" s="5">
        <v>0</v>
      </c>
      <c r="M1928" s="5">
        <v>-121115000</v>
      </c>
      <c r="N1928" s="5">
        <v>-117122000</v>
      </c>
    </row>
    <row r="1929" spans="1:14" x14ac:dyDescent="0.25">
      <c r="A1929" s="3" t="s">
        <v>1940</v>
      </c>
      <c r="B1929" s="4">
        <v>3.58</v>
      </c>
      <c r="C1929" s="4">
        <v>0.1</v>
      </c>
      <c r="D1929" s="4">
        <v>0.05</v>
      </c>
      <c r="E1929" s="4">
        <v>-1.233607690768879E-2</v>
      </c>
      <c r="F1929" s="3">
        <v>1927</v>
      </c>
      <c r="G1929" s="3">
        <v>2</v>
      </c>
      <c r="H1929" s="5">
        <v>1327285103.77</v>
      </c>
      <c r="I1929" s="5">
        <v>1001584103.77</v>
      </c>
      <c r="J1929" s="5">
        <v>2748000</v>
      </c>
      <c r="K1929" s="5">
        <v>328449000</v>
      </c>
      <c r="L1929" s="5">
        <v>2109207000</v>
      </c>
      <c r="M1929" s="5">
        <v>280049000</v>
      </c>
      <c r="N1929" s="5">
        <v>99556000</v>
      </c>
    </row>
    <row r="1930" spans="1:14" x14ac:dyDescent="0.25">
      <c r="A1930" s="3" t="s">
        <v>1941</v>
      </c>
      <c r="B1930" s="4">
        <v>1.76</v>
      </c>
      <c r="C1930" s="4">
        <v>-0.28000000000000003</v>
      </c>
      <c r="D1930" s="4">
        <v>-0.1</v>
      </c>
      <c r="E1930" s="4">
        <v>-1.2336533936032691E-2</v>
      </c>
      <c r="F1930" s="3">
        <v>1928</v>
      </c>
      <c r="G1930" s="3">
        <v>2</v>
      </c>
      <c r="H1930" s="5">
        <v>178923367</v>
      </c>
      <c r="I1930" s="5">
        <v>1183823367</v>
      </c>
      <c r="J1930" s="5">
        <v>1022700000</v>
      </c>
      <c r="K1930" s="5">
        <v>17800000</v>
      </c>
      <c r="L1930" s="5">
        <v>1369600000</v>
      </c>
      <c r="M1930" s="5">
        <v>671700000</v>
      </c>
      <c r="N1930" s="5">
        <v>-211200000</v>
      </c>
    </row>
    <row r="1931" spans="1:14" x14ac:dyDescent="0.25">
      <c r="A1931" s="3" t="s">
        <v>1942</v>
      </c>
      <c r="B1931" s="4">
        <v>3.48</v>
      </c>
      <c r="C1931" s="4">
        <v>0.08</v>
      </c>
      <c r="D1931" s="4">
        <v>0.02</v>
      </c>
      <c r="E1931" s="4">
        <v>-1.2337759144479449E-2</v>
      </c>
      <c r="F1931" s="3">
        <v>1929</v>
      </c>
      <c r="G1931" s="3">
        <v>2</v>
      </c>
      <c r="H1931" s="5">
        <v>133.75</v>
      </c>
      <c r="I1931" s="5">
        <v>2393140000133.75</v>
      </c>
      <c r="J1931" s="5">
        <v>2837775000000</v>
      </c>
      <c r="K1931" s="5">
        <v>444635000000</v>
      </c>
      <c r="L1931" s="5">
        <v>4638721000000</v>
      </c>
      <c r="M1931" s="5">
        <v>688402000000</v>
      </c>
      <c r="N1931" s="5">
        <v>142454000000</v>
      </c>
    </row>
    <row r="1932" spans="1:14" x14ac:dyDescent="0.25">
      <c r="A1932" s="3" t="s">
        <v>1943</v>
      </c>
      <c r="B1932" s="4">
        <v>-0.26</v>
      </c>
      <c r="C1932" s="4">
        <v>-0.69</v>
      </c>
      <c r="D1932" s="4">
        <v>-0.53</v>
      </c>
      <c r="E1932" s="4">
        <v>-1.235390041564857E-2</v>
      </c>
      <c r="F1932" s="3">
        <v>1930</v>
      </c>
      <c r="G1932" s="3">
        <v>2</v>
      </c>
      <c r="H1932" s="5">
        <v>100676572.56</v>
      </c>
      <c r="I1932" s="5">
        <v>59699572.560000002</v>
      </c>
      <c r="J1932" s="5">
        <v>30211000</v>
      </c>
      <c r="K1932" s="5">
        <v>71188000</v>
      </c>
      <c r="L1932" s="5">
        <v>0</v>
      </c>
      <c r="M1932" s="5">
        <v>-226240000</v>
      </c>
      <c r="N1932" s="5">
        <v>-210304000</v>
      </c>
    </row>
    <row r="1933" spans="1:14" x14ac:dyDescent="0.25">
      <c r="A1933" s="3" t="s">
        <v>1944</v>
      </c>
      <c r="B1933" s="4">
        <v>4.07</v>
      </c>
      <c r="C1933" s="4">
        <v>0.19</v>
      </c>
      <c r="D1933" s="4">
        <v>0.17</v>
      </c>
      <c r="E1933" s="4">
        <v>-1.23561572047854E-2</v>
      </c>
      <c r="F1933" s="3">
        <v>1931</v>
      </c>
      <c r="G1933" s="3">
        <v>2</v>
      </c>
      <c r="H1933" s="5">
        <v>988022805.50999999</v>
      </c>
      <c r="I1933" s="5">
        <v>499642915.50999999</v>
      </c>
      <c r="J1933" s="5">
        <v>0</v>
      </c>
      <c r="K1933" s="5">
        <v>488379890</v>
      </c>
      <c r="L1933" s="5">
        <v>339675850</v>
      </c>
      <c r="M1933" s="5">
        <v>122748520</v>
      </c>
      <c r="N1933" s="5">
        <v>135684240</v>
      </c>
    </row>
    <row r="1934" spans="1:14" x14ac:dyDescent="0.25">
      <c r="A1934" s="3" t="s">
        <v>1945</v>
      </c>
      <c r="B1934" s="4">
        <v>-1.07</v>
      </c>
      <c r="C1934" s="4">
        <v>-0.85</v>
      </c>
      <c r="D1934" s="4">
        <v>-0.77</v>
      </c>
      <c r="E1934" s="4">
        <v>-1.2361169104276769E-2</v>
      </c>
      <c r="F1934" s="3">
        <v>1932</v>
      </c>
      <c r="G1934" s="3">
        <v>2</v>
      </c>
      <c r="H1934" s="5">
        <v>424297018.74000001</v>
      </c>
      <c r="I1934" s="5">
        <v>282149018.74000001</v>
      </c>
      <c r="J1934" s="5">
        <v>0</v>
      </c>
      <c r="K1934" s="5">
        <v>142148000</v>
      </c>
      <c r="L1934" s="5">
        <v>0</v>
      </c>
      <c r="M1934" s="5">
        <v>-262833000</v>
      </c>
      <c r="N1934" s="5">
        <v>-243787000</v>
      </c>
    </row>
    <row r="1935" spans="1:14" x14ac:dyDescent="0.25">
      <c r="A1935" s="3" t="s">
        <v>1946</v>
      </c>
      <c r="B1935" s="4">
        <v>4.66</v>
      </c>
      <c r="C1935" s="4">
        <v>0.31</v>
      </c>
      <c r="D1935" s="4">
        <v>0.22</v>
      </c>
      <c r="E1935" s="4">
        <v>-1.236495192385194E-2</v>
      </c>
      <c r="F1935" s="3">
        <v>1933</v>
      </c>
      <c r="G1935" s="3">
        <v>2</v>
      </c>
      <c r="H1935" s="5">
        <v>180682000</v>
      </c>
      <c r="I1935" s="5">
        <v>166579410</v>
      </c>
      <c r="J1935" s="5">
        <v>22671400</v>
      </c>
      <c r="K1935" s="5">
        <v>36773990</v>
      </c>
      <c r="L1935" s="5">
        <v>280440960</v>
      </c>
      <c r="M1935" s="5">
        <v>35740970</v>
      </c>
      <c r="N1935" s="5">
        <v>42381390</v>
      </c>
    </row>
    <row r="1936" spans="1:14" x14ac:dyDescent="0.25">
      <c r="A1936" s="3" t="s">
        <v>1947</v>
      </c>
      <c r="B1936" s="4">
        <v>-2.04</v>
      </c>
      <c r="C1936" s="4">
        <v>-1.08</v>
      </c>
      <c r="D1936" s="4">
        <v>-0.46</v>
      </c>
      <c r="E1936" s="4">
        <v>-1.2365569289090109E-2</v>
      </c>
      <c r="F1936" s="3">
        <v>1934</v>
      </c>
      <c r="G1936" s="3">
        <v>2</v>
      </c>
      <c r="H1936" s="5">
        <v>180224860.25</v>
      </c>
      <c r="I1936" s="5">
        <v>127683860.25</v>
      </c>
      <c r="J1936" s="5">
        <v>0</v>
      </c>
      <c r="K1936" s="5">
        <v>52541000</v>
      </c>
      <c r="L1936" s="5">
        <v>190231000</v>
      </c>
      <c r="M1936" s="5">
        <v>-62538000</v>
      </c>
      <c r="N1936" s="5">
        <v>-42585000</v>
      </c>
    </row>
    <row r="1937" spans="1:14" x14ac:dyDescent="0.25">
      <c r="A1937" s="3" t="s">
        <v>1948</v>
      </c>
      <c r="B1937" s="4">
        <v>-6.31</v>
      </c>
      <c r="C1937" s="4">
        <v>-1.96</v>
      </c>
      <c r="D1937" s="4">
        <v>-1.02</v>
      </c>
      <c r="E1937" s="4">
        <v>-1.237344136205067E-2</v>
      </c>
      <c r="F1937" s="3">
        <v>1935</v>
      </c>
      <c r="G1937" s="3">
        <v>2</v>
      </c>
      <c r="H1937" s="5">
        <v>143831191.19999999</v>
      </c>
      <c r="I1937" s="5">
        <v>125298191.2</v>
      </c>
      <c r="J1937" s="5">
        <v>0</v>
      </c>
      <c r="K1937" s="5">
        <v>18533000</v>
      </c>
      <c r="L1937" s="5">
        <v>0</v>
      </c>
      <c r="M1937" s="5">
        <v>-19847000</v>
      </c>
      <c r="N1937" s="5">
        <v>-19000000</v>
      </c>
    </row>
    <row r="1938" spans="1:14" x14ac:dyDescent="0.25">
      <c r="A1938" s="3" t="s">
        <v>1949</v>
      </c>
      <c r="B1938" s="4">
        <v>-0.19</v>
      </c>
      <c r="C1938" s="4">
        <v>-0.68</v>
      </c>
      <c r="D1938" s="4">
        <v>-0.56999999999999995</v>
      </c>
      <c r="E1938" s="4">
        <v>-1.237604735482368E-2</v>
      </c>
      <c r="F1938" s="3">
        <v>1936</v>
      </c>
      <c r="G1938" s="3">
        <v>2</v>
      </c>
      <c r="H1938" s="5">
        <v>20488918.32</v>
      </c>
      <c r="I1938" s="5">
        <v>4279918.32</v>
      </c>
      <c r="J1938" s="5">
        <v>0</v>
      </c>
      <c r="K1938" s="5">
        <v>16209000</v>
      </c>
      <c r="L1938" s="5">
        <v>1000000</v>
      </c>
      <c r="M1938" s="5">
        <v>-22235000</v>
      </c>
      <c r="N1938" s="5">
        <v>-19985000</v>
      </c>
    </row>
    <row r="1939" spans="1:14" x14ac:dyDescent="0.25">
      <c r="A1939" s="3" t="s">
        <v>1950</v>
      </c>
      <c r="B1939" s="4">
        <v>1.24</v>
      </c>
      <c r="C1939" s="4">
        <v>-0.39</v>
      </c>
      <c r="D1939" s="4">
        <v>-0.38</v>
      </c>
      <c r="E1939" s="4">
        <v>-1.2386537661113859E-2</v>
      </c>
      <c r="F1939" s="3">
        <v>1937</v>
      </c>
      <c r="G1939" s="3">
        <v>2</v>
      </c>
      <c r="H1939" s="5">
        <v>11.132208</v>
      </c>
      <c r="I1939" s="5">
        <v>-312628.867792</v>
      </c>
      <c r="J1939" s="5">
        <v>0</v>
      </c>
      <c r="K1939" s="5">
        <v>312640</v>
      </c>
      <c r="L1939" s="5">
        <v>51330</v>
      </c>
      <c r="M1939" s="5">
        <v>-252970</v>
      </c>
      <c r="N1939" s="5">
        <v>-409160</v>
      </c>
    </row>
    <row r="1940" spans="1:14" x14ac:dyDescent="0.25">
      <c r="A1940" s="3" t="s">
        <v>1951</v>
      </c>
      <c r="B1940" s="4">
        <v>3.47</v>
      </c>
      <c r="C1940" s="4">
        <v>0.06</v>
      </c>
      <c r="D1940" s="4">
        <v>0.02</v>
      </c>
      <c r="E1940" s="4">
        <v>-1.238935715281129E-2</v>
      </c>
      <c r="F1940" s="3">
        <v>1938</v>
      </c>
      <c r="G1940" s="3">
        <v>2</v>
      </c>
      <c r="H1940" s="5">
        <v>8588038.0500000007</v>
      </c>
      <c r="I1940" s="5">
        <v>15959038.050000001</v>
      </c>
      <c r="J1940" s="5">
        <v>11711000</v>
      </c>
      <c r="K1940" s="5">
        <v>4340000</v>
      </c>
      <c r="L1940" s="5">
        <v>126470000</v>
      </c>
      <c r="M1940" s="5">
        <v>4601000</v>
      </c>
      <c r="N1940" s="5">
        <v>1115000</v>
      </c>
    </row>
    <row r="1941" spans="1:14" x14ac:dyDescent="0.25">
      <c r="A1941" s="3" t="s">
        <v>1952</v>
      </c>
      <c r="B1941" s="4">
        <v>3.86</v>
      </c>
      <c r="C1941" s="4">
        <v>0.14000000000000001</v>
      </c>
      <c r="D1941" s="4">
        <v>7.0000000000000007E-2</v>
      </c>
      <c r="E1941" s="4">
        <v>-1.238994218599412E-2</v>
      </c>
      <c r="F1941" s="3">
        <v>1939</v>
      </c>
      <c r="G1941" s="3">
        <v>2</v>
      </c>
      <c r="H1941" s="5">
        <v>27892400.899999999</v>
      </c>
      <c r="I1941" s="5">
        <v>91173400.900000006</v>
      </c>
      <c r="J1941" s="5">
        <v>84524000</v>
      </c>
      <c r="K1941" s="5">
        <v>21243000</v>
      </c>
      <c r="L1941" s="5">
        <v>51542000</v>
      </c>
      <c r="M1941" s="5">
        <v>23628000</v>
      </c>
      <c r="N1941" s="5">
        <v>12868000</v>
      </c>
    </row>
    <row r="1942" spans="1:14" x14ac:dyDescent="0.25">
      <c r="A1942" s="3" t="s">
        <v>1953</v>
      </c>
      <c r="B1942" s="4">
        <v>-2.99</v>
      </c>
      <c r="C1942" s="4">
        <v>-1.28</v>
      </c>
      <c r="D1942" s="4">
        <v>-0.66</v>
      </c>
      <c r="E1942" s="4">
        <v>-1.239404741970703E-2</v>
      </c>
      <c r="F1942" s="3">
        <v>1940</v>
      </c>
      <c r="G1942" s="3">
        <v>2</v>
      </c>
      <c r="H1942" s="5">
        <v>769387704.79999995</v>
      </c>
      <c r="I1942" s="5">
        <v>586911704.79999995</v>
      </c>
      <c r="J1942" s="5">
        <v>0</v>
      </c>
      <c r="K1942" s="5">
        <v>182476000</v>
      </c>
      <c r="L1942" s="5">
        <v>2983000</v>
      </c>
      <c r="M1942" s="5">
        <v>-196339000</v>
      </c>
      <c r="N1942" s="5">
        <v>-195882000</v>
      </c>
    </row>
    <row r="1943" spans="1:14" x14ac:dyDescent="0.25">
      <c r="A1943" s="3" t="s">
        <v>1954</v>
      </c>
      <c r="B1943" s="4">
        <v>3.85</v>
      </c>
      <c r="C1943" s="4">
        <v>0.14000000000000001</v>
      </c>
      <c r="D1943" s="4">
        <v>0.01</v>
      </c>
      <c r="E1943" s="4">
        <v>-1.239532713976208E-2</v>
      </c>
      <c r="F1943" s="3">
        <v>1941</v>
      </c>
      <c r="G1943" s="3">
        <v>2</v>
      </c>
      <c r="H1943" s="5">
        <v>878398513.29999995</v>
      </c>
      <c r="I1943" s="5">
        <v>650398513.29999995</v>
      </c>
      <c r="J1943" s="5">
        <v>502000000</v>
      </c>
      <c r="K1943" s="5">
        <v>730000000</v>
      </c>
      <c r="L1943" s="5">
        <v>3775000000</v>
      </c>
      <c r="M1943" s="5">
        <v>169000000</v>
      </c>
      <c r="N1943" s="5">
        <v>85000000</v>
      </c>
    </row>
    <row r="1944" spans="1:14" x14ac:dyDescent="0.25">
      <c r="A1944" s="3" t="s">
        <v>1955</v>
      </c>
      <c r="B1944" s="4">
        <v>3.69</v>
      </c>
      <c r="C1944" s="4">
        <v>0.1</v>
      </c>
      <c r="D1944" s="4">
        <v>0.06</v>
      </c>
      <c r="E1944" s="4">
        <v>-1.240222914377914E-2</v>
      </c>
      <c r="F1944" s="3">
        <v>1942</v>
      </c>
      <c r="G1944" s="3">
        <v>2</v>
      </c>
      <c r="H1944" s="5">
        <v>15321005.050000001</v>
      </c>
      <c r="I1944" s="5">
        <v>14060005.050000001</v>
      </c>
      <c r="J1944" s="5">
        <v>5220000</v>
      </c>
      <c r="K1944" s="5">
        <v>6481000</v>
      </c>
      <c r="L1944" s="5">
        <v>49960000</v>
      </c>
      <c r="M1944" s="5">
        <v>3810000</v>
      </c>
      <c r="N1944" s="5">
        <v>1848000</v>
      </c>
    </row>
    <row r="1945" spans="1:14" x14ac:dyDescent="0.25">
      <c r="A1945" s="3" t="s">
        <v>1956</v>
      </c>
      <c r="B1945" s="4">
        <v>0.63</v>
      </c>
      <c r="C1945" s="4">
        <v>-0.53</v>
      </c>
      <c r="D1945" s="4">
        <v>-0.34</v>
      </c>
      <c r="E1945" s="4">
        <v>-1.2405790505484531E-2</v>
      </c>
      <c r="F1945" s="3">
        <v>1943</v>
      </c>
      <c r="G1945" s="3">
        <v>2</v>
      </c>
      <c r="H1945" s="5">
        <v>64408972.055</v>
      </c>
      <c r="I1945" s="5">
        <v>-82208027.944999993</v>
      </c>
      <c r="J1945" s="5">
        <v>32072000</v>
      </c>
      <c r="K1945" s="5">
        <v>178689000</v>
      </c>
      <c r="L1945" s="5">
        <v>2816000</v>
      </c>
      <c r="M1945" s="5">
        <v>-130713000</v>
      </c>
      <c r="N1945" s="5">
        <v>-127499000</v>
      </c>
    </row>
    <row r="1946" spans="1:14" x14ac:dyDescent="0.25">
      <c r="A1946" s="3" t="s">
        <v>1957</v>
      </c>
      <c r="B1946" s="4">
        <v>4.46</v>
      </c>
      <c r="C1946" s="4">
        <v>0.26</v>
      </c>
      <c r="D1946" s="4">
        <v>0.1</v>
      </c>
      <c r="E1946" s="4">
        <v>-1.2408784163912751E-2</v>
      </c>
      <c r="F1946" s="3">
        <v>1944</v>
      </c>
      <c r="G1946" s="3">
        <v>2</v>
      </c>
      <c r="H1946" s="5">
        <v>8779753641.1200008</v>
      </c>
      <c r="I1946" s="5">
        <v>9945890641.1200008</v>
      </c>
      <c r="J1946" s="5">
        <v>3206971000</v>
      </c>
      <c r="K1946" s="5">
        <v>2040834000</v>
      </c>
      <c r="L1946" s="5">
        <v>17878291000</v>
      </c>
      <c r="M1946" s="5">
        <v>2227735000</v>
      </c>
      <c r="N1946" s="5">
        <v>1086438000</v>
      </c>
    </row>
    <row r="1947" spans="1:14" x14ac:dyDescent="0.25">
      <c r="A1947" s="3" t="s">
        <v>1958</v>
      </c>
      <c r="B1947" s="4">
        <v>0.06</v>
      </c>
      <c r="C1947" s="4">
        <v>-0.64</v>
      </c>
      <c r="D1947" s="4">
        <v>-0.54</v>
      </c>
      <c r="E1947" s="4">
        <v>-1.2409415989460271E-2</v>
      </c>
      <c r="F1947" s="3">
        <v>1945</v>
      </c>
      <c r="G1947" s="3">
        <v>2</v>
      </c>
      <c r="H1947" s="5">
        <v>7124495</v>
      </c>
      <c r="I1947" s="5">
        <v>-537615</v>
      </c>
      <c r="J1947" s="5">
        <v>503580</v>
      </c>
      <c r="K1947" s="5">
        <v>8165690</v>
      </c>
      <c r="L1947" s="5">
        <v>4042770</v>
      </c>
      <c r="M1947" s="5">
        <v>-8408990</v>
      </c>
      <c r="N1947" s="5">
        <v>-8647600</v>
      </c>
    </row>
    <row r="1948" spans="1:14" x14ac:dyDescent="0.25">
      <c r="A1948" s="3" t="s">
        <v>1959</v>
      </c>
      <c r="B1948" s="4">
        <v>4.13</v>
      </c>
      <c r="C1948" s="4">
        <v>0.19</v>
      </c>
      <c r="D1948" s="4">
        <v>7.0000000000000007E-2</v>
      </c>
      <c r="E1948" s="4">
        <v>-1.241258270474292E-2</v>
      </c>
      <c r="F1948" s="3">
        <v>1946</v>
      </c>
      <c r="G1948" s="3">
        <v>2</v>
      </c>
      <c r="H1948" s="5">
        <v>196888743</v>
      </c>
      <c r="I1948" s="5">
        <v>201244743</v>
      </c>
      <c r="J1948" s="5">
        <v>50000000</v>
      </c>
      <c r="K1948" s="5">
        <v>45644000</v>
      </c>
      <c r="L1948" s="5">
        <v>654693000</v>
      </c>
      <c r="M1948" s="5">
        <v>48776000</v>
      </c>
      <c r="N1948" s="5">
        <v>30759000</v>
      </c>
    </row>
    <row r="1949" spans="1:14" x14ac:dyDescent="0.25">
      <c r="A1949" s="3" t="s">
        <v>1960</v>
      </c>
      <c r="B1949" s="4">
        <v>2.89</v>
      </c>
      <c r="C1949" s="4">
        <v>-7.0000000000000007E-2</v>
      </c>
      <c r="D1949" s="4">
        <v>-0.06</v>
      </c>
      <c r="E1949" s="4">
        <v>-1.24214323261888E-2</v>
      </c>
      <c r="F1949" s="3">
        <v>1947</v>
      </c>
      <c r="G1949" s="3">
        <v>2</v>
      </c>
      <c r="H1949" s="5">
        <v>205216241.19999999</v>
      </c>
      <c r="I1949" s="5">
        <v>-811931898.79999995</v>
      </c>
      <c r="J1949" s="5">
        <v>0</v>
      </c>
      <c r="K1949" s="5">
        <v>1017148140</v>
      </c>
      <c r="L1949" s="5">
        <v>4270825460</v>
      </c>
      <c r="M1949" s="5">
        <v>-281249030</v>
      </c>
      <c r="N1949" s="5">
        <v>-306810290</v>
      </c>
    </row>
    <row r="1950" spans="1:14" x14ac:dyDescent="0.25">
      <c r="A1950" s="3" t="s">
        <v>1961</v>
      </c>
      <c r="B1950" s="4">
        <v>2.85</v>
      </c>
      <c r="C1950" s="4">
        <v>-0.08</v>
      </c>
      <c r="D1950" s="4">
        <v>-0.06</v>
      </c>
      <c r="E1950" s="4">
        <v>-1.2425569110414951E-2</v>
      </c>
      <c r="F1950" s="3">
        <v>1948</v>
      </c>
      <c r="G1950" s="3">
        <v>2</v>
      </c>
      <c r="H1950" s="5">
        <v>522720000</v>
      </c>
      <c r="I1950" s="5">
        <v>276522000</v>
      </c>
      <c r="J1950" s="5">
        <v>200395000</v>
      </c>
      <c r="K1950" s="5">
        <v>446593000</v>
      </c>
      <c r="L1950" s="5">
        <v>588017000</v>
      </c>
      <c r="M1950" s="5">
        <v>96867000</v>
      </c>
      <c r="N1950" s="5">
        <v>-86462000</v>
      </c>
    </row>
    <row r="1951" spans="1:14" x14ac:dyDescent="0.25">
      <c r="A1951" s="3" t="s">
        <v>1962</v>
      </c>
      <c r="B1951" s="4">
        <v>-1.39</v>
      </c>
      <c r="C1951" s="4">
        <v>-0.95</v>
      </c>
      <c r="D1951" s="4">
        <v>-0.69</v>
      </c>
      <c r="E1951" s="4">
        <v>-1.2436618379494819E-2</v>
      </c>
      <c r="F1951" s="3">
        <v>1949</v>
      </c>
      <c r="G1951" s="3">
        <v>2</v>
      </c>
      <c r="H1951" s="5">
        <v>41497365.689999998</v>
      </c>
      <c r="I1951" s="5">
        <v>33562365.689999998</v>
      </c>
      <c r="J1951" s="5">
        <v>0</v>
      </c>
      <c r="K1951" s="5">
        <v>7935000</v>
      </c>
      <c r="L1951" s="5">
        <v>0</v>
      </c>
      <c r="M1951" s="5">
        <v>-24146000</v>
      </c>
      <c r="N1951" s="5">
        <v>-13700000</v>
      </c>
    </row>
    <row r="1952" spans="1:14" x14ac:dyDescent="0.25">
      <c r="A1952" s="3" t="s">
        <v>1963</v>
      </c>
      <c r="B1952" s="4">
        <v>4.25</v>
      </c>
      <c r="C1952" s="4">
        <v>0.21</v>
      </c>
      <c r="D1952" s="4">
        <v>0.02</v>
      </c>
      <c r="E1952" s="4">
        <v>-1.243871109196646E-2</v>
      </c>
      <c r="F1952" s="3">
        <v>1950</v>
      </c>
      <c r="G1952" s="3">
        <v>2</v>
      </c>
      <c r="H1952" s="5">
        <v>767995033.20000005</v>
      </c>
      <c r="I1952" s="5">
        <v>449719033.19999999</v>
      </c>
      <c r="J1952" s="5">
        <v>134390000</v>
      </c>
      <c r="K1952" s="5">
        <v>452666000</v>
      </c>
      <c r="L1952" s="5">
        <v>816985000</v>
      </c>
      <c r="M1952" s="5">
        <v>105732000</v>
      </c>
      <c r="N1952" s="5">
        <v>61540000</v>
      </c>
    </row>
    <row r="1953" spans="1:14" x14ac:dyDescent="0.25">
      <c r="A1953" s="3" t="s">
        <v>1964</v>
      </c>
      <c r="B1953" s="4">
        <v>3.89</v>
      </c>
      <c r="C1953" s="4">
        <v>0.13</v>
      </c>
      <c r="D1953" s="4">
        <v>0.04</v>
      </c>
      <c r="E1953" s="4">
        <v>-1.2443190489832331E-2</v>
      </c>
      <c r="F1953" s="3">
        <v>1951</v>
      </c>
      <c r="G1953" s="3">
        <v>2</v>
      </c>
      <c r="H1953" s="5">
        <v>5571494333.25</v>
      </c>
      <c r="I1953" s="5">
        <v>7059494333.25</v>
      </c>
      <c r="J1953" s="5">
        <v>2794000000</v>
      </c>
      <c r="K1953" s="5">
        <v>1306000000</v>
      </c>
      <c r="L1953" s="5">
        <v>23006000000</v>
      </c>
      <c r="M1953" s="5">
        <v>1817000000</v>
      </c>
      <c r="N1953" s="5">
        <v>582000000</v>
      </c>
    </row>
    <row r="1954" spans="1:14" x14ac:dyDescent="0.25">
      <c r="A1954" s="3" t="s">
        <v>1965</v>
      </c>
      <c r="B1954" s="4">
        <v>4.0999999999999996</v>
      </c>
      <c r="C1954" s="4">
        <v>0.17</v>
      </c>
      <c r="D1954" s="4">
        <v>0.1</v>
      </c>
      <c r="E1954" s="4">
        <v>-1.244601522194809E-2</v>
      </c>
      <c r="F1954" s="3">
        <v>1952</v>
      </c>
      <c r="G1954" s="3">
        <v>2</v>
      </c>
      <c r="H1954" s="5">
        <v>770292312.84000003</v>
      </c>
      <c r="I1954" s="5">
        <v>763263312.84000003</v>
      </c>
      <c r="J1954" s="5">
        <v>183639000</v>
      </c>
      <c r="K1954" s="5">
        <v>190668000</v>
      </c>
      <c r="L1954" s="5">
        <v>386272000</v>
      </c>
      <c r="M1954" s="5">
        <v>186086000</v>
      </c>
      <c r="N1954" s="5">
        <v>71265000</v>
      </c>
    </row>
    <row r="1955" spans="1:14" x14ac:dyDescent="0.25">
      <c r="A1955" s="3" t="s">
        <v>1966</v>
      </c>
      <c r="B1955" s="4">
        <v>3.48</v>
      </c>
      <c r="C1955" s="4">
        <v>0.04</v>
      </c>
      <c r="D1955" s="4">
        <v>0.02</v>
      </c>
      <c r="E1955" s="4">
        <v>-1.245333357253728E-2</v>
      </c>
      <c r="F1955" s="3">
        <v>1953</v>
      </c>
      <c r="G1955" s="3">
        <v>2</v>
      </c>
      <c r="H1955" s="5">
        <v>976617288.88</v>
      </c>
      <c r="I1955" s="5">
        <v>923744288.88000011</v>
      </c>
      <c r="J1955" s="5">
        <v>315157000</v>
      </c>
      <c r="K1955" s="5">
        <v>368030000</v>
      </c>
      <c r="L1955" s="5">
        <v>1358560000</v>
      </c>
      <c r="M1955" s="5">
        <v>265116000</v>
      </c>
      <c r="N1955" s="5">
        <v>55637000</v>
      </c>
    </row>
    <row r="1956" spans="1:14" x14ac:dyDescent="0.25">
      <c r="A1956" s="3" t="s">
        <v>1967</v>
      </c>
      <c r="B1956" s="4">
        <v>3.87</v>
      </c>
      <c r="C1956" s="4">
        <v>0.12</v>
      </c>
      <c r="D1956" s="4">
        <v>0.04</v>
      </c>
      <c r="E1956" s="4">
        <v>-1.245970568545263E-2</v>
      </c>
      <c r="F1956" s="3">
        <v>1954</v>
      </c>
      <c r="G1956" s="3">
        <v>2</v>
      </c>
      <c r="H1956" s="5">
        <v>21551428.899999999</v>
      </c>
      <c r="I1956" s="5">
        <v>8450551428.8999996</v>
      </c>
      <c r="J1956" s="5">
        <v>8441000000</v>
      </c>
      <c r="K1956" s="5">
        <v>12000000</v>
      </c>
      <c r="L1956" s="5">
        <v>6209000000</v>
      </c>
      <c r="M1956" s="5">
        <v>2186000000</v>
      </c>
      <c r="N1956" s="5">
        <v>956000000</v>
      </c>
    </row>
    <row r="1957" spans="1:14" x14ac:dyDescent="0.25">
      <c r="A1957" s="3" t="s">
        <v>1968</v>
      </c>
      <c r="B1957" s="4">
        <v>4.38</v>
      </c>
      <c r="C1957" s="4">
        <v>0.22</v>
      </c>
      <c r="D1957" s="4">
        <v>0.14000000000000001</v>
      </c>
      <c r="E1957" s="4">
        <v>-1.2467128840083941E-2</v>
      </c>
      <c r="F1957" s="3">
        <v>1955</v>
      </c>
      <c r="G1957" s="3">
        <v>2</v>
      </c>
      <c r="H1957" s="5">
        <v>57433047429.040001</v>
      </c>
      <c r="I1957" s="5">
        <v>55093047429.040001</v>
      </c>
      <c r="J1957" s="5">
        <v>4752000000</v>
      </c>
      <c r="K1957" s="5">
        <v>7092000000</v>
      </c>
      <c r="L1957" s="5">
        <v>23682000000</v>
      </c>
      <c r="M1957" s="5">
        <v>12565000000</v>
      </c>
      <c r="N1957" s="5">
        <v>6403000000</v>
      </c>
    </row>
    <row r="1958" spans="1:14" x14ac:dyDescent="0.25">
      <c r="A1958" s="3" t="s">
        <v>1969</v>
      </c>
      <c r="B1958" s="4">
        <v>4.63</v>
      </c>
      <c r="C1958" s="4">
        <v>0.28000000000000003</v>
      </c>
      <c r="D1958" s="4">
        <v>0.04</v>
      </c>
      <c r="E1958" s="4">
        <v>-1.2467787606199191E-2</v>
      </c>
      <c r="F1958" s="3">
        <v>1956</v>
      </c>
      <c r="G1958" s="3">
        <v>2</v>
      </c>
      <c r="H1958" s="5">
        <v>9601895624.3999996</v>
      </c>
      <c r="I1958" s="5">
        <v>17128395624.4</v>
      </c>
      <c r="J1958" s="5">
        <v>7820100000</v>
      </c>
      <c r="K1958" s="5">
        <v>293600000</v>
      </c>
      <c r="L1958" s="5">
        <v>80390900000</v>
      </c>
      <c r="M1958" s="5">
        <v>3699600000</v>
      </c>
      <c r="N1958" s="5">
        <v>958600000</v>
      </c>
    </row>
    <row r="1959" spans="1:14" x14ac:dyDescent="0.25">
      <c r="A1959" s="3" t="s">
        <v>1970</v>
      </c>
      <c r="B1959" s="4">
        <v>2.92</v>
      </c>
      <c r="C1959" s="4">
        <v>-0.09</v>
      </c>
      <c r="D1959" s="4">
        <v>-0.02</v>
      </c>
      <c r="E1959" s="4">
        <v>-1.2490071050998929E-2</v>
      </c>
      <c r="F1959" s="3">
        <v>1957</v>
      </c>
      <c r="G1959" s="3">
        <v>2</v>
      </c>
      <c r="H1959" s="5">
        <v>26000391.969999999</v>
      </c>
      <c r="I1959" s="5">
        <v>20920391.969999999</v>
      </c>
      <c r="J1959" s="5">
        <v>5193000</v>
      </c>
      <c r="K1959" s="5">
        <v>10273000</v>
      </c>
      <c r="L1959" s="5">
        <v>183545000</v>
      </c>
      <c r="M1959" s="5">
        <v>7172000</v>
      </c>
      <c r="N1959" s="5">
        <v>-3896000</v>
      </c>
    </row>
    <row r="1960" spans="1:14" x14ac:dyDescent="0.25">
      <c r="A1960" s="3" t="s">
        <v>1971</v>
      </c>
      <c r="B1960" s="4">
        <v>0.95</v>
      </c>
      <c r="C1960" s="4">
        <v>-0.49</v>
      </c>
      <c r="D1960" s="4">
        <v>-0.35</v>
      </c>
      <c r="E1960" s="4">
        <v>-1.2490199686310681E-2</v>
      </c>
      <c r="F1960" s="3">
        <v>1958</v>
      </c>
      <c r="G1960" s="3">
        <v>2</v>
      </c>
      <c r="H1960" s="5">
        <v>42842276.399999999</v>
      </c>
      <c r="I1960" s="5">
        <v>-191301723.59999999</v>
      </c>
      <c r="J1960" s="5">
        <v>0</v>
      </c>
      <c r="K1960" s="5">
        <v>234144000</v>
      </c>
      <c r="L1960" s="5">
        <v>189212000</v>
      </c>
      <c r="M1960" s="5">
        <v>-201532000</v>
      </c>
      <c r="N1960" s="5">
        <v>-192927000</v>
      </c>
    </row>
    <row r="1961" spans="1:14" x14ac:dyDescent="0.25">
      <c r="A1961" s="3" t="s">
        <v>1972</v>
      </c>
      <c r="B1961" s="4">
        <v>4.5</v>
      </c>
      <c r="C1961" s="4">
        <v>0.24</v>
      </c>
      <c r="D1961" s="4">
        <v>0.1</v>
      </c>
      <c r="E1961" s="4">
        <v>-1.2491328200729981E-2</v>
      </c>
      <c r="F1961" s="3">
        <v>1959</v>
      </c>
      <c r="G1961" s="3">
        <v>2</v>
      </c>
      <c r="H1961" s="5">
        <v>1792948698.9400001</v>
      </c>
      <c r="I1961" s="5">
        <v>2804616698.9400001</v>
      </c>
      <c r="J1961" s="5">
        <v>1286052000</v>
      </c>
      <c r="K1961" s="5">
        <v>274384000</v>
      </c>
      <c r="L1961" s="5">
        <v>4451606000</v>
      </c>
      <c r="M1961" s="5">
        <v>623338000</v>
      </c>
      <c r="N1961" s="5">
        <v>335341000</v>
      </c>
    </row>
    <row r="1962" spans="1:14" x14ac:dyDescent="0.25">
      <c r="A1962" s="3" t="s">
        <v>1973</v>
      </c>
      <c r="B1962" s="4">
        <v>3.89</v>
      </c>
      <c r="C1962" s="4">
        <v>0.11</v>
      </c>
      <c r="D1962" s="4">
        <v>0.06</v>
      </c>
      <c r="E1962" s="4">
        <v>-1.2497119650706229E-2</v>
      </c>
      <c r="F1962" s="3">
        <v>1960</v>
      </c>
      <c r="G1962" s="3">
        <v>2</v>
      </c>
      <c r="H1962" s="5">
        <v>10085832676.620001</v>
      </c>
      <c r="I1962" s="5">
        <v>13806662676.620001</v>
      </c>
      <c r="J1962" s="5">
        <v>4200173000</v>
      </c>
      <c r="K1962" s="5">
        <v>479343000</v>
      </c>
      <c r="L1962" s="5">
        <v>5000734000</v>
      </c>
      <c r="M1962" s="5">
        <v>3548808000</v>
      </c>
      <c r="N1962" s="5">
        <v>984701000</v>
      </c>
    </row>
    <row r="1963" spans="1:14" x14ac:dyDescent="0.25">
      <c r="A1963" s="3" t="s">
        <v>1974</v>
      </c>
      <c r="B1963" s="4">
        <v>4.71</v>
      </c>
      <c r="C1963" s="4">
        <v>0.28000000000000003</v>
      </c>
      <c r="D1963" s="4">
        <v>0.14000000000000001</v>
      </c>
      <c r="E1963" s="4">
        <v>-1.249801098600075E-2</v>
      </c>
      <c r="F1963" s="3">
        <v>1961</v>
      </c>
      <c r="G1963" s="3">
        <v>2</v>
      </c>
      <c r="H1963" s="5">
        <v>92771275.790000007</v>
      </c>
      <c r="I1963" s="5">
        <v>72570275.790000007</v>
      </c>
      <c r="J1963" s="5">
        <v>0</v>
      </c>
      <c r="K1963" s="5">
        <v>20201000</v>
      </c>
      <c r="L1963" s="5">
        <v>228530000</v>
      </c>
      <c r="M1963" s="5">
        <v>15399000</v>
      </c>
      <c r="N1963" s="5">
        <v>9805000</v>
      </c>
    </row>
    <row r="1964" spans="1:14" x14ac:dyDescent="0.25">
      <c r="A1964" s="3" t="s">
        <v>1975</v>
      </c>
      <c r="B1964" s="4">
        <v>-1.06</v>
      </c>
      <c r="C1964" s="4">
        <v>-0.9</v>
      </c>
      <c r="D1964" s="4">
        <v>-0.7</v>
      </c>
      <c r="E1964" s="4">
        <v>-1.2498323159003601E-2</v>
      </c>
      <c r="F1964" s="3">
        <v>1962</v>
      </c>
      <c r="G1964" s="3">
        <v>2</v>
      </c>
      <c r="H1964" s="5">
        <v>317753281.07999998</v>
      </c>
      <c r="I1964" s="5">
        <v>212156281.08000001</v>
      </c>
      <c r="J1964" s="5">
        <v>0</v>
      </c>
      <c r="K1964" s="5">
        <v>105597000</v>
      </c>
      <c r="L1964" s="5">
        <v>61000</v>
      </c>
      <c r="M1964" s="5">
        <v>-200643000</v>
      </c>
      <c r="N1964" s="5">
        <v>-342994000</v>
      </c>
    </row>
    <row r="1965" spans="1:14" x14ac:dyDescent="0.25">
      <c r="A1965" s="3" t="s">
        <v>1976</v>
      </c>
      <c r="B1965" s="4">
        <v>3.55</v>
      </c>
      <c r="C1965" s="4">
        <v>0.04</v>
      </c>
      <c r="D1965" s="4">
        <v>0</v>
      </c>
      <c r="E1965" s="4">
        <v>-1.2500516065571839E-2</v>
      </c>
      <c r="F1965" s="3">
        <v>1963</v>
      </c>
      <c r="G1965" s="3">
        <v>2</v>
      </c>
      <c r="H1965" s="5">
        <v>3517418737.25</v>
      </c>
      <c r="I1965" s="5">
        <v>2987418737.25</v>
      </c>
      <c r="J1965" s="5">
        <v>1518000000</v>
      </c>
      <c r="K1965" s="5">
        <v>2048000000</v>
      </c>
      <c r="L1965" s="5">
        <v>7178000000</v>
      </c>
      <c r="M1965" s="5">
        <v>842000000</v>
      </c>
      <c r="N1965" s="5">
        <v>299000000</v>
      </c>
    </row>
    <row r="1966" spans="1:14" x14ac:dyDescent="0.25">
      <c r="A1966" s="3" t="s">
        <v>1977</v>
      </c>
      <c r="B1966" s="4">
        <v>-0.15</v>
      </c>
      <c r="C1966" s="4">
        <v>-0.72</v>
      </c>
      <c r="D1966" s="4">
        <v>-0.57999999999999996</v>
      </c>
      <c r="E1966" s="4">
        <v>-1.251830763224733E-2</v>
      </c>
      <c r="F1966" s="3">
        <v>1964</v>
      </c>
      <c r="G1966" s="3">
        <v>2</v>
      </c>
      <c r="H1966" s="5">
        <v>44670946.600000001</v>
      </c>
      <c r="I1966" s="5">
        <v>13249946.6</v>
      </c>
      <c r="J1966" s="5">
        <v>10328000</v>
      </c>
      <c r="K1966" s="5">
        <v>41749000</v>
      </c>
      <c r="L1966" s="5">
        <v>0</v>
      </c>
      <c r="M1966" s="5">
        <v>-88095000</v>
      </c>
      <c r="N1966" s="5">
        <v>-83736000</v>
      </c>
    </row>
    <row r="1967" spans="1:14" x14ac:dyDescent="0.25">
      <c r="A1967" s="3" t="s">
        <v>1978</v>
      </c>
      <c r="B1967" s="4">
        <v>-1.04</v>
      </c>
      <c r="C1967" s="4">
        <v>-0.91</v>
      </c>
      <c r="D1967" s="4">
        <v>-0.66</v>
      </c>
      <c r="E1967" s="4">
        <v>-1.2531879071102189E-2</v>
      </c>
      <c r="F1967" s="3">
        <v>1965</v>
      </c>
      <c r="G1967" s="3">
        <v>2</v>
      </c>
      <c r="H1967" s="5">
        <v>79741522.749200001</v>
      </c>
      <c r="I1967" s="5">
        <v>70114522.749200001</v>
      </c>
      <c r="J1967" s="5">
        <v>1428000</v>
      </c>
      <c r="K1967" s="5">
        <v>11055000</v>
      </c>
      <c r="L1967" s="5">
        <v>235000</v>
      </c>
      <c r="M1967" s="5">
        <v>-67206000</v>
      </c>
      <c r="N1967" s="5">
        <v>-64023000</v>
      </c>
    </row>
    <row r="1968" spans="1:14" x14ac:dyDescent="0.25">
      <c r="A1968" s="3" t="s">
        <v>1979</v>
      </c>
      <c r="B1968" s="4">
        <v>4.3600000000000003</v>
      </c>
      <c r="C1968" s="4">
        <v>0.19</v>
      </c>
      <c r="D1968" s="4">
        <v>0.15</v>
      </c>
      <c r="E1968" s="4">
        <v>-1.2539502223155649E-2</v>
      </c>
      <c r="F1968" s="3">
        <v>1966</v>
      </c>
      <c r="G1968" s="3">
        <v>2</v>
      </c>
      <c r="H1968" s="5">
        <v>21384642.300000001</v>
      </c>
      <c r="I1968" s="5">
        <v>19892642.300000001</v>
      </c>
      <c r="J1968" s="5">
        <v>0</v>
      </c>
      <c r="K1968" s="5">
        <v>1492000</v>
      </c>
      <c r="L1968" s="5">
        <v>21446000</v>
      </c>
      <c r="M1968" s="5">
        <v>4563000</v>
      </c>
      <c r="N1968" s="5">
        <v>4630000</v>
      </c>
    </row>
    <row r="1969" spans="1:14" x14ac:dyDescent="0.25">
      <c r="A1969" s="3" t="s">
        <v>1980</v>
      </c>
      <c r="B1969" s="4">
        <v>-0.28999999999999998</v>
      </c>
      <c r="C1969" s="4">
        <v>-0.78</v>
      </c>
      <c r="D1969" s="4">
        <v>-0.25</v>
      </c>
      <c r="E1969" s="4">
        <v>-1.25413625175173E-2</v>
      </c>
      <c r="F1969" s="3">
        <v>1967</v>
      </c>
      <c r="G1969" s="3">
        <v>2</v>
      </c>
      <c r="H1969" s="5">
        <v>6203116.4000000004</v>
      </c>
      <c r="I1969" s="5">
        <v>1049116.3999999999</v>
      </c>
      <c r="J1969" s="5">
        <v>220000</v>
      </c>
      <c r="K1969" s="5">
        <v>5374000</v>
      </c>
      <c r="L1969" s="5">
        <v>14288000</v>
      </c>
      <c r="M1969" s="5">
        <v>-3572000</v>
      </c>
      <c r="N1969" s="5">
        <v>-3457000</v>
      </c>
    </row>
    <row r="1970" spans="1:14" x14ac:dyDescent="0.25">
      <c r="A1970" s="3" t="s">
        <v>1981</v>
      </c>
      <c r="B1970" s="4">
        <v>7.06</v>
      </c>
      <c r="C1970" s="4">
        <v>0.77</v>
      </c>
      <c r="D1970" s="4">
        <v>0.11</v>
      </c>
      <c r="E1970" s="4">
        <v>-1.254247466083803E-2</v>
      </c>
      <c r="F1970" s="3">
        <v>1968</v>
      </c>
      <c r="G1970" s="3">
        <v>2</v>
      </c>
      <c r="H1970" s="5">
        <v>18334568700</v>
      </c>
      <c r="I1970" s="5">
        <v>28488568700</v>
      </c>
      <c r="J1970" s="5">
        <v>13173000000</v>
      </c>
      <c r="K1970" s="5">
        <v>3019000000</v>
      </c>
      <c r="L1970" s="5">
        <v>20665000000</v>
      </c>
      <c r="M1970" s="5">
        <v>4034000000</v>
      </c>
      <c r="N1970" s="5">
        <v>3200000000</v>
      </c>
    </row>
    <row r="1971" spans="1:14" x14ac:dyDescent="0.25">
      <c r="A1971" s="3" t="s">
        <v>1982</v>
      </c>
      <c r="B1971" s="4">
        <v>-3.52</v>
      </c>
      <c r="C1971" s="4">
        <v>-1.45</v>
      </c>
      <c r="D1971" s="4">
        <v>-0.59</v>
      </c>
      <c r="E1971" s="4">
        <v>-1.254370765096517E-2</v>
      </c>
      <c r="F1971" s="3">
        <v>1969</v>
      </c>
      <c r="G1971" s="3">
        <v>2</v>
      </c>
      <c r="H1971" s="5">
        <v>223574430.03999999</v>
      </c>
      <c r="I1971" s="5">
        <v>219180430.03999999</v>
      </c>
      <c r="J1971" s="5">
        <v>18963000</v>
      </c>
      <c r="K1971" s="5">
        <v>23357000</v>
      </c>
      <c r="L1971" s="5">
        <v>0</v>
      </c>
      <c r="M1971" s="5">
        <v>-62207000</v>
      </c>
      <c r="N1971" s="5">
        <v>-63734000</v>
      </c>
    </row>
    <row r="1972" spans="1:14" x14ac:dyDescent="0.25">
      <c r="A1972" s="3" t="s">
        <v>1983</v>
      </c>
      <c r="B1972" s="4">
        <v>3.39</v>
      </c>
      <c r="C1972" s="4">
        <v>-0.01</v>
      </c>
      <c r="D1972" s="4">
        <v>0</v>
      </c>
      <c r="E1972" s="4">
        <v>-1.254595680949089E-2</v>
      </c>
      <c r="F1972" s="3">
        <v>1970</v>
      </c>
      <c r="G1972" s="3">
        <v>2</v>
      </c>
      <c r="H1972" s="5">
        <v>22449089.655000001</v>
      </c>
      <c r="I1972" s="5">
        <v>2739636089.6550002</v>
      </c>
      <c r="J1972" s="5">
        <v>3075621000</v>
      </c>
      <c r="K1972" s="5">
        <v>358434000</v>
      </c>
      <c r="L1972" s="5">
        <v>3248442000</v>
      </c>
      <c r="M1972" s="5">
        <v>808281000</v>
      </c>
      <c r="N1972" s="5">
        <v>-20556000</v>
      </c>
    </row>
    <row r="1973" spans="1:14" x14ac:dyDescent="0.25">
      <c r="A1973" s="3" t="s">
        <v>1984</v>
      </c>
      <c r="B1973" s="4">
        <v>1.72</v>
      </c>
      <c r="C1973" s="4">
        <v>-0.38</v>
      </c>
      <c r="D1973" s="4">
        <v>0.18</v>
      </c>
      <c r="E1973" s="4">
        <v>-1.2546700439218791E-2</v>
      </c>
      <c r="F1973" s="3">
        <v>1971</v>
      </c>
      <c r="G1973" s="3">
        <v>2</v>
      </c>
      <c r="H1973" s="5">
        <v>427357.45919999998</v>
      </c>
      <c r="I1973" s="5">
        <v>989257.45919999992</v>
      </c>
      <c r="J1973" s="5">
        <v>912790</v>
      </c>
      <c r="K1973" s="5">
        <v>350890</v>
      </c>
      <c r="L1973" s="5">
        <v>4365120</v>
      </c>
      <c r="M1973" s="5">
        <v>575030</v>
      </c>
      <c r="N1973" s="5">
        <v>241740</v>
      </c>
    </row>
    <row r="1974" spans="1:14" x14ac:dyDescent="0.25">
      <c r="A1974" s="3" t="s">
        <v>1985</v>
      </c>
      <c r="B1974" s="4">
        <v>2.4</v>
      </c>
      <c r="C1974" s="4">
        <v>-0.21</v>
      </c>
      <c r="D1974" s="4">
        <v>-0.19</v>
      </c>
      <c r="E1974" s="4">
        <v>-1.2547749090741991E-2</v>
      </c>
      <c r="F1974" s="3">
        <v>1972</v>
      </c>
      <c r="G1974" s="3">
        <v>2</v>
      </c>
      <c r="H1974" s="5">
        <v>64633989.719999999</v>
      </c>
      <c r="I1974" s="5">
        <v>-97793010.280000001</v>
      </c>
      <c r="J1974" s="5">
        <v>10250000</v>
      </c>
      <c r="K1974" s="5">
        <v>172677000</v>
      </c>
      <c r="L1974" s="5">
        <v>0</v>
      </c>
      <c r="M1974" s="5">
        <v>-40726000</v>
      </c>
      <c r="N1974" s="5">
        <v>-38531000</v>
      </c>
    </row>
    <row r="1975" spans="1:14" x14ac:dyDescent="0.25">
      <c r="A1975" s="3" t="s">
        <v>1986</v>
      </c>
      <c r="B1975" s="4">
        <v>4.6399999999999997</v>
      </c>
      <c r="C1975" s="4">
        <v>0.25</v>
      </c>
      <c r="D1975" s="4">
        <v>0.04</v>
      </c>
      <c r="E1975" s="4">
        <v>-1.2560657632939639E-2</v>
      </c>
      <c r="F1975" s="3">
        <v>1973</v>
      </c>
      <c r="G1975" s="3">
        <v>2</v>
      </c>
      <c r="H1975" s="5">
        <v>15005557243.049999</v>
      </c>
      <c r="I1975" s="5">
        <v>32618198243.049999</v>
      </c>
      <c r="J1975" s="5">
        <v>21060825000</v>
      </c>
      <c r="K1975" s="5">
        <v>3448184000</v>
      </c>
      <c r="L1975" s="5">
        <v>77182547000</v>
      </c>
      <c r="M1975" s="5">
        <v>7030057000</v>
      </c>
      <c r="N1975" s="5">
        <v>1766870000</v>
      </c>
    </row>
    <row r="1976" spans="1:14" x14ac:dyDescent="0.25">
      <c r="A1976" s="3" t="s">
        <v>1987</v>
      </c>
      <c r="B1976" s="4">
        <v>-0.21</v>
      </c>
      <c r="C1976" s="4">
        <v>-0.76</v>
      </c>
      <c r="D1976" s="4">
        <v>-0.4</v>
      </c>
      <c r="E1976" s="4">
        <v>-1.256202434772759E-2</v>
      </c>
      <c r="F1976" s="3">
        <v>1974</v>
      </c>
      <c r="G1976" s="3">
        <v>2</v>
      </c>
      <c r="H1976" s="5">
        <v>651355137.26999998</v>
      </c>
      <c r="I1976" s="5">
        <v>90118137.269999981</v>
      </c>
      <c r="J1976" s="5">
        <v>335000</v>
      </c>
      <c r="K1976" s="5">
        <v>561572000</v>
      </c>
      <c r="L1976" s="5">
        <v>227043000</v>
      </c>
      <c r="M1976" s="5">
        <v>-420290000</v>
      </c>
      <c r="N1976" s="5">
        <v>-547029000</v>
      </c>
    </row>
    <row r="1977" spans="1:14" x14ac:dyDescent="0.25">
      <c r="A1977" s="3" t="s">
        <v>1988</v>
      </c>
      <c r="B1977" s="4">
        <v>7.59</v>
      </c>
      <c r="C1977" s="4">
        <v>0.88</v>
      </c>
      <c r="D1977" s="4">
        <v>0.02</v>
      </c>
      <c r="E1977" s="4">
        <v>-1.257003412482165E-2</v>
      </c>
      <c r="F1977" s="3">
        <v>1975</v>
      </c>
      <c r="G1977" s="3">
        <v>2</v>
      </c>
      <c r="H1977" s="5">
        <v>4743667883.96</v>
      </c>
      <c r="I1977" s="5">
        <v>7244567883.9599991</v>
      </c>
      <c r="J1977" s="5">
        <v>3896200000</v>
      </c>
      <c r="K1977" s="5">
        <v>1395300000</v>
      </c>
      <c r="L1977" s="5">
        <v>5011900000</v>
      </c>
      <c r="M1977" s="5">
        <v>954300000</v>
      </c>
      <c r="N1977" s="5">
        <v>162900000</v>
      </c>
    </row>
    <row r="1978" spans="1:14" x14ac:dyDescent="0.25">
      <c r="A1978" s="3" t="s">
        <v>1989</v>
      </c>
      <c r="B1978" s="4">
        <v>4.01</v>
      </c>
      <c r="C1978" s="4">
        <v>0.11</v>
      </c>
      <c r="D1978" s="4">
        <v>0.06</v>
      </c>
      <c r="E1978" s="4">
        <v>-1.2571390119071159E-2</v>
      </c>
      <c r="F1978" s="3">
        <v>1976</v>
      </c>
      <c r="G1978" s="3">
        <v>2</v>
      </c>
      <c r="H1978" s="5">
        <v>186610879.52000001</v>
      </c>
      <c r="I1978" s="5">
        <v>439171879.51999998</v>
      </c>
      <c r="J1978" s="5">
        <v>320717000</v>
      </c>
      <c r="K1978" s="5">
        <v>68156000</v>
      </c>
      <c r="L1978" s="5">
        <v>156403000</v>
      </c>
      <c r="M1978" s="5">
        <v>109570000</v>
      </c>
      <c r="N1978" s="5">
        <v>51591000</v>
      </c>
    </row>
    <row r="1979" spans="1:14" x14ac:dyDescent="0.25">
      <c r="A1979" s="3" t="s">
        <v>1990</v>
      </c>
      <c r="B1979" s="4">
        <v>5.55</v>
      </c>
      <c r="C1979" s="4">
        <v>0.43</v>
      </c>
      <c r="D1979" s="4">
        <v>0.16</v>
      </c>
      <c r="E1979" s="4">
        <v>-1.2580642106183371E-2</v>
      </c>
      <c r="F1979" s="3">
        <v>1977</v>
      </c>
      <c r="G1979" s="3">
        <v>2</v>
      </c>
      <c r="H1979" s="5">
        <v>364919990.81999999</v>
      </c>
      <c r="I1979" s="5">
        <v>637919990.81999993</v>
      </c>
      <c r="J1979" s="5">
        <v>639000000</v>
      </c>
      <c r="K1979" s="5">
        <v>366000000</v>
      </c>
      <c r="L1979" s="5">
        <v>3356000000</v>
      </c>
      <c r="M1979" s="5">
        <v>115000000</v>
      </c>
      <c r="N1979" s="5">
        <v>426000000</v>
      </c>
    </row>
    <row r="1980" spans="1:14" x14ac:dyDescent="0.25">
      <c r="A1980" s="3" t="s">
        <v>1991</v>
      </c>
      <c r="B1980" s="4">
        <v>3.89</v>
      </c>
      <c r="C1980" s="4">
        <v>0.08</v>
      </c>
      <c r="D1980" s="4">
        <v>7.0000000000000007E-2</v>
      </c>
      <c r="E1980" s="4">
        <v>-1.25818714451721E-2</v>
      </c>
      <c r="F1980" s="3">
        <v>1978</v>
      </c>
      <c r="G1980" s="3">
        <v>2</v>
      </c>
      <c r="H1980" s="5">
        <v>1193307909.75</v>
      </c>
      <c r="I1980" s="5">
        <v>871413909.75</v>
      </c>
      <c r="J1980" s="5">
        <v>4081000</v>
      </c>
      <c r="K1980" s="5">
        <v>325975000</v>
      </c>
      <c r="L1980" s="5">
        <v>1414999000</v>
      </c>
      <c r="M1980" s="5">
        <v>223757000</v>
      </c>
      <c r="N1980" s="5">
        <v>91444000</v>
      </c>
    </row>
    <row r="1981" spans="1:14" x14ac:dyDescent="0.25">
      <c r="A1981" s="3" t="s">
        <v>1992</v>
      </c>
      <c r="B1981" s="4">
        <v>-0.49</v>
      </c>
      <c r="C1981" s="4">
        <v>-0.82</v>
      </c>
      <c r="D1981" s="4">
        <v>-0.54</v>
      </c>
      <c r="E1981" s="4">
        <v>-1.258909460238126E-2</v>
      </c>
      <c r="F1981" s="3">
        <v>1979</v>
      </c>
      <c r="G1981" s="3">
        <v>2</v>
      </c>
      <c r="H1981" s="5">
        <v>102171354.2</v>
      </c>
      <c r="I1981" s="5">
        <v>52996354.200000003</v>
      </c>
      <c r="J1981" s="5">
        <v>11792000</v>
      </c>
      <c r="K1981" s="5">
        <v>60967000</v>
      </c>
      <c r="L1981" s="5">
        <v>187932000</v>
      </c>
      <c r="M1981" s="5">
        <v>-109056000</v>
      </c>
      <c r="N1981" s="5">
        <v>-207326000</v>
      </c>
    </row>
    <row r="1982" spans="1:14" x14ac:dyDescent="0.25">
      <c r="A1982" s="3" t="s">
        <v>1993</v>
      </c>
      <c r="B1982" s="4">
        <v>3.9</v>
      </c>
      <c r="C1982" s="4">
        <v>0.08</v>
      </c>
      <c r="D1982" s="4">
        <v>0.06</v>
      </c>
      <c r="E1982" s="4">
        <v>-1.258998967744668E-2</v>
      </c>
      <c r="F1982" s="3">
        <v>1980</v>
      </c>
      <c r="G1982" s="3">
        <v>2</v>
      </c>
      <c r="H1982" s="5">
        <v>170394615.27000001</v>
      </c>
      <c r="I1982" s="5">
        <v>60853615.270000011</v>
      </c>
      <c r="J1982" s="5">
        <v>0</v>
      </c>
      <c r="K1982" s="5">
        <v>109541000</v>
      </c>
      <c r="L1982" s="5">
        <v>243339000</v>
      </c>
      <c r="M1982" s="5">
        <v>15610000</v>
      </c>
      <c r="N1982" s="5">
        <v>15503000</v>
      </c>
    </row>
    <row r="1983" spans="1:14" x14ac:dyDescent="0.25">
      <c r="A1983" s="3" t="s">
        <v>1994</v>
      </c>
      <c r="B1983" s="4">
        <v>0.22</v>
      </c>
      <c r="C1983" s="4">
        <v>-0.69</v>
      </c>
      <c r="D1983" s="4">
        <v>-0.22</v>
      </c>
      <c r="E1983" s="4">
        <v>-1.259118246520561E-2</v>
      </c>
      <c r="F1983" s="3">
        <v>1981</v>
      </c>
      <c r="G1983" s="3">
        <v>2</v>
      </c>
      <c r="H1983" s="5">
        <v>1908514.2420000001</v>
      </c>
      <c r="I1983" s="5">
        <v>-9280485.7580000013</v>
      </c>
      <c r="J1983" s="5">
        <v>79181000</v>
      </c>
      <c r="K1983" s="5">
        <v>90370000</v>
      </c>
      <c r="L1983" s="5">
        <v>174624000</v>
      </c>
      <c r="M1983" s="5">
        <v>-41349000</v>
      </c>
      <c r="N1983" s="5">
        <v>-69251000</v>
      </c>
    </row>
    <row r="1984" spans="1:14" x14ac:dyDescent="0.25">
      <c r="A1984" s="3" t="s">
        <v>1995</v>
      </c>
      <c r="B1984" s="4">
        <v>3.03</v>
      </c>
      <c r="C1984" s="4">
        <v>-0.1</v>
      </c>
      <c r="D1984" s="4">
        <v>-0.06</v>
      </c>
      <c r="E1984" s="4">
        <v>-1.2594762026991261E-2</v>
      </c>
      <c r="F1984" s="3">
        <v>1982</v>
      </c>
      <c r="G1984" s="3">
        <v>2</v>
      </c>
      <c r="H1984" s="5">
        <v>22616885.98</v>
      </c>
      <c r="I1984" s="5">
        <v>-21296114.02</v>
      </c>
      <c r="J1984" s="5">
        <v>0</v>
      </c>
      <c r="K1984" s="5">
        <v>43913000</v>
      </c>
      <c r="L1984" s="5">
        <v>10878000</v>
      </c>
      <c r="M1984" s="5">
        <v>-7031000</v>
      </c>
      <c r="N1984" s="5">
        <v>-4368000</v>
      </c>
    </row>
    <row r="1985" spans="1:14" x14ac:dyDescent="0.25">
      <c r="A1985" s="3" t="s">
        <v>1996</v>
      </c>
      <c r="B1985" s="4">
        <v>-15.36</v>
      </c>
      <c r="C1985" s="4">
        <v>-4</v>
      </c>
      <c r="D1985" s="4">
        <v>-0.65</v>
      </c>
      <c r="E1985" s="4">
        <v>-1.259513205377729E-2</v>
      </c>
      <c r="F1985" s="3">
        <v>1983</v>
      </c>
      <c r="G1985" s="3">
        <v>2</v>
      </c>
      <c r="H1985" s="5">
        <v>70230147.209999993</v>
      </c>
      <c r="I1985" s="5">
        <v>71772067.209999993</v>
      </c>
      <c r="J1985" s="5">
        <v>1790300</v>
      </c>
      <c r="K1985" s="5">
        <v>248380</v>
      </c>
      <c r="L1985" s="5">
        <v>509590</v>
      </c>
      <c r="M1985" s="5">
        <v>-4673210</v>
      </c>
      <c r="N1985" s="5">
        <v>-4902880</v>
      </c>
    </row>
    <row r="1986" spans="1:14" x14ac:dyDescent="0.25">
      <c r="A1986" s="3" t="s">
        <v>1997</v>
      </c>
      <c r="B1986" s="4">
        <v>0.66</v>
      </c>
      <c r="C1986" s="4">
        <v>-0.57999999999999996</v>
      </c>
      <c r="D1986" s="4">
        <v>-0.49</v>
      </c>
      <c r="E1986" s="4">
        <v>-1.2597761556310641E-2</v>
      </c>
      <c r="F1986" s="3">
        <v>1984</v>
      </c>
      <c r="G1986" s="3">
        <v>2</v>
      </c>
      <c r="H1986" s="5">
        <v>11866274.361</v>
      </c>
      <c r="I1986" s="5">
        <v>-7326165.6390000004</v>
      </c>
      <c r="J1986" s="5">
        <v>0</v>
      </c>
      <c r="K1986" s="5">
        <v>19192440</v>
      </c>
      <c r="L1986" s="5">
        <v>6591080</v>
      </c>
      <c r="M1986" s="5">
        <v>-11118370</v>
      </c>
      <c r="N1986" s="5">
        <v>-10731320</v>
      </c>
    </row>
    <row r="1987" spans="1:14" x14ac:dyDescent="0.25">
      <c r="A1987" s="3" t="s">
        <v>1998</v>
      </c>
      <c r="B1987" s="4">
        <v>3.53</v>
      </c>
      <c r="C1987" s="4">
        <v>0</v>
      </c>
      <c r="D1987" s="4">
        <v>0</v>
      </c>
      <c r="E1987" s="4">
        <v>-1.260371208223552E-2</v>
      </c>
      <c r="F1987" s="3">
        <v>1985</v>
      </c>
      <c r="G1987" s="3">
        <v>2</v>
      </c>
      <c r="H1987" s="5">
        <v>839987003.84000003</v>
      </c>
      <c r="I1987" s="5">
        <v>952987003.84000015</v>
      </c>
      <c r="J1987" s="5">
        <v>279000000</v>
      </c>
      <c r="K1987" s="5">
        <v>166000000</v>
      </c>
      <c r="L1987" s="5">
        <v>6990000000</v>
      </c>
      <c r="M1987" s="5">
        <v>270000000</v>
      </c>
      <c r="N1987" s="5">
        <v>-3000000</v>
      </c>
    </row>
    <row r="1988" spans="1:14" x14ac:dyDescent="0.25">
      <c r="A1988" s="3" t="s">
        <v>1999</v>
      </c>
      <c r="B1988" s="4">
        <v>4.55</v>
      </c>
      <c r="C1988" s="4">
        <v>0.21</v>
      </c>
      <c r="D1988" s="4">
        <v>0.06</v>
      </c>
      <c r="E1988" s="4">
        <v>-1.2616671156568759E-2</v>
      </c>
      <c r="F1988" s="3">
        <v>1986</v>
      </c>
      <c r="G1988" s="3">
        <v>2</v>
      </c>
      <c r="H1988" s="5">
        <v>30445675.050000001</v>
      </c>
      <c r="I1988" s="5">
        <v>61024475.049999997</v>
      </c>
      <c r="J1988" s="5">
        <v>32980300</v>
      </c>
      <c r="K1988" s="5">
        <v>2401500</v>
      </c>
      <c r="L1988" s="5">
        <v>183669330</v>
      </c>
      <c r="M1988" s="5">
        <v>13417510</v>
      </c>
      <c r="N1988" s="5">
        <v>13251750</v>
      </c>
    </row>
    <row r="1989" spans="1:14" x14ac:dyDescent="0.25">
      <c r="A1989" s="3" t="s">
        <v>2000</v>
      </c>
      <c r="B1989" s="4">
        <v>4.1900000000000004</v>
      </c>
      <c r="C1989" s="4">
        <v>0.13</v>
      </c>
      <c r="D1989" s="4">
        <v>0.09</v>
      </c>
      <c r="E1989" s="4">
        <v>-1.2619221527857121E-2</v>
      </c>
      <c r="F1989" s="3">
        <v>1987</v>
      </c>
      <c r="G1989" s="3">
        <v>2</v>
      </c>
      <c r="H1989" s="5">
        <v>120226299.59999999</v>
      </c>
      <c r="I1989" s="5">
        <v>80634299.599999994</v>
      </c>
      <c r="J1989" s="5">
        <v>3423100</v>
      </c>
      <c r="K1989" s="5">
        <v>43015100</v>
      </c>
      <c r="L1989" s="5">
        <v>164145270</v>
      </c>
      <c r="M1989" s="5">
        <v>19236840</v>
      </c>
      <c r="N1989" s="5">
        <v>10306740</v>
      </c>
    </row>
    <row r="1990" spans="1:14" x14ac:dyDescent="0.25">
      <c r="A1990" s="3" t="s">
        <v>2001</v>
      </c>
      <c r="B1990" s="4">
        <v>-2.83</v>
      </c>
      <c r="C1990" s="4">
        <v>-1.33</v>
      </c>
      <c r="D1990" s="4">
        <v>-0.56999999999999995</v>
      </c>
      <c r="E1990" s="4">
        <v>-1.2620181506735009E-2</v>
      </c>
      <c r="F1990" s="3">
        <v>1988</v>
      </c>
      <c r="G1990" s="3">
        <v>2</v>
      </c>
      <c r="H1990" s="5">
        <v>87088680</v>
      </c>
      <c r="I1990" s="5">
        <v>68736680</v>
      </c>
      <c r="J1990" s="5">
        <v>0</v>
      </c>
      <c r="K1990" s="5">
        <v>18352000</v>
      </c>
      <c r="L1990" s="5">
        <v>0</v>
      </c>
      <c r="M1990" s="5">
        <v>-24277000</v>
      </c>
      <c r="N1990" s="5">
        <v>-23486000</v>
      </c>
    </row>
    <row r="1991" spans="1:14" x14ac:dyDescent="0.25">
      <c r="A1991" s="3" t="s">
        <v>2002</v>
      </c>
      <c r="B1991" s="4">
        <v>4.01</v>
      </c>
      <c r="C1991" s="4">
        <v>0.09</v>
      </c>
      <c r="D1991" s="4">
        <v>0.08</v>
      </c>
      <c r="E1991" s="4">
        <v>-1.262531927994506E-2</v>
      </c>
      <c r="F1991" s="3">
        <v>1989</v>
      </c>
      <c r="G1991" s="3">
        <v>2</v>
      </c>
      <c r="H1991" s="5">
        <v>19416540</v>
      </c>
      <c r="I1991" s="5">
        <v>17662580</v>
      </c>
      <c r="J1991" s="5">
        <v>0</v>
      </c>
      <c r="K1991" s="5">
        <v>1753960</v>
      </c>
      <c r="L1991" s="5">
        <v>7358070</v>
      </c>
      <c r="M1991" s="5">
        <v>4402910</v>
      </c>
      <c r="N1991" s="5">
        <v>1712370</v>
      </c>
    </row>
    <row r="1992" spans="1:14" x14ac:dyDescent="0.25">
      <c r="A1992" s="3" t="s">
        <v>2003</v>
      </c>
      <c r="B1992" s="4">
        <v>-0.15</v>
      </c>
      <c r="C1992" s="4">
        <v>1.33</v>
      </c>
      <c r="D1992" s="4">
        <v>-31.86</v>
      </c>
      <c r="E1992" s="4">
        <v>-1.2629113328721801E-2</v>
      </c>
      <c r="F1992" s="3">
        <v>1990</v>
      </c>
      <c r="G1992" s="3">
        <v>2</v>
      </c>
      <c r="H1992" s="5">
        <v>49.349749000000003</v>
      </c>
      <c r="I1992" s="5">
        <v>2030889.349749</v>
      </c>
      <c r="J1992" s="5">
        <v>2097830</v>
      </c>
      <c r="K1992" s="5">
        <v>66990</v>
      </c>
      <c r="L1992" s="5">
        <v>0</v>
      </c>
      <c r="M1992" s="5">
        <v>-13404180</v>
      </c>
      <c r="N1992" s="5">
        <v>-11507960</v>
      </c>
    </row>
    <row r="1993" spans="1:14" x14ac:dyDescent="0.25">
      <c r="A1993" s="3" t="s">
        <v>2004</v>
      </c>
      <c r="B1993" s="4">
        <v>-0.53</v>
      </c>
      <c r="C1993" s="4">
        <v>-0.86</v>
      </c>
      <c r="D1993" s="4">
        <v>-0.28000000000000003</v>
      </c>
      <c r="E1993" s="4">
        <v>-1.262975751663562E-2</v>
      </c>
      <c r="F1993" s="3">
        <v>1991</v>
      </c>
      <c r="G1993" s="3">
        <v>2</v>
      </c>
      <c r="H1993" s="5">
        <v>4351.7191999999995</v>
      </c>
      <c r="I1993" s="5">
        <v>476771.71919999999</v>
      </c>
      <c r="J1993" s="5">
        <v>472980</v>
      </c>
      <c r="K1993" s="5">
        <v>560</v>
      </c>
      <c r="L1993" s="5">
        <v>981700</v>
      </c>
      <c r="M1993" s="5">
        <v>-904350</v>
      </c>
      <c r="N1993" s="5">
        <v>-1221150</v>
      </c>
    </row>
    <row r="1994" spans="1:14" x14ac:dyDescent="0.25">
      <c r="A1994" s="3" t="s">
        <v>2005</v>
      </c>
      <c r="B1994" s="4">
        <v>3.95</v>
      </c>
      <c r="C1994" s="4">
        <v>0.08</v>
      </c>
      <c r="D1994" s="4">
        <v>0</v>
      </c>
      <c r="E1994" s="4">
        <v>-1.263250986539711E-2</v>
      </c>
      <c r="F1994" s="3">
        <v>1992</v>
      </c>
      <c r="G1994" s="3">
        <v>2</v>
      </c>
      <c r="H1994" s="5">
        <v>3399212896.5599999</v>
      </c>
      <c r="I1994" s="5">
        <v>10671212896.559999</v>
      </c>
      <c r="J1994" s="5">
        <v>7621000000</v>
      </c>
      <c r="K1994" s="5">
        <v>349000000</v>
      </c>
      <c r="L1994" s="5">
        <v>50073000000</v>
      </c>
      <c r="M1994" s="5">
        <v>2703000000</v>
      </c>
      <c r="N1994" s="5">
        <v>103000000</v>
      </c>
    </row>
    <row r="1995" spans="1:14" x14ac:dyDescent="0.25">
      <c r="A1995" s="3" t="s">
        <v>2006</v>
      </c>
      <c r="B1995" s="4">
        <v>4.51</v>
      </c>
      <c r="C1995" s="4">
        <v>0.19</v>
      </c>
      <c r="D1995" s="4">
        <v>0.13</v>
      </c>
      <c r="E1995" s="4">
        <v>-1.263619836176683E-2</v>
      </c>
      <c r="F1995" s="3">
        <v>1993</v>
      </c>
      <c r="G1995" s="3">
        <v>2</v>
      </c>
      <c r="H1995" s="5">
        <v>4045213847.3600001</v>
      </c>
      <c r="I1995" s="5">
        <v>4177677847.3600011</v>
      </c>
      <c r="J1995" s="5">
        <v>392513000</v>
      </c>
      <c r="K1995" s="5">
        <v>260049000</v>
      </c>
      <c r="L1995" s="5">
        <v>1315886000</v>
      </c>
      <c r="M1995" s="5">
        <v>926475000</v>
      </c>
      <c r="N1995" s="5">
        <v>366027000</v>
      </c>
    </row>
    <row r="1996" spans="1:14" x14ac:dyDescent="0.25">
      <c r="A1996" s="3" t="s">
        <v>2007</v>
      </c>
      <c r="B1996" s="4">
        <v>3.94</v>
      </c>
      <c r="C1996" s="4">
        <v>7.0000000000000007E-2</v>
      </c>
      <c r="D1996" s="4">
        <v>0.05</v>
      </c>
      <c r="E1996" s="4">
        <v>-1.2645569133826961E-2</v>
      </c>
      <c r="F1996" s="3">
        <v>1994</v>
      </c>
      <c r="G1996" s="3">
        <v>2</v>
      </c>
      <c r="H1996" s="5">
        <v>302750383.31999999</v>
      </c>
      <c r="I1996" s="5">
        <v>287950383.31999999</v>
      </c>
      <c r="J1996" s="5">
        <v>26100000</v>
      </c>
      <c r="K1996" s="5">
        <v>40900000</v>
      </c>
      <c r="L1996" s="5">
        <v>571100000</v>
      </c>
      <c r="M1996" s="5">
        <v>73100000</v>
      </c>
      <c r="N1996" s="5">
        <v>18400000</v>
      </c>
    </row>
    <row r="1997" spans="1:14" x14ac:dyDescent="0.25">
      <c r="A1997" s="3" t="s">
        <v>2008</v>
      </c>
      <c r="B1997" s="4">
        <v>2.79</v>
      </c>
      <c r="C1997" s="4">
        <v>-0.17</v>
      </c>
      <c r="D1997" s="4">
        <v>-0.05</v>
      </c>
      <c r="E1997" s="4">
        <v>-1.2646547312785099E-2</v>
      </c>
      <c r="F1997" s="3">
        <v>1995</v>
      </c>
      <c r="G1997" s="3">
        <v>2</v>
      </c>
      <c r="H1997" s="5">
        <v>74473629.930000007</v>
      </c>
      <c r="I1997" s="5">
        <v>-59571260.069999993</v>
      </c>
      <c r="J1997" s="5">
        <v>86679350</v>
      </c>
      <c r="K1997" s="5">
        <v>220724240</v>
      </c>
      <c r="L1997" s="5">
        <v>32800660</v>
      </c>
      <c r="M1997" s="5">
        <v>-21329830</v>
      </c>
      <c r="N1997" s="5">
        <v>-24627670</v>
      </c>
    </row>
    <row r="1998" spans="1:14" x14ac:dyDescent="0.25">
      <c r="A1998" s="3" t="s">
        <v>2009</v>
      </c>
      <c r="B1998" s="4">
        <v>5.63</v>
      </c>
      <c r="C1998" s="4">
        <v>0.43</v>
      </c>
      <c r="D1998" s="4">
        <v>0.06</v>
      </c>
      <c r="E1998" s="4">
        <v>-1.264944601753505E-2</v>
      </c>
      <c r="F1998" s="3">
        <v>1996</v>
      </c>
      <c r="G1998" s="3">
        <v>2</v>
      </c>
      <c r="H1998" s="5">
        <v>105855634.28</v>
      </c>
      <c r="I1998" s="5">
        <v>99148454.280000001</v>
      </c>
      <c r="J1998" s="5">
        <v>212690</v>
      </c>
      <c r="K1998" s="5">
        <v>6919870</v>
      </c>
      <c r="L1998" s="5">
        <v>44567260</v>
      </c>
      <c r="M1998" s="5">
        <v>17601100</v>
      </c>
      <c r="N1998" s="5">
        <v>15894760</v>
      </c>
    </row>
    <row r="1999" spans="1:14" x14ac:dyDescent="0.25">
      <c r="A1999" s="3" t="s">
        <v>2010</v>
      </c>
      <c r="B1999" s="4">
        <v>4.33</v>
      </c>
      <c r="C1999" s="4">
        <v>0.15</v>
      </c>
      <c r="D1999" s="4">
        <v>0.08</v>
      </c>
      <c r="E1999" s="4">
        <v>-1.26500122201648E-2</v>
      </c>
      <c r="F1999" s="3">
        <v>1997</v>
      </c>
      <c r="G1999" s="3">
        <v>2</v>
      </c>
      <c r="H1999" s="5">
        <v>1787390208</v>
      </c>
      <c r="I1999" s="5">
        <v>2432892208</v>
      </c>
      <c r="J1999" s="5">
        <v>751278000</v>
      </c>
      <c r="K1999" s="5">
        <v>105776000</v>
      </c>
      <c r="L1999" s="5">
        <v>969628000</v>
      </c>
      <c r="M1999" s="5">
        <v>561273000</v>
      </c>
      <c r="N1999" s="5">
        <v>185179000</v>
      </c>
    </row>
    <row r="2000" spans="1:14" x14ac:dyDescent="0.25">
      <c r="A2000" s="3" t="s">
        <v>2011</v>
      </c>
      <c r="B2000" s="4">
        <v>4.1399999999999997</v>
      </c>
      <c r="C2000" s="4">
        <v>0.11</v>
      </c>
      <c r="D2000" s="4">
        <v>0.06</v>
      </c>
      <c r="E2000" s="4">
        <v>-1.265184979313316E-2</v>
      </c>
      <c r="F2000" s="3">
        <v>1998</v>
      </c>
      <c r="G2000" s="3">
        <v>2</v>
      </c>
      <c r="H2000" s="5">
        <v>487930322.89999998</v>
      </c>
      <c r="I2000" s="5">
        <v>455448322.89999998</v>
      </c>
      <c r="J2000" s="5">
        <v>78217000</v>
      </c>
      <c r="K2000" s="5">
        <v>110699000</v>
      </c>
      <c r="L2000" s="5">
        <v>2320690000</v>
      </c>
      <c r="M2000" s="5">
        <v>109994000</v>
      </c>
      <c r="N2000" s="5">
        <v>56380000</v>
      </c>
    </row>
    <row r="2001" spans="1:14" x14ac:dyDescent="0.25">
      <c r="A2001" s="3" t="s">
        <v>2012</v>
      </c>
      <c r="B2001" s="4">
        <v>-0.6</v>
      </c>
      <c r="C2001" s="4">
        <v>-0.85</v>
      </c>
      <c r="D2001" s="4">
        <v>-0.79</v>
      </c>
      <c r="E2001" s="4">
        <v>-1.265591982519442E-2</v>
      </c>
      <c r="F2001" s="3">
        <v>1999</v>
      </c>
      <c r="G2001" s="3">
        <v>2</v>
      </c>
      <c r="H2001" s="5">
        <v>7227871.1600000001</v>
      </c>
      <c r="I2001" s="5">
        <v>4598881.16</v>
      </c>
      <c r="J2001" s="5">
        <v>0</v>
      </c>
      <c r="K2001" s="5">
        <v>2628990</v>
      </c>
      <c r="L2001" s="5">
        <v>1636440</v>
      </c>
      <c r="M2001" s="5">
        <v>-7686310</v>
      </c>
      <c r="N2001" s="5">
        <v>-7766520</v>
      </c>
    </row>
    <row r="2002" spans="1:14" x14ac:dyDescent="0.25">
      <c r="A2002" s="3" t="s">
        <v>2013</v>
      </c>
      <c r="B2002" s="4">
        <v>-0.61</v>
      </c>
      <c r="C2002" s="4">
        <v>-0.87</v>
      </c>
      <c r="D2002" s="4">
        <v>-0.59</v>
      </c>
      <c r="E2002" s="4">
        <v>-1.266893730197614E-2</v>
      </c>
      <c r="F2002" s="3">
        <v>2000</v>
      </c>
      <c r="G2002" s="3">
        <v>2</v>
      </c>
      <c r="H2002" s="5">
        <v>6751032.5837000003</v>
      </c>
      <c r="I2002" s="5">
        <v>2845232.5836999998</v>
      </c>
      <c r="J2002" s="5">
        <v>0</v>
      </c>
      <c r="K2002" s="5">
        <v>3905800</v>
      </c>
      <c r="L2002" s="5">
        <v>72100</v>
      </c>
      <c r="M2002" s="5">
        <v>-4699510</v>
      </c>
      <c r="N2002" s="5">
        <v>-4392880</v>
      </c>
    </row>
    <row r="2003" spans="1:14" x14ac:dyDescent="0.25">
      <c r="A2003" s="3" t="s">
        <v>2014</v>
      </c>
      <c r="B2003" s="4">
        <v>5.82</v>
      </c>
      <c r="C2003" s="4">
        <v>0.46</v>
      </c>
      <c r="D2003" s="4">
        <v>0.1</v>
      </c>
      <c r="E2003" s="4">
        <v>-1.2672643998426131E-2</v>
      </c>
      <c r="F2003" s="3">
        <v>2001</v>
      </c>
      <c r="G2003" s="3">
        <v>2</v>
      </c>
      <c r="H2003" s="5">
        <v>2108356874.4000001</v>
      </c>
      <c r="I2003" s="5">
        <v>1654137874.4000001</v>
      </c>
      <c r="J2003" s="5">
        <v>39190000</v>
      </c>
      <c r="K2003" s="5">
        <v>493409000</v>
      </c>
      <c r="L2003" s="5">
        <v>846814000</v>
      </c>
      <c r="M2003" s="5">
        <v>284044000</v>
      </c>
      <c r="N2003" s="5">
        <v>201125000</v>
      </c>
    </row>
    <row r="2004" spans="1:14" x14ac:dyDescent="0.25">
      <c r="A2004" s="3" t="s">
        <v>2015</v>
      </c>
      <c r="B2004" s="4">
        <v>-0.39</v>
      </c>
      <c r="C2004" s="4">
        <v>-0.82</v>
      </c>
      <c r="D2004" s="4">
        <v>-0.66</v>
      </c>
      <c r="E2004" s="4">
        <v>-1.2674134978282091E-2</v>
      </c>
      <c r="F2004" s="3">
        <v>2002</v>
      </c>
      <c r="G2004" s="3">
        <v>2</v>
      </c>
      <c r="H2004" s="5">
        <v>83870063.680000007</v>
      </c>
      <c r="I2004" s="5">
        <v>19992063.680000011</v>
      </c>
      <c r="J2004" s="5">
        <v>161000</v>
      </c>
      <c r="K2004" s="5">
        <v>64039000</v>
      </c>
      <c r="L2004" s="5">
        <v>652000</v>
      </c>
      <c r="M2004" s="5">
        <v>-51392000</v>
      </c>
      <c r="N2004" s="5">
        <v>-51791000</v>
      </c>
    </row>
    <row r="2005" spans="1:14" x14ac:dyDescent="0.25">
      <c r="A2005" s="3" t="s">
        <v>2016</v>
      </c>
      <c r="B2005" s="4">
        <v>3.93</v>
      </c>
      <c r="C2005" s="4">
        <v>0.06</v>
      </c>
      <c r="D2005" s="4">
        <v>0.01</v>
      </c>
      <c r="E2005" s="4">
        <v>-1.267598964145436E-2</v>
      </c>
      <c r="F2005" s="3">
        <v>2003</v>
      </c>
      <c r="G2005" s="3">
        <v>2</v>
      </c>
      <c r="H2005" s="5">
        <v>753517371.54999995</v>
      </c>
      <c r="I2005" s="5">
        <v>2910117371.5500002</v>
      </c>
      <c r="J2005" s="5">
        <v>2709500000</v>
      </c>
      <c r="K2005" s="5">
        <v>552900000</v>
      </c>
      <c r="L2005" s="5">
        <v>6124900000</v>
      </c>
      <c r="M2005" s="5">
        <v>741100000</v>
      </c>
      <c r="N2005" s="5">
        <v>35000000</v>
      </c>
    </row>
    <row r="2006" spans="1:14" x14ac:dyDescent="0.25">
      <c r="A2006" s="3" t="s">
        <v>2017</v>
      </c>
      <c r="B2006" s="4">
        <v>4.2300000000000004</v>
      </c>
      <c r="C2006" s="4">
        <v>0.12</v>
      </c>
      <c r="D2006" s="4">
        <v>7.0000000000000007E-2</v>
      </c>
      <c r="E2006" s="4">
        <v>-1.26767300108149E-2</v>
      </c>
      <c r="F2006" s="3">
        <v>2004</v>
      </c>
      <c r="G2006" s="3">
        <v>2</v>
      </c>
      <c r="H2006" s="5">
        <v>187663272.44</v>
      </c>
      <c r="I2006" s="5">
        <v>147657272.44</v>
      </c>
      <c r="J2006" s="5">
        <v>0</v>
      </c>
      <c r="K2006" s="5">
        <v>40006000</v>
      </c>
      <c r="L2006" s="5">
        <v>441073000</v>
      </c>
      <c r="M2006" s="5">
        <v>34902000</v>
      </c>
      <c r="N2006" s="5">
        <v>20154000</v>
      </c>
    </row>
    <row r="2007" spans="1:14" x14ac:dyDescent="0.25">
      <c r="A2007" s="3" t="s">
        <v>2018</v>
      </c>
      <c r="B2007" s="4">
        <v>0.89</v>
      </c>
      <c r="C2007" s="4">
        <v>-0.57999999999999996</v>
      </c>
      <c r="D2007" s="4">
        <v>-0.26</v>
      </c>
      <c r="E2007" s="4">
        <v>-1.269574567606079E-2</v>
      </c>
      <c r="F2007" s="3">
        <v>2005</v>
      </c>
      <c r="G2007" s="3">
        <v>2</v>
      </c>
      <c r="H2007" s="5">
        <v>91016212.319999993</v>
      </c>
      <c r="I2007" s="5">
        <v>-91823787.680000007</v>
      </c>
      <c r="J2007" s="5">
        <v>0</v>
      </c>
      <c r="K2007" s="5">
        <v>182840000</v>
      </c>
      <c r="L2007" s="5">
        <v>149962000</v>
      </c>
      <c r="M2007" s="5">
        <v>-103038000</v>
      </c>
      <c r="N2007" s="5">
        <v>-66966000</v>
      </c>
    </row>
    <row r="2008" spans="1:14" x14ac:dyDescent="0.25">
      <c r="A2008" s="3" t="s">
        <v>2019</v>
      </c>
      <c r="B2008" s="4">
        <v>5.96</v>
      </c>
      <c r="C2008" s="4">
        <v>0.49</v>
      </c>
      <c r="D2008" s="4">
        <v>-0.03</v>
      </c>
      <c r="E2008" s="4">
        <v>-1.269768940264941E-2</v>
      </c>
      <c r="F2008" s="3">
        <v>2006</v>
      </c>
      <c r="G2008" s="3">
        <v>2</v>
      </c>
      <c r="H2008" s="5">
        <v>6134383855.1000004</v>
      </c>
      <c r="I2008" s="5">
        <v>17808383855.099998</v>
      </c>
      <c r="J2008" s="5">
        <v>12280000000</v>
      </c>
      <c r="K2008" s="5">
        <v>606000000</v>
      </c>
      <c r="L2008" s="5">
        <v>3666000000</v>
      </c>
      <c r="M2008" s="5">
        <v>2988000000</v>
      </c>
      <c r="N2008" s="5">
        <v>-608000000</v>
      </c>
    </row>
    <row r="2009" spans="1:14" x14ac:dyDescent="0.25">
      <c r="A2009" s="3" t="s">
        <v>2020</v>
      </c>
      <c r="B2009" s="4">
        <v>-3.21</v>
      </c>
      <c r="C2009" s="4">
        <v>-1.45</v>
      </c>
      <c r="D2009" s="4">
        <v>-0.42</v>
      </c>
      <c r="E2009" s="4">
        <v>-1.2702779575756971E-2</v>
      </c>
      <c r="F2009" s="3">
        <v>2007</v>
      </c>
      <c r="G2009" s="3">
        <v>2</v>
      </c>
      <c r="H2009" s="5">
        <v>334718836.39999998</v>
      </c>
      <c r="I2009" s="5">
        <v>387371836.39999998</v>
      </c>
      <c r="J2009" s="5">
        <v>223977000</v>
      </c>
      <c r="K2009" s="5">
        <v>171324000</v>
      </c>
      <c r="L2009" s="5">
        <v>440121000</v>
      </c>
      <c r="M2009" s="5">
        <v>-120527000</v>
      </c>
      <c r="N2009" s="5">
        <v>-255593000</v>
      </c>
    </row>
    <row r="2010" spans="1:14" x14ac:dyDescent="0.25">
      <c r="A2010" s="3" t="s">
        <v>2021</v>
      </c>
      <c r="B2010" s="4">
        <v>4.3099999999999996</v>
      </c>
      <c r="C2010" s="4">
        <v>0.13</v>
      </c>
      <c r="D2010" s="4">
        <v>0.04</v>
      </c>
      <c r="E2010" s="4">
        <v>-1.270313712910958E-2</v>
      </c>
      <c r="F2010" s="3">
        <v>2008</v>
      </c>
      <c r="G2010" s="3">
        <v>2</v>
      </c>
      <c r="H2010" s="5">
        <v>389162389.92000002</v>
      </c>
      <c r="I2010" s="5">
        <v>480643389.92000008</v>
      </c>
      <c r="J2010" s="5">
        <v>208816000</v>
      </c>
      <c r="K2010" s="5">
        <v>117335000</v>
      </c>
      <c r="L2010" s="5">
        <v>1766099000</v>
      </c>
      <c r="M2010" s="5">
        <v>111620000</v>
      </c>
      <c r="N2010" s="5">
        <v>35223000</v>
      </c>
    </row>
    <row r="2011" spans="1:14" x14ac:dyDescent="0.25">
      <c r="A2011" s="3" t="s">
        <v>2022</v>
      </c>
      <c r="B2011" s="4">
        <v>-0.02</v>
      </c>
      <c r="C2011" s="4">
        <v>0.91</v>
      </c>
      <c r="D2011" s="4">
        <v>-25.56</v>
      </c>
      <c r="E2011" s="4">
        <v>-1.2707817753562341E-2</v>
      </c>
      <c r="F2011" s="3">
        <v>2009</v>
      </c>
      <c r="G2011" s="3">
        <v>2</v>
      </c>
      <c r="H2011" s="5">
        <v>3316.0659999999998</v>
      </c>
      <c r="I2011" s="5">
        <v>2596.0659999999998</v>
      </c>
      <c r="J2011" s="5">
        <v>0</v>
      </c>
      <c r="K2011" s="5">
        <v>720</v>
      </c>
      <c r="L2011" s="5">
        <v>0</v>
      </c>
      <c r="M2011" s="5">
        <v>-166000</v>
      </c>
      <c r="N2011" s="5">
        <v>-163340</v>
      </c>
    </row>
    <row r="2012" spans="1:14" x14ac:dyDescent="0.25">
      <c r="A2012" s="3" t="s">
        <v>2023</v>
      </c>
      <c r="B2012" s="4">
        <v>4.04</v>
      </c>
      <c r="C2012" s="4">
        <v>7.0000000000000007E-2</v>
      </c>
      <c r="D2012" s="4">
        <v>0.02</v>
      </c>
      <c r="E2012" s="4">
        <v>-1.2713248270530249E-2</v>
      </c>
      <c r="F2012" s="3">
        <v>2010</v>
      </c>
      <c r="G2012" s="3">
        <v>2</v>
      </c>
      <c r="H2012" s="5">
        <v>3007.8474000000001</v>
      </c>
      <c r="I2012" s="5">
        <v>441738007.84740001</v>
      </c>
      <c r="J2012" s="5">
        <v>450812000</v>
      </c>
      <c r="K2012" s="5">
        <v>9077000</v>
      </c>
      <c r="L2012" s="5">
        <v>1065356000</v>
      </c>
      <c r="M2012" s="5">
        <v>109417000</v>
      </c>
      <c r="N2012" s="5">
        <v>24844000</v>
      </c>
    </row>
    <row r="2013" spans="1:14" x14ac:dyDescent="0.25">
      <c r="A2013" s="3" t="s">
        <v>2024</v>
      </c>
      <c r="B2013" s="4">
        <v>1.52</v>
      </c>
      <c r="C2013" s="4">
        <v>-0.45</v>
      </c>
      <c r="D2013" s="4">
        <v>-0.28000000000000003</v>
      </c>
      <c r="E2013" s="4">
        <v>-1.271390679694372E-2</v>
      </c>
      <c r="F2013" s="3">
        <v>2011</v>
      </c>
      <c r="G2013" s="3">
        <v>2</v>
      </c>
      <c r="H2013" s="5">
        <v>870130.5</v>
      </c>
      <c r="I2013" s="5">
        <v>-1415369.5</v>
      </c>
      <c r="J2013" s="5">
        <v>0</v>
      </c>
      <c r="K2013" s="5">
        <v>2285500</v>
      </c>
      <c r="L2013" s="5">
        <v>2011420</v>
      </c>
      <c r="M2013" s="5">
        <v>-928900</v>
      </c>
      <c r="N2013" s="5">
        <v>-949190</v>
      </c>
    </row>
    <row r="2014" spans="1:14" x14ac:dyDescent="0.25">
      <c r="A2014" s="3" t="s">
        <v>2025</v>
      </c>
      <c r="B2014" s="4">
        <v>5</v>
      </c>
      <c r="C2014" s="4">
        <v>0.27</v>
      </c>
      <c r="D2014" s="4">
        <v>0.1</v>
      </c>
      <c r="E2014" s="4">
        <v>-1.271410766454048E-2</v>
      </c>
      <c r="F2014" s="3">
        <v>2012</v>
      </c>
      <c r="G2014" s="3">
        <v>2</v>
      </c>
      <c r="H2014" s="5">
        <v>3195384826.0700002</v>
      </c>
      <c r="I2014" s="5">
        <v>4112384826.0700002</v>
      </c>
      <c r="J2014" s="5">
        <v>1140000000</v>
      </c>
      <c r="K2014" s="5">
        <v>223000000</v>
      </c>
      <c r="L2014" s="5">
        <v>3994000000</v>
      </c>
      <c r="M2014" s="5">
        <v>823000000</v>
      </c>
      <c r="N2014" s="5">
        <v>380000000</v>
      </c>
    </row>
    <row r="2015" spans="1:14" x14ac:dyDescent="0.25">
      <c r="A2015" s="3" t="s">
        <v>2026</v>
      </c>
      <c r="B2015" s="4">
        <v>-0.74</v>
      </c>
      <c r="C2015" s="4">
        <v>-0.94</v>
      </c>
      <c r="D2015" s="4">
        <v>-0.25</v>
      </c>
      <c r="E2015" s="4">
        <v>-1.2725145973380141E-2</v>
      </c>
      <c r="F2015" s="3">
        <v>2013</v>
      </c>
      <c r="G2015" s="3">
        <v>2</v>
      </c>
      <c r="H2015" s="5">
        <v>127021472.895</v>
      </c>
      <c r="I2015" s="5">
        <v>103389472.895</v>
      </c>
      <c r="J2015" s="5">
        <v>9389000</v>
      </c>
      <c r="K2015" s="5">
        <v>33021000</v>
      </c>
      <c r="L2015" s="5">
        <v>100558000</v>
      </c>
      <c r="M2015" s="5">
        <v>-139590000</v>
      </c>
      <c r="N2015" s="5">
        <v>-119049000</v>
      </c>
    </row>
    <row r="2016" spans="1:14" x14ac:dyDescent="0.25">
      <c r="A2016" s="3" t="s">
        <v>2027</v>
      </c>
      <c r="B2016" s="4">
        <v>4.55</v>
      </c>
      <c r="C2016" s="4">
        <v>0.17</v>
      </c>
      <c r="D2016" s="4">
        <v>0.05</v>
      </c>
      <c r="E2016" s="4">
        <v>-1.27341746112041E-2</v>
      </c>
      <c r="F2016" s="3">
        <v>2014</v>
      </c>
      <c r="G2016" s="3">
        <v>2</v>
      </c>
      <c r="H2016" s="5">
        <v>958493.89800000004</v>
      </c>
      <c r="I2016" s="5">
        <v>75598493.898000002</v>
      </c>
      <c r="J2016" s="5">
        <v>75801000</v>
      </c>
      <c r="K2016" s="5">
        <v>1161000</v>
      </c>
      <c r="L2016" s="5">
        <v>24205000</v>
      </c>
      <c r="M2016" s="5">
        <v>16601000</v>
      </c>
      <c r="N2016" s="5">
        <v>5944000</v>
      </c>
    </row>
    <row r="2017" spans="1:14" x14ac:dyDescent="0.25">
      <c r="A2017" s="3" t="s">
        <v>2028</v>
      </c>
      <c r="B2017" s="4">
        <v>4</v>
      </c>
      <c r="C2017" s="4">
        <v>0.05</v>
      </c>
      <c r="D2017" s="4">
        <v>0.02</v>
      </c>
      <c r="E2017" s="4">
        <v>-1.274627866177085E-2</v>
      </c>
      <c r="F2017" s="3">
        <v>2015</v>
      </c>
      <c r="G2017" s="3">
        <v>2</v>
      </c>
      <c r="H2017" s="5">
        <v>197093068.41</v>
      </c>
      <c r="I2017" s="5">
        <v>113359068.41</v>
      </c>
      <c r="J2017" s="5">
        <v>0</v>
      </c>
      <c r="K2017" s="5">
        <v>83734000</v>
      </c>
      <c r="L2017" s="5">
        <v>680628000</v>
      </c>
      <c r="M2017" s="5">
        <v>28358000</v>
      </c>
      <c r="N2017" s="5">
        <v>11556000</v>
      </c>
    </row>
    <row r="2018" spans="1:14" x14ac:dyDescent="0.25">
      <c r="A2018" s="3" t="s">
        <v>2029</v>
      </c>
      <c r="B2018" s="4">
        <v>5.05</v>
      </c>
      <c r="C2018" s="4">
        <v>0.26</v>
      </c>
      <c r="D2018" s="4">
        <v>0.23</v>
      </c>
      <c r="E2018" s="4">
        <v>-1.2748869954532741E-2</v>
      </c>
      <c r="F2018" s="3">
        <v>2016</v>
      </c>
      <c r="G2018" s="3">
        <v>2</v>
      </c>
      <c r="H2018" s="5">
        <v>36602444.916000001</v>
      </c>
      <c r="I2018" s="5">
        <v>33803444.916000001</v>
      </c>
      <c r="J2018" s="5">
        <v>1556000</v>
      </c>
      <c r="K2018" s="5">
        <v>4355000</v>
      </c>
      <c r="L2018" s="5">
        <v>13629000</v>
      </c>
      <c r="M2018" s="5">
        <v>6694000</v>
      </c>
      <c r="N2018" s="5">
        <v>4501000</v>
      </c>
    </row>
    <row r="2019" spans="1:14" x14ac:dyDescent="0.25">
      <c r="A2019" s="3" t="s">
        <v>2030</v>
      </c>
      <c r="B2019" s="4">
        <v>-4.8499999999999996</v>
      </c>
      <c r="C2019" s="4">
        <v>-1.81</v>
      </c>
      <c r="D2019" s="4">
        <v>-0.59</v>
      </c>
      <c r="E2019" s="4">
        <v>-1.276071314577436E-2</v>
      </c>
      <c r="F2019" s="3">
        <v>2017</v>
      </c>
      <c r="G2019" s="3">
        <v>2</v>
      </c>
      <c r="H2019" s="5">
        <v>108370809.59999999</v>
      </c>
      <c r="I2019" s="5">
        <v>115435809.59999999</v>
      </c>
      <c r="J2019" s="5">
        <v>12010000</v>
      </c>
      <c r="K2019" s="5">
        <v>4945000</v>
      </c>
      <c r="L2019" s="5">
        <v>24008000</v>
      </c>
      <c r="M2019" s="5">
        <v>-23787000</v>
      </c>
      <c r="N2019" s="5">
        <v>-31730000</v>
      </c>
    </row>
    <row r="2020" spans="1:14" x14ac:dyDescent="0.25">
      <c r="A2020" s="3" t="s">
        <v>2031</v>
      </c>
      <c r="B2020" s="4">
        <v>3.6</v>
      </c>
      <c r="C2020" s="4">
        <v>-0.04</v>
      </c>
      <c r="D2020" s="4">
        <v>-0.01</v>
      </c>
      <c r="E2020" s="4">
        <v>-1.2764539976750399E-2</v>
      </c>
      <c r="F2020" s="3">
        <v>2018</v>
      </c>
      <c r="G2020" s="3">
        <v>2</v>
      </c>
      <c r="H2020" s="5">
        <v>2057423255.28</v>
      </c>
      <c r="I2020" s="5">
        <v>4981011255.2799997</v>
      </c>
      <c r="J2020" s="5">
        <v>3056406000</v>
      </c>
      <c r="K2020" s="5">
        <v>132818000</v>
      </c>
      <c r="L2020" s="5">
        <v>2930919000</v>
      </c>
      <c r="M2020" s="5">
        <v>1382538000</v>
      </c>
      <c r="N2020" s="5">
        <v>-114605000</v>
      </c>
    </row>
    <row r="2021" spans="1:14" x14ac:dyDescent="0.25">
      <c r="A2021" s="3" t="s">
        <v>2032</v>
      </c>
      <c r="B2021" s="4">
        <v>6.78</v>
      </c>
      <c r="C2021" s="4">
        <v>0.65</v>
      </c>
      <c r="D2021" s="4">
        <v>-0.16</v>
      </c>
      <c r="E2021" s="4">
        <v>-1.2767983903086011E-2</v>
      </c>
      <c r="F2021" s="3">
        <v>2019</v>
      </c>
      <c r="G2021" s="3">
        <v>2</v>
      </c>
      <c r="H2021" s="5">
        <v>319869250</v>
      </c>
      <c r="I2021" s="5">
        <v>653682250</v>
      </c>
      <c r="J2021" s="5">
        <v>350489000</v>
      </c>
      <c r="K2021" s="5">
        <v>16676000</v>
      </c>
      <c r="L2021" s="5">
        <v>320346000</v>
      </c>
      <c r="M2021" s="5">
        <v>96424000</v>
      </c>
      <c r="N2021" s="5">
        <v>-64949000</v>
      </c>
    </row>
    <row r="2022" spans="1:14" x14ac:dyDescent="0.25">
      <c r="A2022" s="3" t="s">
        <v>2033</v>
      </c>
      <c r="B2022" s="4">
        <v>4.13</v>
      </c>
      <c r="C2022" s="4">
        <v>7.0000000000000007E-2</v>
      </c>
      <c r="D2022" s="4">
        <v>0.02</v>
      </c>
      <c r="E2022" s="4">
        <v>-1.2768951121803949E-2</v>
      </c>
      <c r="F2022" s="3">
        <v>2020</v>
      </c>
      <c r="G2022" s="3">
        <v>2</v>
      </c>
      <c r="H2022" s="5">
        <v>1378730020.4000001</v>
      </c>
      <c r="I2022" s="5">
        <v>1822130020.4000001</v>
      </c>
      <c r="J2022" s="5">
        <v>952800000</v>
      </c>
      <c r="K2022" s="5">
        <v>509400000</v>
      </c>
      <c r="L2022" s="5">
        <v>17853900000</v>
      </c>
      <c r="M2022" s="5">
        <v>441300000</v>
      </c>
      <c r="N2022" s="5">
        <v>145100000</v>
      </c>
    </row>
    <row r="2023" spans="1:14" x14ac:dyDescent="0.25">
      <c r="A2023" s="3" t="s">
        <v>2034</v>
      </c>
      <c r="B2023" s="4">
        <v>0.2</v>
      </c>
      <c r="C2023" s="4">
        <v>-0.73</v>
      </c>
      <c r="D2023" s="4">
        <v>-0.62</v>
      </c>
      <c r="E2023" s="4">
        <v>-1.2771539544969519E-2</v>
      </c>
      <c r="F2023" s="3">
        <v>2021</v>
      </c>
      <c r="G2023" s="3">
        <v>2</v>
      </c>
      <c r="H2023" s="5">
        <v>16048427.898</v>
      </c>
      <c r="I2023" s="5">
        <v>-3183572.102</v>
      </c>
      <c r="J2023" s="5">
        <v>0</v>
      </c>
      <c r="K2023" s="5">
        <v>19232000</v>
      </c>
      <c r="L2023" s="5">
        <v>2392000</v>
      </c>
      <c r="M2023" s="5">
        <v>-15563000</v>
      </c>
      <c r="N2023" s="5">
        <v>-15973000</v>
      </c>
    </row>
    <row r="2024" spans="1:14" x14ac:dyDescent="0.25">
      <c r="A2024" s="3" t="s">
        <v>2035</v>
      </c>
      <c r="B2024" s="4">
        <v>4.1399999999999997</v>
      </c>
      <c r="C2024" s="4">
        <v>7.0000000000000007E-2</v>
      </c>
      <c r="D2024" s="4">
        <v>0.02</v>
      </c>
      <c r="E2024" s="4">
        <v>-1.277514032750102E-2</v>
      </c>
      <c r="F2024" s="3">
        <v>2022</v>
      </c>
      <c r="G2024" s="3">
        <v>2</v>
      </c>
      <c r="H2024" s="5">
        <v>401658723.56999999</v>
      </c>
      <c r="I2024" s="5">
        <v>4151775723.5700002</v>
      </c>
      <c r="J2024" s="5">
        <v>3767662000</v>
      </c>
      <c r="K2024" s="5">
        <v>17545000</v>
      </c>
      <c r="L2024" s="5">
        <v>4386112000</v>
      </c>
      <c r="M2024" s="5">
        <v>1003678000</v>
      </c>
      <c r="N2024" s="5">
        <v>110271000</v>
      </c>
    </row>
    <row r="2025" spans="1:14" x14ac:dyDescent="0.25">
      <c r="A2025" s="3" t="s">
        <v>2036</v>
      </c>
      <c r="B2025" s="4">
        <v>3.57</v>
      </c>
      <c r="C2025" s="4">
        <v>-0.05</v>
      </c>
      <c r="D2025" s="4">
        <v>-0.02</v>
      </c>
      <c r="E2025" s="4">
        <v>-1.277679499325113E-2</v>
      </c>
      <c r="F2025" s="3">
        <v>2023</v>
      </c>
      <c r="G2025" s="3">
        <v>2</v>
      </c>
      <c r="H2025" s="5">
        <v>186290324.36000001</v>
      </c>
      <c r="I2025" s="5">
        <v>579103324.36000013</v>
      </c>
      <c r="J2025" s="5">
        <v>1682136000</v>
      </c>
      <c r="K2025" s="5">
        <v>1289323000</v>
      </c>
      <c r="L2025" s="5">
        <v>9422229000</v>
      </c>
      <c r="M2025" s="5">
        <v>162049000</v>
      </c>
      <c r="N2025" s="5">
        <v>-185198000</v>
      </c>
    </row>
    <row r="2026" spans="1:14" x14ac:dyDescent="0.25">
      <c r="A2026" s="3" t="s">
        <v>2037</v>
      </c>
      <c r="B2026" s="4">
        <v>4.4400000000000004</v>
      </c>
      <c r="C2026" s="4">
        <v>0.13</v>
      </c>
      <c r="D2026" s="4">
        <v>7.0000000000000007E-2</v>
      </c>
      <c r="E2026" s="4">
        <v>-1.277780972343906E-2</v>
      </c>
      <c r="F2026" s="3">
        <v>2024</v>
      </c>
      <c r="G2026" s="3">
        <v>2</v>
      </c>
      <c r="H2026" s="5">
        <v>1608153887.28</v>
      </c>
      <c r="I2026" s="5">
        <v>1752891887.28</v>
      </c>
      <c r="J2026" s="5">
        <v>189134000</v>
      </c>
      <c r="K2026" s="5">
        <v>44396000</v>
      </c>
      <c r="L2026" s="5">
        <v>4179019000</v>
      </c>
      <c r="M2026" s="5">
        <v>394692000</v>
      </c>
      <c r="N2026" s="5">
        <v>173961000</v>
      </c>
    </row>
    <row r="2027" spans="1:14" x14ac:dyDescent="0.25">
      <c r="A2027" s="3" t="s">
        <v>2038</v>
      </c>
      <c r="B2027" s="4">
        <v>4.29</v>
      </c>
      <c r="C2027" s="4">
        <v>0.1</v>
      </c>
      <c r="D2027" s="4">
        <v>0.02</v>
      </c>
      <c r="E2027" s="4">
        <v>-1.278129759191381E-2</v>
      </c>
      <c r="F2027" s="3">
        <v>2025</v>
      </c>
      <c r="G2027" s="3">
        <v>2</v>
      </c>
      <c r="H2027" s="5">
        <v>2268540308.8000002</v>
      </c>
      <c r="I2027" s="5">
        <v>2225640308.8000002</v>
      </c>
      <c r="J2027" s="5">
        <v>639100000</v>
      </c>
      <c r="K2027" s="5">
        <v>682000000</v>
      </c>
      <c r="L2027" s="5">
        <v>2817700000</v>
      </c>
      <c r="M2027" s="5">
        <v>518500000</v>
      </c>
      <c r="N2027" s="5">
        <v>199900000</v>
      </c>
    </row>
    <row r="2028" spans="1:14" x14ac:dyDescent="0.25">
      <c r="A2028" s="3" t="s">
        <v>2039</v>
      </c>
      <c r="B2028" s="4">
        <v>4.21</v>
      </c>
      <c r="C2028" s="4">
        <v>0.08</v>
      </c>
      <c r="D2028" s="4">
        <v>0.06</v>
      </c>
      <c r="E2028" s="4">
        <v>-1.2781855054056081E-2</v>
      </c>
      <c r="F2028" s="3">
        <v>2026</v>
      </c>
      <c r="G2028" s="3">
        <v>2</v>
      </c>
      <c r="H2028" s="5">
        <v>50722667.380000003</v>
      </c>
      <c r="I2028" s="5">
        <v>29368667.379999999</v>
      </c>
      <c r="J2028" s="5">
        <v>395000</v>
      </c>
      <c r="K2028" s="5">
        <v>21749000</v>
      </c>
      <c r="L2028" s="5">
        <v>45361000</v>
      </c>
      <c r="M2028" s="5">
        <v>6978000</v>
      </c>
      <c r="N2028" s="5">
        <v>5182000</v>
      </c>
    </row>
    <row r="2029" spans="1:14" x14ac:dyDescent="0.25">
      <c r="A2029" s="3" t="s">
        <v>2040</v>
      </c>
      <c r="B2029" s="4">
        <v>0.81</v>
      </c>
      <c r="C2029" s="4">
        <v>-0.61</v>
      </c>
      <c r="D2029" s="4">
        <v>-0.52</v>
      </c>
      <c r="E2029" s="4">
        <v>-1.278306754254269E-2</v>
      </c>
      <c r="F2029" s="3">
        <v>2027</v>
      </c>
      <c r="G2029" s="3">
        <v>2</v>
      </c>
      <c r="H2029" s="5">
        <v>4851241.78</v>
      </c>
      <c r="I2029" s="5">
        <v>-6224628.2199999997</v>
      </c>
      <c r="J2029" s="5">
        <v>0</v>
      </c>
      <c r="K2029" s="5">
        <v>11075870</v>
      </c>
      <c r="L2029" s="5">
        <v>4942630</v>
      </c>
      <c r="M2029" s="5">
        <v>-7705160</v>
      </c>
      <c r="N2029" s="5">
        <v>-8162130</v>
      </c>
    </row>
    <row r="2030" spans="1:14" x14ac:dyDescent="0.25">
      <c r="A2030" s="3" t="s">
        <v>2041</v>
      </c>
      <c r="B2030" s="4">
        <v>3.87</v>
      </c>
      <c r="C2030" s="4">
        <v>0.01</v>
      </c>
      <c r="D2030" s="4">
        <v>0.01</v>
      </c>
      <c r="E2030" s="4">
        <v>-1.278332244234418E-2</v>
      </c>
      <c r="F2030" s="3">
        <v>2028</v>
      </c>
      <c r="G2030" s="3">
        <v>2</v>
      </c>
      <c r="H2030" s="5">
        <v>150952474.13999999</v>
      </c>
      <c r="I2030" s="5">
        <v>191140474.13999999</v>
      </c>
      <c r="J2030" s="5">
        <v>68458000</v>
      </c>
      <c r="K2030" s="5">
        <v>28270000</v>
      </c>
      <c r="L2030" s="5">
        <v>532410000</v>
      </c>
      <c r="M2030" s="5">
        <v>49384000</v>
      </c>
      <c r="N2030" s="5">
        <v>10057000</v>
      </c>
    </row>
    <row r="2031" spans="1:14" x14ac:dyDescent="0.25">
      <c r="A2031" s="3" t="s">
        <v>2042</v>
      </c>
      <c r="B2031" s="4">
        <v>-7.0000000000000007E-2</v>
      </c>
      <c r="C2031" s="4">
        <v>-0.79</v>
      </c>
      <c r="D2031" s="4">
        <v>-0.66</v>
      </c>
      <c r="E2031" s="4">
        <v>-1.27855087395452E-2</v>
      </c>
      <c r="F2031" s="3">
        <v>2029</v>
      </c>
      <c r="G2031" s="3">
        <v>2</v>
      </c>
      <c r="H2031" s="5">
        <v>11187642.300000001</v>
      </c>
      <c r="I2031" s="5">
        <v>2023642.300000001</v>
      </c>
      <c r="J2031" s="5">
        <v>830000</v>
      </c>
      <c r="K2031" s="5">
        <v>9994000</v>
      </c>
      <c r="L2031" s="5">
        <v>0</v>
      </c>
      <c r="M2031" s="5">
        <v>-30292000</v>
      </c>
      <c r="N2031" s="5">
        <v>-30157000</v>
      </c>
    </row>
    <row r="2032" spans="1:14" x14ac:dyDescent="0.25">
      <c r="A2032" s="3" t="s">
        <v>2043</v>
      </c>
      <c r="B2032" s="4">
        <v>1.3</v>
      </c>
      <c r="C2032" s="4">
        <v>-0.51</v>
      </c>
      <c r="D2032" s="4">
        <v>-0.46</v>
      </c>
      <c r="E2032" s="4">
        <v>-1.278582839208987E-2</v>
      </c>
      <c r="F2032" s="3">
        <v>2030</v>
      </c>
      <c r="G2032" s="3">
        <v>2</v>
      </c>
      <c r="H2032" s="5">
        <v>40589883</v>
      </c>
      <c r="I2032" s="5">
        <v>-70171117</v>
      </c>
      <c r="J2032" s="5">
        <v>0</v>
      </c>
      <c r="K2032" s="5">
        <v>110761000</v>
      </c>
      <c r="L2032" s="5">
        <v>0</v>
      </c>
      <c r="M2032" s="5">
        <v>-53927000</v>
      </c>
      <c r="N2032" s="5">
        <v>-52673000</v>
      </c>
    </row>
    <row r="2033" spans="1:14" x14ac:dyDescent="0.25">
      <c r="A2033" s="3" t="s">
        <v>2044</v>
      </c>
      <c r="B2033" s="4">
        <v>0.08</v>
      </c>
      <c r="C2033" s="4">
        <v>-0.78</v>
      </c>
      <c r="D2033" s="4">
        <v>-0.36</v>
      </c>
      <c r="E2033" s="4">
        <v>-1.279158242066173E-2</v>
      </c>
      <c r="F2033" s="3">
        <v>2031</v>
      </c>
      <c r="G2033" s="3">
        <v>2</v>
      </c>
      <c r="H2033" s="5">
        <v>48360617.060400002</v>
      </c>
      <c r="I2033" s="5">
        <v>-10080382.9396</v>
      </c>
      <c r="J2033" s="5">
        <v>0</v>
      </c>
      <c r="K2033" s="5">
        <v>58441000</v>
      </c>
      <c r="L2033" s="5">
        <v>6589000</v>
      </c>
      <c r="M2033" s="5">
        <v>-120506000</v>
      </c>
      <c r="N2033" s="5">
        <v>-126566000</v>
      </c>
    </row>
    <row r="2034" spans="1:14" x14ac:dyDescent="0.25">
      <c r="A2034" s="3" t="s">
        <v>2045</v>
      </c>
      <c r="B2034" s="4">
        <v>4.5199999999999996</v>
      </c>
      <c r="C2034" s="4">
        <v>0.14000000000000001</v>
      </c>
      <c r="D2034" s="4">
        <v>0.09</v>
      </c>
      <c r="E2034" s="4">
        <v>-1.2794571708846221E-2</v>
      </c>
      <c r="F2034" s="3">
        <v>2032</v>
      </c>
      <c r="G2034" s="3">
        <v>2</v>
      </c>
      <c r="H2034" s="5">
        <v>2716990040.1700001</v>
      </c>
      <c r="I2034" s="5">
        <v>2768547040.1700001</v>
      </c>
      <c r="J2034" s="5">
        <v>1021602000</v>
      </c>
      <c r="K2034" s="5">
        <v>970045000</v>
      </c>
      <c r="L2034" s="5">
        <v>4492870000</v>
      </c>
      <c r="M2034" s="5">
        <v>612042000</v>
      </c>
      <c r="N2034" s="5">
        <v>458029000</v>
      </c>
    </row>
    <row r="2035" spans="1:14" x14ac:dyDescent="0.25">
      <c r="A2035" s="3" t="s">
        <v>2046</v>
      </c>
      <c r="B2035" s="4">
        <v>-2.0499999999999998</v>
      </c>
      <c r="C2035" s="4">
        <v>-1.2</v>
      </c>
      <c r="D2035" s="4">
        <v>-0.93</v>
      </c>
      <c r="E2035" s="4">
        <v>-1.2796767616709301E-2</v>
      </c>
      <c r="F2035" s="3">
        <v>2033</v>
      </c>
      <c r="G2035" s="3">
        <v>2</v>
      </c>
      <c r="H2035" s="5">
        <v>224907020.75999999</v>
      </c>
      <c r="I2035" s="5">
        <v>220584020.75999999</v>
      </c>
      <c r="J2035" s="5">
        <v>0</v>
      </c>
      <c r="K2035" s="5">
        <v>4323000</v>
      </c>
      <c r="L2035" s="5">
        <v>0</v>
      </c>
      <c r="M2035" s="5">
        <v>-107448000</v>
      </c>
      <c r="N2035" s="5">
        <v>-111129000</v>
      </c>
    </row>
    <row r="2036" spans="1:14" x14ac:dyDescent="0.25">
      <c r="A2036" s="3" t="s">
        <v>2047</v>
      </c>
      <c r="B2036" s="4">
        <v>5.26</v>
      </c>
      <c r="C2036" s="4">
        <v>0.3</v>
      </c>
      <c r="D2036" s="4">
        <v>0.04</v>
      </c>
      <c r="E2036" s="4">
        <v>-1.2799920351086151E-2</v>
      </c>
      <c r="F2036" s="3">
        <v>2034</v>
      </c>
      <c r="G2036" s="3">
        <v>2</v>
      </c>
      <c r="H2036" s="5">
        <v>1129351252.95</v>
      </c>
      <c r="I2036" s="5">
        <v>1911274252.95</v>
      </c>
      <c r="J2036" s="5">
        <v>852488000</v>
      </c>
      <c r="K2036" s="5">
        <v>70565000</v>
      </c>
      <c r="L2036" s="5">
        <v>631449000</v>
      </c>
      <c r="M2036" s="5">
        <v>363384000</v>
      </c>
      <c r="N2036" s="5">
        <v>69190000</v>
      </c>
    </row>
    <row r="2037" spans="1:14" x14ac:dyDescent="0.25">
      <c r="A2037" s="3" t="s">
        <v>2048</v>
      </c>
      <c r="B2037" s="4">
        <v>-1.63</v>
      </c>
      <c r="C2037" s="4">
        <v>-1.1399999999999999</v>
      </c>
      <c r="D2037" s="4">
        <v>-0.5</v>
      </c>
      <c r="E2037" s="4">
        <v>-1.280040447106706E-2</v>
      </c>
      <c r="F2037" s="3">
        <v>2035</v>
      </c>
      <c r="G2037" s="3">
        <v>2</v>
      </c>
      <c r="H2037" s="5">
        <v>4627557.7791999998</v>
      </c>
      <c r="I2037" s="5">
        <v>5893427.7791999998</v>
      </c>
      <c r="J2037" s="5">
        <v>1703470</v>
      </c>
      <c r="K2037" s="5">
        <v>437600</v>
      </c>
      <c r="L2037" s="5">
        <v>6929570</v>
      </c>
      <c r="M2037" s="5">
        <v>-3608010</v>
      </c>
      <c r="N2037" s="5">
        <v>-4300690</v>
      </c>
    </row>
    <row r="2038" spans="1:14" x14ac:dyDescent="0.25">
      <c r="A2038" s="3" t="s">
        <v>2049</v>
      </c>
      <c r="B2038" s="4">
        <v>4.43</v>
      </c>
      <c r="C2038" s="4">
        <v>0.12</v>
      </c>
      <c r="D2038" s="4">
        <v>0.01</v>
      </c>
      <c r="E2038" s="4">
        <v>-1.2812088284221481E-2</v>
      </c>
      <c r="F2038" s="3">
        <v>2036</v>
      </c>
      <c r="G2038" s="3">
        <v>2</v>
      </c>
      <c r="H2038" s="5">
        <v>697847892.29999995</v>
      </c>
      <c r="I2038" s="5">
        <v>804869892.29999995</v>
      </c>
      <c r="J2038" s="5">
        <v>427089000</v>
      </c>
      <c r="K2038" s="5">
        <v>320067000</v>
      </c>
      <c r="L2038" s="5">
        <v>2042854000</v>
      </c>
      <c r="M2038" s="5">
        <v>181864000</v>
      </c>
      <c r="N2038" s="5">
        <v>53367000</v>
      </c>
    </row>
    <row r="2039" spans="1:14" x14ac:dyDescent="0.25">
      <c r="A2039" s="3" t="s">
        <v>2050</v>
      </c>
      <c r="B2039" s="4">
        <v>7.06</v>
      </c>
      <c r="C2039" s="4">
        <v>0.67</v>
      </c>
      <c r="D2039" s="4">
        <v>0.21</v>
      </c>
      <c r="E2039" s="4">
        <v>-1.2812120465207549E-2</v>
      </c>
      <c r="F2039" s="3">
        <v>2037</v>
      </c>
      <c r="G2039" s="3">
        <v>2</v>
      </c>
      <c r="H2039" s="5">
        <v>70667750.790000007</v>
      </c>
      <c r="I2039" s="5">
        <v>164501750.78999999</v>
      </c>
      <c r="J2039" s="5">
        <v>110793000</v>
      </c>
      <c r="K2039" s="5">
        <v>16959000</v>
      </c>
      <c r="L2039" s="5">
        <v>210134000</v>
      </c>
      <c r="M2039" s="5">
        <v>23291000</v>
      </c>
      <c r="N2039" s="5">
        <v>123536000</v>
      </c>
    </row>
    <row r="2040" spans="1:14" x14ac:dyDescent="0.25">
      <c r="A2040" s="3" t="s">
        <v>2051</v>
      </c>
      <c r="B2040" s="4">
        <v>-2.5099999999999998</v>
      </c>
      <c r="C2040" s="4">
        <v>-1.34</v>
      </c>
      <c r="D2040" s="4">
        <v>-0.42</v>
      </c>
      <c r="E2040" s="4">
        <v>-1.281819429739336E-2</v>
      </c>
      <c r="F2040" s="3">
        <v>2038</v>
      </c>
      <c r="G2040" s="3">
        <v>2</v>
      </c>
      <c r="H2040" s="5">
        <v>611.40200000000004</v>
      </c>
      <c r="I2040" s="5">
        <v>128904611.402</v>
      </c>
      <c r="J2040" s="5">
        <v>137838000</v>
      </c>
      <c r="K2040" s="5">
        <v>8934000</v>
      </c>
      <c r="L2040" s="5">
        <v>473336000</v>
      </c>
      <c r="M2040" s="5">
        <v>-51404000</v>
      </c>
      <c r="N2040" s="5">
        <v>-115312000</v>
      </c>
    </row>
    <row r="2041" spans="1:14" x14ac:dyDescent="0.25">
      <c r="A2041" s="3" t="s">
        <v>2052</v>
      </c>
      <c r="B2041" s="4">
        <v>4.78</v>
      </c>
      <c r="C2041" s="4">
        <v>0.19</v>
      </c>
      <c r="D2041" s="4">
        <v>0.04</v>
      </c>
      <c r="E2041" s="4">
        <v>-1.282066815478547E-2</v>
      </c>
      <c r="F2041" s="3">
        <v>2039</v>
      </c>
      <c r="G2041" s="3">
        <v>2</v>
      </c>
      <c r="H2041" s="5">
        <v>2099371577.49</v>
      </c>
      <c r="I2041" s="5">
        <v>2637638577.4899998</v>
      </c>
      <c r="J2041" s="5">
        <v>1095052000</v>
      </c>
      <c r="K2041" s="5">
        <v>556785000</v>
      </c>
      <c r="L2041" s="5">
        <v>5966072000</v>
      </c>
      <c r="M2041" s="5">
        <v>552050000</v>
      </c>
      <c r="N2041" s="5">
        <v>210343000</v>
      </c>
    </row>
    <row r="2042" spans="1:14" x14ac:dyDescent="0.25">
      <c r="A2042" s="3" t="s">
        <v>2053</v>
      </c>
      <c r="B2042" s="4">
        <v>4.7</v>
      </c>
      <c r="C2042" s="4">
        <v>0.17</v>
      </c>
      <c r="D2042" s="4">
        <v>0.08</v>
      </c>
      <c r="E2042" s="4">
        <v>-1.2821225616927751E-2</v>
      </c>
      <c r="F2042" s="3">
        <v>2040</v>
      </c>
      <c r="G2042" s="3">
        <v>2</v>
      </c>
      <c r="H2042" s="5">
        <v>178836410.06</v>
      </c>
      <c r="I2042" s="5">
        <v>414557410.06</v>
      </c>
      <c r="J2042" s="5">
        <v>257587000</v>
      </c>
      <c r="K2042" s="5">
        <v>21866000</v>
      </c>
      <c r="L2042" s="5">
        <v>167459000</v>
      </c>
      <c r="M2042" s="5">
        <v>88244000</v>
      </c>
      <c r="N2042" s="5">
        <v>43472000</v>
      </c>
    </row>
    <row r="2043" spans="1:14" x14ac:dyDescent="0.25">
      <c r="A2043" s="3" t="s">
        <v>2054</v>
      </c>
      <c r="B2043" s="4">
        <v>4.37</v>
      </c>
      <c r="C2043" s="4">
        <v>0.1</v>
      </c>
      <c r="D2043" s="4">
        <v>0.06</v>
      </c>
      <c r="E2043" s="4">
        <v>-1.28230951311804E-2</v>
      </c>
      <c r="F2043" s="3">
        <v>2041</v>
      </c>
      <c r="G2043" s="3">
        <v>2</v>
      </c>
      <c r="H2043" s="5">
        <v>163612800</v>
      </c>
      <c r="I2043" s="5">
        <v>220702800</v>
      </c>
      <c r="J2043" s="5">
        <v>66636000</v>
      </c>
      <c r="K2043" s="5">
        <v>9546000</v>
      </c>
      <c r="L2043" s="5">
        <v>134241000</v>
      </c>
      <c r="M2043" s="5">
        <v>50556000</v>
      </c>
      <c r="N2043" s="5">
        <v>20615000</v>
      </c>
    </row>
    <row r="2044" spans="1:14" x14ac:dyDescent="0.25">
      <c r="A2044" s="3" t="s">
        <v>2055</v>
      </c>
      <c r="B2044" s="4">
        <v>-2.72</v>
      </c>
      <c r="C2044" s="4">
        <v>-1.37</v>
      </c>
      <c r="D2044" s="4">
        <v>-0.67</v>
      </c>
      <c r="E2044" s="4">
        <v>-1.282312746323575E-2</v>
      </c>
      <c r="F2044" s="3">
        <v>2042</v>
      </c>
      <c r="G2044" s="3">
        <v>2</v>
      </c>
      <c r="H2044" s="5">
        <v>501490426.80000001</v>
      </c>
      <c r="I2044" s="5">
        <v>535132426.80000001</v>
      </c>
      <c r="J2044" s="5">
        <v>100298000</v>
      </c>
      <c r="K2044" s="5">
        <v>66656000</v>
      </c>
      <c r="L2044" s="5">
        <v>31081000</v>
      </c>
      <c r="M2044" s="5">
        <v>-196583000</v>
      </c>
      <c r="N2044" s="5">
        <v>-200403000</v>
      </c>
    </row>
    <row r="2045" spans="1:14" x14ac:dyDescent="0.25">
      <c r="A2045" s="3" t="s">
        <v>2056</v>
      </c>
      <c r="B2045" s="4">
        <v>4.2699999999999996</v>
      </c>
      <c r="C2045" s="4">
        <v>0.08</v>
      </c>
      <c r="D2045" s="4">
        <v>0.01</v>
      </c>
      <c r="E2045" s="4">
        <v>-1.2828635421126069E-2</v>
      </c>
      <c r="F2045" s="3">
        <v>2043</v>
      </c>
      <c r="G2045" s="3">
        <v>2</v>
      </c>
      <c r="H2045" s="5">
        <v>3188221842.9000001</v>
      </c>
      <c r="I2045" s="5">
        <v>12149174842.9</v>
      </c>
      <c r="J2045" s="5">
        <v>9198948000</v>
      </c>
      <c r="K2045" s="5">
        <v>237995000</v>
      </c>
      <c r="L2045" s="5">
        <v>57439019000</v>
      </c>
      <c r="M2045" s="5">
        <v>2847108000</v>
      </c>
      <c r="N2045" s="5">
        <v>334422000</v>
      </c>
    </row>
    <row r="2046" spans="1:14" x14ac:dyDescent="0.25">
      <c r="A2046" s="3" t="s">
        <v>2057</v>
      </c>
      <c r="B2046" s="4">
        <v>4.24</v>
      </c>
      <c r="C2046" s="4">
        <v>7.0000000000000007E-2</v>
      </c>
      <c r="D2046" s="4">
        <v>0.04</v>
      </c>
      <c r="E2046" s="4">
        <v>-1.2833174331316789E-2</v>
      </c>
      <c r="F2046" s="3">
        <v>2044</v>
      </c>
      <c r="G2046" s="3">
        <v>2</v>
      </c>
      <c r="H2046" s="5">
        <v>53849771.046750002</v>
      </c>
      <c r="I2046" s="5">
        <v>31901921.046750002</v>
      </c>
      <c r="J2046" s="5">
        <v>519860</v>
      </c>
      <c r="K2046" s="5">
        <v>22467710</v>
      </c>
      <c r="L2046" s="5">
        <v>52381970</v>
      </c>
      <c r="M2046" s="5">
        <v>7522440</v>
      </c>
      <c r="N2046" s="5">
        <v>1191170</v>
      </c>
    </row>
    <row r="2047" spans="1:14" x14ac:dyDescent="0.25">
      <c r="A2047" s="3" t="s">
        <v>2058</v>
      </c>
      <c r="B2047" s="4">
        <v>-1.25</v>
      </c>
      <c r="C2047" s="4">
        <v>-1.08</v>
      </c>
      <c r="D2047" s="4">
        <v>-0.36</v>
      </c>
      <c r="E2047" s="4">
        <v>-1.2835226273384169E-2</v>
      </c>
      <c r="F2047" s="3">
        <v>2045</v>
      </c>
      <c r="G2047" s="3">
        <v>2</v>
      </c>
      <c r="H2047" s="5">
        <v>209631112.59999999</v>
      </c>
      <c r="I2047" s="5">
        <v>451146112.60000002</v>
      </c>
      <c r="J2047" s="5">
        <v>420120000</v>
      </c>
      <c r="K2047" s="5">
        <v>178605000</v>
      </c>
      <c r="L2047" s="5">
        <v>7036000</v>
      </c>
      <c r="M2047" s="5">
        <v>-361162000</v>
      </c>
      <c r="N2047" s="5">
        <v>-346740000</v>
      </c>
    </row>
    <row r="2048" spans="1:14" x14ac:dyDescent="0.25">
      <c r="A2048" s="3" t="s">
        <v>2059</v>
      </c>
      <c r="B2048" s="4">
        <v>0.41</v>
      </c>
      <c r="C2048" s="4">
        <v>-0.73</v>
      </c>
      <c r="D2048" s="4">
        <v>-0.28999999999999998</v>
      </c>
      <c r="E2048" s="4">
        <v>-1.283785498755045E-2</v>
      </c>
      <c r="F2048" s="3">
        <v>2046</v>
      </c>
      <c r="G2048" s="3">
        <v>2</v>
      </c>
      <c r="H2048" s="5">
        <v>593910.52439999999</v>
      </c>
      <c r="I2048" s="5">
        <v>-1032749.4756</v>
      </c>
      <c r="J2048" s="5">
        <v>2677850</v>
      </c>
      <c r="K2048" s="5">
        <v>4304510</v>
      </c>
      <c r="L2048" s="5">
        <v>3951650</v>
      </c>
      <c r="M2048" s="5">
        <v>-2533830</v>
      </c>
      <c r="N2048" s="5">
        <v>-2543960</v>
      </c>
    </row>
    <row r="2049" spans="1:14" x14ac:dyDescent="0.25">
      <c r="A2049" s="3" t="s">
        <v>2060</v>
      </c>
      <c r="B2049" s="4">
        <v>4.0199999999999996</v>
      </c>
      <c r="C2049" s="4">
        <v>0.02</v>
      </c>
      <c r="D2049" s="4">
        <v>0.01</v>
      </c>
      <c r="E2049" s="4">
        <v>-1.284726692078589E-2</v>
      </c>
      <c r="F2049" s="3">
        <v>2047</v>
      </c>
      <c r="G2049" s="3">
        <v>2</v>
      </c>
      <c r="H2049" s="5">
        <v>151993559.88</v>
      </c>
      <c r="I2049" s="5">
        <v>186986559.88</v>
      </c>
      <c r="J2049" s="5">
        <v>37500000</v>
      </c>
      <c r="K2049" s="5">
        <v>2507000</v>
      </c>
      <c r="L2049" s="5">
        <v>85840000</v>
      </c>
      <c r="M2049" s="5">
        <v>46542000</v>
      </c>
      <c r="N2049" s="5">
        <v>1473000</v>
      </c>
    </row>
    <row r="2050" spans="1:14" x14ac:dyDescent="0.25">
      <c r="A2050" s="3" t="s">
        <v>2061</v>
      </c>
      <c r="B2050" s="4">
        <v>-0.42</v>
      </c>
      <c r="C2050" s="4">
        <v>-0.91</v>
      </c>
      <c r="D2050" s="4">
        <v>-0.31</v>
      </c>
      <c r="E2050" s="4">
        <v>-1.284809389410828E-2</v>
      </c>
      <c r="F2050" s="3">
        <v>2048</v>
      </c>
      <c r="G2050" s="3">
        <v>2</v>
      </c>
      <c r="H2050" s="5">
        <v>42483051.424999997</v>
      </c>
      <c r="I2050" s="5">
        <v>12354051.425000001</v>
      </c>
      <c r="J2050" s="5">
        <v>4886000</v>
      </c>
      <c r="K2050" s="5">
        <v>35015000</v>
      </c>
      <c r="L2050" s="5">
        <v>11982000</v>
      </c>
      <c r="M2050" s="5">
        <v>-29193000</v>
      </c>
      <c r="N2050" s="5">
        <v>-25114000</v>
      </c>
    </row>
    <row r="2051" spans="1:14" x14ac:dyDescent="0.25">
      <c r="A2051" s="3" t="s">
        <v>2062</v>
      </c>
      <c r="B2051" s="4">
        <v>4.8499999999999996</v>
      </c>
      <c r="C2051" s="4">
        <v>0.19</v>
      </c>
      <c r="D2051" s="4">
        <v>0.12</v>
      </c>
      <c r="E2051" s="4">
        <v>-1.2848560382044971E-2</v>
      </c>
      <c r="F2051" s="3">
        <v>2049</v>
      </c>
      <c r="G2051" s="3">
        <v>2</v>
      </c>
      <c r="H2051" s="5">
        <v>3340472024.75</v>
      </c>
      <c r="I2051" s="5">
        <v>3500183024.75</v>
      </c>
      <c r="J2051" s="5">
        <v>981181000</v>
      </c>
      <c r="K2051" s="5">
        <v>821470000</v>
      </c>
      <c r="L2051" s="5">
        <v>4504670000</v>
      </c>
      <c r="M2051" s="5">
        <v>721546000</v>
      </c>
      <c r="N2051" s="5">
        <v>563725000</v>
      </c>
    </row>
    <row r="2052" spans="1:14" x14ac:dyDescent="0.25">
      <c r="A2052" s="3" t="s">
        <v>2063</v>
      </c>
      <c r="B2052" s="4">
        <v>4.47</v>
      </c>
      <c r="C2052" s="4">
        <v>0.11</v>
      </c>
      <c r="D2052" s="4">
        <v>0.08</v>
      </c>
      <c r="E2052" s="4">
        <v>-1.285223552798171E-2</v>
      </c>
      <c r="F2052" s="3">
        <v>2050</v>
      </c>
      <c r="G2052" s="3">
        <v>2</v>
      </c>
      <c r="H2052" s="5">
        <v>2271234663.77</v>
      </c>
      <c r="I2052" s="5">
        <v>1795440663.77</v>
      </c>
      <c r="J2052" s="5">
        <v>5784000</v>
      </c>
      <c r="K2052" s="5">
        <v>481578000</v>
      </c>
      <c r="L2052" s="5">
        <v>2957285000</v>
      </c>
      <c r="M2052" s="5">
        <v>401885000</v>
      </c>
      <c r="N2052" s="5">
        <v>187579000</v>
      </c>
    </row>
    <row r="2053" spans="1:14" x14ac:dyDescent="0.25">
      <c r="A2053" s="3" t="s">
        <v>2064</v>
      </c>
      <c r="B2053" s="4">
        <v>4.46</v>
      </c>
      <c r="C2053" s="4">
        <v>0.11</v>
      </c>
      <c r="D2053" s="4">
        <v>0.04</v>
      </c>
      <c r="E2053" s="4">
        <v>-1.2853762428594659E-2</v>
      </c>
      <c r="F2053" s="3">
        <v>2051</v>
      </c>
      <c r="G2053" s="3">
        <v>2</v>
      </c>
      <c r="H2053" s="5">
        <v>5661110462.9399996</v>
      </c>
      <c r="I2053" s="5">
        <v>7370410462.9399996</v>
      </c>
      <c r="J2053" s="5">
        <v>2762200000</v>
      </c>
      <c r="K2053" s="5">
        <v>1052900000</v>
      </c>
      <c r="L2053" s="5">
        <v>23306000000</v>
      </c>
      <c r="M2053" s="5">
        <v>1654400000</v>
      </c>
      <c r="N2053" s="5">
        <v>506600000</v>
      </c>
    </row>
    <row r="2054" spans="1:14" x14ac:dyDescent="0.25">
      <c r="A2054" s="3" t="s">
        <v>2065</v>
      </c>
      <c r="B2054" s="4">
        <v>-0.41</v>
      </c>
      <c r="C2054" s="4">
        <v>-0.89</v>
      </c>
      <c r="D2054" s="4">
        <v>-0.61</v>
      </c>
      <c r="E2054" s="4">
        <v>-1.2854366683101619E-2</v>
      </c>
      <c r="F2054" s="3">
        <v>2052</v>
      </c>
      <c r="G2054" s="3">
        <v>2</v>
      </c>
      <c r="H2054" s="5">
        <v>2949573.36</v>
      </c>
      <c r="I2054" s="5">
        <v>1122743.3600000001</v>
      </c>
      <c r="J2054" s="5">
        <v>0</v>
      </c>
      <c r="K2054" s="5">
        <v>1826830</v>
      </c>
      <c r="L2054" s="5">
        <v>48380</v>
      </c>
      <c r="M2054" s="5">
        <v>-2714410</v>
      </c>
      <c r="N2054" s="5">
        <v>-3189210</v>
      </c>
    </row>
    <row r="2055" spans="1:14" x14ac:dyDescent="0.25">
      <c r="A2055" s="3" t="s">
        <v>2066</v>
      </c>
      <c r="B2055" s="4">
        <v>4.4800000000000004</v>
      </c>
      <c r="C2055" s="4">
        <v>0.11</v>
      </c>
      <c r="D2055" s="4">
        <v>0.08</v>
      </c>
      <c r="E2055" s="4">
        <v>-1.285842473367879E-2</v>
      </c>
      <c r="F2055" s="3">
        <v>2053</v>
      </c>
      <c r="G2055" s="3">
        <v>2</v>
      </c>
      <c r="H2055" s="5">
        <v>10052282288.52</v>
      </c>
      <c r="I2055" s="5">
        <v>7499192288.5200005</v>
      </c>
      <c r="J2055" s="5">
        <v>0</v>
      </c>
      <c r="K2055" s="5">
        <v>2553090000</v>
      </c>
      <c r="L2055" s="5">
        <v>7355677000</v>
      </c>
      <c r="M2055" s="5">
        <v>1674850000</v>
      </c>
      <c r="N2055" s="5">
        <v>1584664000</v>
      </c>
    </row>
    <row r="2056" spans="1:14" x14ac:dyDescent="0.25">
      <c r="A2056" s="3" t="s">
        <v>2067</v>
      </c>
      <c r="B2056" s="4">
        <v>-1.44</v>
      </c>
      <c r="C2056" s="4">
        <v>-1.0900000000000001</v>
      </c>
      <c r="D2056" s="4">
        <v>-0.95</v>
      </c>
      <c r="E2056" s="4">
        <v>-1.2860337540227E-2</v>
      </c>
      <c r="F2056" s="3">
        <v>2054</v>
      </c>
      <c r="G2056" s="3">
        <v>2</v>
      </c>
      <c r="H2056" s="5">
        <v>8396171.7899999991</v>
      </c>
      <c r="I2056" s="5">
        <v>6211171.7899999991</v>
      </c>
      <c r="J2056" s="5">
        <v>0</v>
      </c>
      <c r="K2056" s="5">
        <v>2185000</v>
      </c>
      <c r="L2056" s="5">
        <v>210000</v>
      </c>
      <c r="M2056" s="5">
        <v>-4302000</v>
      </c>
      <c r="N2056" s="5">
        <v>-5193000</v>
      </c>
    </row>
    <row r="2057" spans="1:14" x14ac:dyDescent="0.25">
      <c r="A2057" s="3" t="s">
        <v>2068</v>
      </c>
      <c r="B2057" s="4">
        <v>9.5500000000000007</v>
      </c>
      <c r="C2057" s="4">
        <v>1.2</v>
      </c>
      <c r="D2057" s="4">
        <v>-0.03</v>
      </c>
      <c r="E2057" s="4">
        <v>-1.28681681498737E-2</v>
      </c>
      <c r="F2057" s="3">
        <v>2055</v>
      </c>
      <c r="G2057" s="3">
        <v>2</v>
      </c>
      <c r="H2057" s="5">
        <v>370.31420000000003</v>
      </c>
      <c r="I2057" s="5">
        <v>257013370.31420001</v>
      </c>
      <c r="J2057" s="5">
        <v>259600000</v>
      </c>
      <c r="K2057" s="5">
        <v>2587000</v>
      </c>
      <c r="L2057" s="5">
        <v>42673000</v>
      </c>
      <c r="M2057" s="5">
        <v>26912000</v>
      </c>
      <c r="N2057" s="5">
        <v>-13769000</v>
      </c>
    </row>
    <row r="2058" spans="1:14" x14ac:dyDescent="0.25">
      <c r="A2058" s="3" t="s">
        <v>2069</v>
      </c>
      <c r="B2058" s="4">
        <v>3.04</v>
      </c>
      <c r="C2058" s="4">
        <v>-0.19</v>
      </c>
      <c r="D2058" s="4">
        <v>-0.1</v>
      </c>
      <c r="E2058" s="4">
        <v>-1.2868709802128481E-2</v>
      </c>
      <c r="F2058" s="3">
        <v>2056</v>
      </c>
      <c r="G2058" s="3">
        <v>2</v>
      </c>
      <c r="H2058" s="5">
        <v>1359325.2108</v>
      </c>
      <c r="I2058" s="5">
        <v>-38549534.7892</v>
      </c>
      <c r="J2058" s="5">
        <v>12610560</v>
      </c>
      <c r="K2058" s="5">
        <v>52519420</v>
      </c>
      <c r="L2058" s="5">
        <v>75284870</v>
      </c>
      <c r="M2058" s="5">
        <v>-12689160</v>
      </c>
      <c r="N2058" s="5">
        <v>-15602160</v>
      </c>
    </row>
    <row r="2059" spans="1:14" x14ac:dyDescent="0.25">
      <c r="A2059" s="3" t="s">
        <v>2070</v>
      </c>
      <c r="B2059" s="4">
        <v>4.45</v>
      </c>
      <c r="C2059" s="4">
        <v>0.1</v>
      </c>
      <c r="D2059" s="4">
        <v>0.06</v>
      </c>
      <c r="E2059" s="4">
        <v>-1.2872608776757029E-2</v>
      </c>
      <c r="F2059" s="3">
        <v>2057</v>
      </c>
      <c r="G2059" s="3">
        <v>2</v>
      </c>
      <c r="H2059" s="5">
        <v>159543144</v>
      </c>
      <c r="I2059" s="5">
        <v>140587144</v>
      </c>
      <c r="J2059" s="5">
        <v>64451000</v>
      </c>
      <c r="K2059" s="5">
        <v>83407000</v>
      </c>
      <c r="L2059" s="5">
        <v>239273000</v>
      </c>
      <c r="M2059" s="5">
        <v>31587000</v>
      </c>
      <c r="N2059" s="5">
        <v>27814000</v>
      </c>
    </row>
    <row r="2060" spans="1:14" x14ac:dyDescent="0.25">
      <c r="A2060" s="3" t="s">
        <v>2071</v>
      </c>
      <c r="B2060" s="4">
        <v>2.44</v>
      </c>
      <c r="C2060" s="4">
        <v>-0.32</v>
      </c>
      <c r="D2060" s="4">
        <v>-0.11</v>
      </c>
      <c r="E2060" s="4">
        <v>-1.28749033780693E-2</v>
      </c>
      <c r="F2060" s="3">
        <v>2058</v>
      </c>
      <c r="G2060" s="3">
        <v>2</v>
      </c>
      <c r="H2060" s="5">
        <v>19569391.414999999</v>
      </c>
      <c r="I2060" s="5">
        <v>19411931.414999999</v>
      </c>
      <c r="J2060" s="5">
        <v>1963630</v>
      </c>
      <c r="K2060" s="5">
        <v>2121090</v>
      </c>
      <c r="L2060" s="5">
        <v>30407230</v>
      </c>
      <c r="M2060" s="5">
        <v>7968980</v>
      </c>
      <c r="N2060" s="5">
        <v>-1481370</v>
      </c>
    </row>
    <row r="2061" spans="1:14" x14ac:dyDescent="0.25">
      <c r="A2061" s="3" t="s">
        <v>2072</v>
      </c>
      <c r="B2061" s="4">
        <v>4.9400000000000004</v>
      </c>
      <c r="C2061" s="4">
        <v>0.2</v>
      </c>
      <c r="D2061" s="4">
        <v>0.12</v>
      </c>
      <c r="E2061" s="4">
        <v>-1.2875369626304209E-2</v>
      </c>
      <c r="F2061" s="3">
        <v>2059</v>
      </c>
      <c r="G2061" s="3">
        <v>2</v>
      </c>
      <c r="H2061" s="5">
        <v>3177309313.7600002</v>
      </c>
      <c r="I2061" s="5">
        <v>3513893313.7600002</v>
      </c>
      <c r="J2061" s="5">
        <v>473546000</v>
      </c>
      <c r="K2061" s="5">
        <v>136962000</v>
      </c>
      <c r="L2061" s="5">
        <v>2448708000</v>
      </c>
      <c r="M2061" s="5">
        <v>710705000</v>
      </c>
      <c r="N2061" s="5">
        <v>360855000</v>
      </c>
    </row>
    <row r="2062" spans="1:14" x14ac:dyDescent="0.25">
      <c r="A2062" s="3" t="s">
        <v>2073</v>
      </c>
      <c r="B2062" s="4">
        <v>6.83</v>
      </c>
      <c r="C2062" s="4">
        <v>0.62</v>
      </c>
      <c r="D2062" s="4">
        <v>-0.11</v>
      </c>
      <c r="E2062" s="4">
        <v>-1.287596561972724E-2</v>
      </c>
      <c r="F2062" s="3">
        <v>2060</v>
      </c>
      <c r="G2062" s="3">
        <v>2</v>
      </c>
      <c r="H2062" s="5">
        <v>26450416.789999999</v>
      </c>
      <c r="I2062" s="5">
        <v>319435416.79000002</v>
      </c>
      <c r="J2062" s="5">
        <v>320865000</v>
      </c>
      <c r="K2062" s="5">
        <v>27880000</v>
      </c>
      <c r="L2062" s="5">
        <v>554104000</v>
      </c>
      <c r="M2062" s="5">
        <v>46778000</v>
      </c>
      <c r="N2062" s="5">
        <v>-41082000</v>
      </c>
    </row>
    <row r="2063" spans="1:14" x14ac:dyDescent="0.25">
      <c r="A2063" s="3" t="s">
        <v>2074</v>
      </c>
      <c r="B2063" s="4">
        <v>0.26</v>
      </c>
      <c r="C2063" s="4">
        <v>-0.76</v>
      </c>
      <c r="D2063" s="4">
        <v>-0.6</v>
      </c>
      <c r="E2063" s="4">
        <v>-1.2891497547040351E-2</v>
      </c>
      <c r="F2063" s="3">
        <v>2061</v>
      </c>
      <c r="G2063" s="3">
        <v>2</v>
      </c>
      <c r="H2063" s="5">
        <v>8607044.5535000004</v>
      </c>
      <c r="I2063" s="5">
        <v>-11318955.4465</v>
      </c>
      <c r="J2063" s="5">
        <v>0</v>
      </c>
      <c r="K2063" s="5">
        <v>19926000</v>
      </c>
      <c r="L2063" s="5">
        <v>501000</v>
      </c>
      <c r="M2063" s="5">
        <v>-43633000</v>
      </c>
      <c r="N2063" s="5">
        <v>-39834000</v>
      </c>
    </row>
    <row r="2064" spans="1:14" x14ac:dyDescent="0.25">
      <c r="A2064" s="3" t="s">
        <v>2075</v>
      </c>
      <c r="B2064" s="4">
        <v>4.49</v>
      </c>
      <c r="C2064" s="4">
        <v>0.1</v>
      </c>
      <c r="D2064" s="4">
        <v>0.04</v>
      </c>
      <c r="E2064" s="4">
        <v>-1.290122365270035E-2</v>
      </c>
      <c r="F2064" s="3">
        <v>2062</v>
      </c>
      <c r="G2064" s="3">
        <v>2</v>
      </c>
      <c r="H2064" s="5">
        <v>80933648.268000007</v>
      </c>
      <c r="I2064" s="5">
        <v>100632358.26800001</v>
      </c>
      <c r="J2064" s="5">
        <v>26423070</v>
      </c>
      <c r="K2064" s="5">
        <v>6724360</v>
      </c>
      <c r="L2064" s="5">
        <v>176614610</v>
      </c>
      <c r="M2064" s="5">
        <v>22417960</v>
      </c>
      <c r="N2064" s="5">
        <v>11790030</v>
      </c>
    </row>
    <row r="2065" spans="1:14" x14ac:dyDescent="0.25">
      <c r="A2065" s="3" t="s">
        <v>2076</v>
      </c>
      <c r="B2065" s="4">
        <v>4.21</v>
      </c>
      <c r="C2065" s="4">
        <v>0.04</v>
      </c>
      <c r="D2065" s="4">
        <v>0.03</v>
      </c>
      <c r="E2065" s="4">
        <v>-1.2903216561846431E-2</v>
      </c>
      <c r="F2065" s="3">
        <v>2063</v>
      </c>
      <c r="G2065" s="3">
        <v>2</v>
      </c>
      <c r="H2065" s="5">
        <v>3749309.56</v>
      </c>
      <c r="I2065" s="5">
        <v>2267729.56</v>
      </c>
      <c r="J2065" s="5">
        <v>0</v>
      </c>
      <c r="K2065" s="5">
        <v>1481580</v>
      </c>
      <c r="L2065" s="5">
        <v>4420770</v>
      </c>
      <c r="M2065" s="5">
        <v>538760</v>
      </c>
      <c r="N2065" s="5">
        <v>111760</v>
      </c>
    </row>
    <row r="2066" spans="1:14" x14ac:dyDescent="0.25">
      <c r="A2066" s="3" t="s">
        <v>2077</v>
      </c>
      <c r="B2066" s="4">
        <v>6.05</v>
      </c>
      <c r="C2066" s="4">
        <v>0.42</v>
      </c>
      <c r="D2066" s="4">
        <v>0.24</v>
      </c>
      <c r="E2066" s="4">
        <v>-1.2903563785431661E-2</v>
      </c>
      <c r="F2066" s="3">
        <v>2064</v>
      </c>
      <c r="G2066" s="3">
        <v>2</v>
      </c>
      <c r="H2066" s="5">
        <v>19873499766.369999</v>
      </c>
      <c r="I2066" s="5">
        <v>17889163766.369999</v>
      </c>
      <c r="J2066" s="5">
        <v>0</v>
      </c>
      <c r="K2066" s="5">
        <v>1984336000</v>
      </c>
      <c r="L2066" s="5">
        <v>10588126000</v>
      </c>
      <c r="M2066" s="5">
        <v>2955232000</v>
      </c>
      <c r="N2066" s="5">
        <v>1814616000</v>
      </c>
    </row>
    <row r="2067" spans="1:14" x14ac:dyDescent="0.25">
      <c r="A2067" s="3" t="s">
        <v>2078</v>
      </c>
      <c r="B2067" s="4">
        <v>2.4700000000000002</v>
      </c>
      <c r="C2067" s="4">
        <v>-0.33</v>
      </c>
      <c r="D2067" s="4">
        <v>-0.09</v>
      </c>
      <c r="E2067" s="4">
        <v>-1.291850654901998E-2</v>
      </c>
      <c r="F2067" s="3">
        <v>2065</v>
      </c>
      <c r="G2067" s="3">
        <v>2</v>
      </c>
      <c r="H2067" s="5">
        <v>38019541.119999997</v>
      </c>
      <c r="I2067" s="5">
        <v>45619541.119999997</v>
      </c>
      <c r="J2067" s="5">
        <v>14396000</v>
      </c>
      <c r="K2067" s="5">
        <v>6796000</v>
      </c>
      <c r="L2067" s="5">
        <v>342281000</v>
      </c>
      <c r="M2067" s="5">
        <v>18475000</v>
      </c>
      <c r="N2067" s="5">
        <v>-14516000</v>
      </c>
    </row>
    <row r="2068" spans="1:14" x14ac:dyDescent="0.25">
      <c r="A2068" s="3" t="s">
        <v>2079</v>
      </c>
      <c r="B2068" s="4">
        <v>4.6399999999999997</v>
      </c>
      <c r="C2068" s="4">
        <v>0.12</v>
      </c>
      <c r="D2068" s="4">
        <v>0.11</v>
      </c>
      <c r="E2068" s="4">
        <v>-1.2922771338085051E-2</v>
      </c>
      <c r="F2068" s="3">
        <v>2066</v>
      </c>
      <c r="G2068" s="3">
        <v>2</v>
      </c>
      <c r="H2068" s="5">
        <v>60663732.840000004</v>
      </c>
      <c r="I2068" s="5">
        <v>38607732.840000004</v>
      </c>
      <c r="J2068" s="5">
        <v>0</v>
      </c>
      <c r="K2068" s="5">
        <v>22056000</v>
      </c>
      <c r="L2068" s="5">
        <v>41807000</v>
      </c>
      <c r="M2068" s="5">
        <v>8329000</v>
      </c>
      <c r="N2068" s="5">
        <v>6647000</v>
      </c>
    </row>
    <row r="2069" spans="1:14" x14ac:dyDescent="0.25">
      <c r="A2069" s="3" t="s">
        <v>2080</v>
      </c>
      <c r="B2069" s="4">
        <v>5.22</v>
      </c>
      <c r="C2069" s="4">
        <v>0.25</v>
      </c>
      <c r="D2069" s="4">
        <v>0.02</v>
      </c>
      <c r="E2069" s="4">
        <v>-1.292348961652514E-2</v>
      </c>
      <c r="F2069" s="3">
        <v>2067</v>
      </c>
      <c r="G2069" s="3">
        <v>2</v>
      </c>
      <c r="H2069" s="5">
        <v>8754941144.3999996</v>
      </c>
      <c r="I2069" s="5">
        <v>13018954144.4</v>
      </c>
      <c r="J2069" s="5">
        <v>6679545000</v>
      </c>
      <c r="K2069" s="5">
        <v>2415532000</v>
      </c>
      <c r="L2069" s="5">
        <v>17240545000</v>
      </c>
      <c r="M2069" s="5">
        <v>2493522000</v>
      </c>
      <c r="N2069" s="5">
        <v>746558000</v>
      </c>
    </row>
    <row r="2070" spans="1:14" x14ac:dyDescent="0.25">
      <c r="A2070" s="3" t="s">
        <v>2081</v>
      </c>
      <c r="B2070" s="4">
        <v>4.8</v>
      </c>
      <c r="C2070" s="4">
        <v>0.16</v>
      </c>
      <c r="D2070" s="4">
        <v>0.01</v>
      </c>
      <c r="E2070" s="4">
        <v>-1.292551446695552E-2</v>
      </c>
      <c r="F2070" s="3">
        <v>2068</v>
      </c>
      <c r="G2070" s="3">
        <v>2</v>
      </c>
      <c r="H2070" s="5">
        <v>3863614000</v>
      </c>
      <c r="I2070" s="5">
        <v>6385814000</v>
      </c>
      <c r="J2070" s="5">
        <v>4519900000</v>
      </c>
      <c r="K2070" s="5">
        <v>1997700000</v>
      </c>
      <c r="L2070" s="5">
        <v>4525100000</v>
      </c>
      <c r="M2070" s="5">
        <v>1331400000</v>
      </c>
      <c r="N2070" s="5">
        <v>404000000</v>
      </c>
    </row>
    <row r="2071" spans="1:14" x14ac:dyDescent="0.25">
      <c r="A2071" s="3" t="s">
        <v>2082</v>
      </c>
      <c r="B2071" s="4">
        <v>0.42</v>
      </c>
      <c r="C2071" s="4">
        <v>-0.74</v>
      </c>
      <c r="D2071" s="4">
        <v>-0.56999999999999995</v>
      </c>
      <c r="E2071" s="4">
        <v>-1.292695054443216E-2</v>
      </c>
      <c r="F2071" s="3">
        <v>2069</v>
      </c>
      <c r="G2071" s="3">
        <v>2</v>
      </c>
      <c r="H2071" s="5">
        <v>175.4795</v>
      </c>
      <c r="I2071" s="5">
        <v>-5612824.5205000006</v>
      </c>
      <c r="J2071" s="5">
        <v>1218000</v>
      </c>
      <c r="K2071" s="5">
        <v>6831000</v>
      </c>
      <c r="L2071" s="5">
        <v>17417000</v>
      </c>
      <c r="M2071" s="5">
        <v>-13220000</v>
      </c>
      <c r="N2071" s="5">
        <v>-17899000</v>
      </c>
    </row>
    <row r="2072" spans="1:14" x14ac:dyDescent="0.25">
      <c r="A2072" s="3" t="s">
        <v>2083</v>
      </c>
      <c r="B2072" s="4">
        <v>4.2</v>
      </c>
      <c r="C2072" s="4">
        <v>0.03</v>
      </c>
      <c r="D2072" s="4">
        <v>0.02</v>
      </c>
      <c r="E2072" s="4">
        <v>-1.292784998974132E-2</v>
      </c>
      <c r="F2072" s="3">
        <v>2070</v>
      </c>
      <c r="G2072" s="3">
        <v>2</v>
      </c>
      <c r="H2072" s="5">
        <v>1368676902.1400001</v>
      </c>
      <c r="I2072" s="5">
        <v>1727078902.1400001</v>
      </c>
      <c r="J2072" s="5">
        <v>864282000</v>
      </c>
      <c r="K2072" s="5">
        <v>505880000</v>
      </c>
      <c r="L2072" s="5">
        <v>1401688000</v>
      </c>
      <c r="M2072" s="5">
        <v>410837000</v>
      </c>
      <c r="N2072" s="5">
        <v>63047000</v>
      </c>
    </row>
    <row r="2073" spans="1:14" x14ac:dyDescent="0.25">
      <c r="A2073" s="3" t="s">
        <v>2084</v>
      </c>
      <c r="B2073" s="4">
        <v>4.6399999999999997</v>
      </c>
      <c r="C2073" s="4">
        <v>0.12</v>
      </c>
      <c r="D2073" s="4">
        <v>0.05</v>
      </c>
      <c r="E2073" s="4">
        <v>-1.293434549755009E-2</v>
      </c>
      <c r="F2073" s="3">
        <v>2071</v>
      </c>
      <c r="G2073" s="3">
        <v>2</v>
      </c>
      <c r="H2073" s="5">
        <v>170726293.80000001</v>
      </c>
      <c r="I2073" s="5">
        <v>102377293.8</v>
      </c>
      <c r="J2073" s="5">
        <v>262000</v>
      </c>
      <c r="K2073" s="5">
        <v>68611000</v>
      </c>
      <c r="L2073" s="5">
        <v>123651000</v>
      </c>
      <c r="M2073" s="5">
        <v>22043000</v>
      </c>
      <c r="N2073" s="5">
        <v>9535000</v>
      </c>
    </row>
    <row r="2074" spans="1:14" x14ac:dyDescent="0.25">
      <c r="A2074" s="3" t="s">
        <v>2085</v>
      </c>
      <c r="B2074" s="4">
        <v>4.7</v>
      </c>
      <c r="C2074" s="4">
        <v>0.13</v>
      </c>
      <c r="D2074" s="4">
        <v>0.06</v>
      </c>
      <c r="E2074" s="4">
        <v>-1.294065809814059E-2</v>
      </c>
      <c r="F2074" s="3">
        <v>2072</v>
      </c>
      <c r="G2074" s="3">
        <v>2</v>
      </c>
      <c r="H2074" s="5">
        <v>1600784702.4400001</v>
      </c>
      <c r="I2074" s="5">
        <v>2954097702.4400001</v>
      </c>
      <c r="J2074" s="5">
        <v>2057946000</v>
      </c>
      <c r="K2074" s="5">
        <v>704633000</v>
      </c>
      <c r="L2074" s="5">
        <v>2083894000</v>
      </c>
      <c r="M2074" s="5">
        <v>628119000</v>
      </c>
      <c r="N2074" s="5">
        <v>319919000</v>
      </c>
    </row>
    <row r="2075" spans="1:14" x14ac:dyDescent="0.25">
      <c r="A2075" s="3" t="s">
        <v>2086</v>
      </c>
      <c r="B2075" s="4">
        <v>3.67</v>
      </c>
      <c r="C2075" s="4">
        <v>-0.09</v>
      </c>
      <c r="D2075" s="4">
        <v>0.03</v>
      </c>
      <c r="E2075" s="4">
        <v>-1.29446163453922E-2</v>
      </c>
      <c r="F2075" s="3">
        <v>2073</v>
      </c>
      <c r="G2075" s="3">
        <v>2</v>
      </c>
      <c r="H2075" s="5">
        <v>129907395.81</v>
      </c>
      <c r="I2075" s="5">
        <v>378299395.81</v>
      </c>
      <c r="J2075" s="5">
        <v>296915000</v>
      </c>
      <c r="K2075" s="5">
        <v>48523000</v>
      </c>
      <c r="L2075" s="5">
        <v>1103737000</v>
      </c>
      <c r="M2075" s="5">
        <v>103004000</v>
      </c>
      <c r="N2075" s="5">
        <v>16318000</v>
      </c>
    </row>
    <row r="2076" spans="1:14" x14ac:dyDescent="0.25">
      <c r="A2076" s="3" t="s">
        <v>2087</v>
      </c>
      <c r="B2076" s="4">
        <v>5.09</v>
      </c>
      <c r="C2076" s="4">
        <v>0.21</v>
      </c>
      <c r="D2076" s="4">
        <v>0.09</v>
      </c>
      <c r="E2076" s="4">
        <v>-1.294510118447843E-2</v>
      </c>
      <c r="F2076" s="3">
        <v>2074</v>
      </c>
      <c r="G2076" s="3">
        <v>2</v>
      </c>
      <c r="H2076" s="5">
        <v>3147385360.4400001</v>
      </c>
      <c r="I2076" s="5">
        <v>3344135360.4400001</v>
      </c>
      <c r="J2076" s="5">
        <v>485679000</v>
      </c>
      <c r="K2076" s="5">
        <v>288929000</v>
      </c>
      <c r="L2076" s="5">
        <v>5933450000</v>
      </c>
      <c r="M2076" s="5">
        <v>656739000</v>
      </c>
      <c r="N2076" s="5">
        <v>418447000</v>
      </c>
    </row>
    <row r="2077" spans="1:14" x14ac:dyDescent="0.25">
      <c r="A2077" s="3" t="s">
        <v>2088</v>
      </c>
      <c r="B2077" s="4">
        <v>4.5199999999999996</v>
      </c>
      <c r="C2077" s="4">
        <v>0.09</v>
      </c>
      <c r="D2077" s="4">
        <v>0.03</v>
      </c>
      <c r="E2077" s="4">
        <v>-1.295061390338354E-2</v>
      </c>
      <c r="F2077" s="3">
        <v>2075</v>
      </c>
      <c r="G2077" s="3">
        <v>2</v>
      </c>
      <c r="H2077" s="5">
        <v>29213831.549600001</v>
      </c>
      <c r="I2077" s="5">
        <v>12220213831.549601</v>
      </c>
      <c r="J2077" s="5">
        <v>12235000000</v>
      </c>
      <c r="K2077" s="5">
        <v>44000000</v>
      </c>
      <c r="L2077" s="5">
        <v>7200000000</v>
      </c>
      <c r="M2077" s="5">
        <v>2706000000</v>
      </c>
      <c r="N2077" s="5">
        <v>1009000000</v>
      </c>
    </row>
    <row r="2078" spans="1:14" x14ac:dyDescent="0.25">
      <c r="A2078" s="3" t="s">
        <v>2089</v>
      </c>
      <c r="B2078" s="4">
        <v>4.53</v>
      </c>
      <c r="C2078" s="4">
        <v>0.09</v>
      </c>
      <c r="D2078" s="4">
        <v>0.06</v>
      </c>
      <c r="E2078" s="4">
        <v>-1.29510160293481E-2</v>
      </c>
      <c r="F2078" s="3">
        <v>2076</v>
      </c>
      <c r="G2078" s="3">
        <v>2</v>
      </c>
      <c r="H2078" s="5">
        <v>161467117.58000001</v>
      </c>
      <c r="I2078" s="5">
        <v>141184117.58000001</v>
      </c>
      <c r="J2078" s="5">
        <v>21520000</v>
      </c>
      <c r="K2078" s="5">
        <v>41803000</v>
      </c>
      <c r="L2078" s="5">
        <v>302378000</v>
      </c>
      <c r="M2078" s="5">
        <v>31139000</v>
      </c>
      <c r="N2078" s="5">
        <v>13299000</v>
      </c>
    </row>
    <row r="2079" spans="1:14" x14ac:dyDescent="0.25">
      <c r="A2079" s="3" t="s">
        <v>2090</v>
      </c>
      <c r="B2079" s="4">
        <v>5.18</v>
      </c>
      <c r="C2079" s="4">
        <v>0.22</v>
      </c>
      <c r="D2079" s="4">
        <v>0.16</v>
      </c>
      <c r="E2079" s="4">
        <v>-1.295840724269513E-2</v>
      </c>
      <c r="F2079" s="3">
        <v>2077</v>
      </c>
      <c r="G2079" s="3">
        <v>2</v>
      </c>
      <c r="H2079" s="5">
        <v>2475225078.6399999</v>
      </c>
      <c r="I2079" s="5">
        <v>3006126078.6399999</v>
      </c>
      <c r="J2079" s="5">
        <v>688407000</v>
      </c>
      <c r="K2079" s="5">
        <v>157506000</v>
      </c>
      <c r="L2079" s="5">
        <v>951613000</v>
      </c>
      <c r="M2079" s="5">
        <v>580876000</v>
      </c>
      <c r="N2079" s="5">
        <v>416724000</v>
      </c>
    </row>
    <row r="2080" spans="1:14" x14ac:dyDescent="0.25">
      <c r="A2080" s="3" t="s">
        <v>2091</v>
      </c>
      <c r="B2080" s="4">
        <v>-0.64</v>
      </c>
      <c r="C2080" s="4">
        <v>-0.98</v>
      </c>
      <c r="D2080" s="4">
        <v>-0.56000000000000005</v>
      </c>
      <c r="E2080" s="4">
        <v>-1.2962412282311431E-2</v>
      </c>
      <c r="F2080" s="3">
        <v>2078</v>
      </c>
      <c r="G2080" s="3">
        <v>2</v>
      </c>
      <c r="H2080" s="5">
        <v>3002508.1814339999</v>
      </c>
      <c r="I2080" s="5">
        <v>13470728.181434</v>
      </c>
      <c r="J2080" s="5">
        <v>11144000</v>
      </c>
      <c r="K2080" s="5">
        <v>675780</v>
      </c>
      <c r="L2080" s="5">
        <v>373680</v>
      </c>
      <c r="M2080" s="5">
        <v>-20924870</v>
      </c>
      <c r="N2080" s="5">
        <v>-16733790</v>
      </c>
    </row>
    <row r="2081" spans="1:14" x14ac:dyDescent="0.25">
      <c r="A2081" s="3" t="s">
        <v>2092</v>
      </c>
      <c r="B2081" s="4">
        <v>2.76</v>
      </c>
      <c r="C2081" s="4">
        <v>-0.28000000000000003</v>
      </c>
      <c r="D2081" s="4">
        <v>-0.17</v>
      </c>
      <c r="E2081" s="4">
        <v>-1.296895769178298E-2</v>
      </c>
      <c r="F2081" s="3">
        <v>2079</v>
      </c>
      <c r="G2081" s="3">
        <v>2</v>
      </c>
      <c r="H2081" s="5">
        <v>2301999085.6799998</v>
      </c>
      <c r="I2081" s="5">
        <v>3314405085.6799998</v>
      </c>
      <c r="J2081" s="5">
        <v>1251588000</v>
      </c>
      <c r="K2081" s="5">
        <v>239182000</v>
      </c>
      <c r="L2081" s="5">
        <v>5377911000</v>
      </c>
      <c r="M2081" s="5">
        <v>1200413000</v>
      </c>
      <c r="N2081" s="5">
        <v>-968031000</v>
      </c>
    </row>
    <row r="2082" spans="1:14" x14ac:dyDescent="0.25">
      <c r="A2082" s="3" t="s">
        <v>2093</v>
      </c>
      <c r="B2082" s="4">
        <v>-0.31</v>
      </c>
      <c r="C2082" s="4">
        <v>-0.93</v>
      </c>
      <c r="D2082" s="4">
        <v>-0.28999999999999998</v>
      </c>
      <c r="E2082" s="4">
        <v>-1.297010431765004E-2</v>
      </c>
      <c r="F2082" s="3">
        <v>2080</v>
      </c>
      <c r="G2082" s="3">
        <v>2</v>
      </c>
      <c r="H2082" s="5">
        <v>4435854</v>
      </c>
      <c r="I2082" s="5">
        <v>2210274</v>
      </c>
      <c r="J2082" s="5">
        <v>1922700</v>
      </c>
      <c r="K2082" s="5">
        <v>4148280</v>
      </c>
      <c r="L2082" s="5">
        <v>58303840</v>
      </c>
      <c r="M2082" s="5">
        <v>-7058640</v>
      </c>
      <c r="N2082" s="5">
        <v>-6616670</v>
      </c>
    </row>
    <row r="2083" spans="1:14" x14ac:dyDescent="0.25">
      <c r="A2083" s="3" t="s">
        <v>2094</v>
      </c>
      <c r="B2083" s="4">
        <v>5.1100000000000003</v>
      </c>
      <c r="C2083" s="4">
        <v>0.21</v>
      </c>
      <c r="D2083" s="4">
        <v>0.02</v>
      </c>
      <c r="E2083" s="4">
        <v>-1.297098278191512E-2</v>
      </c>
      <c r="F2083" s="3">
        <v>2081</v>
      </c>
      <c r="G2083" s="3">
        <v>2</v>
      </c>
      <c r="H2083" s="5">
        <v>6.5507960000000001</v>
      </c>
      <c r="I2083" s="5">
        <v>146908006.550796</v>
      </c>
      <c r="J2083" s="5">
        <v>146954000</v>
      </c>
      <c r="K2083" s="5">
        <v>46000</v>
      </c>
      <c r="L2083" s="5">
        <v>83505000</v>
      </c>
      <c r="M2083" s="5">
        <v>28731000</v>
      </c>
      <c r="N2083" s="5">
        <v>3850000</v>
      </c>
    </row>
    <row r="2084" spans="1:14" x14ac:dyDescent="0.25">
      <c r="A2084" s="3" t="s">
        <v>2095</v>
      </c>
      <c r="B2084" s="4">
        <v>5.68</v>
      </c>
      <c r="C2084" s="4">
        <v>0.33</v>
      </c>
      <c r="D2084" s="4">
        <v>0.03</v>
      </c>
      <c r="E2084" s="4">
        <v>-1.297511519589754E-2</v>
      </c>
      <c r="F2084" s="3">
        <v>2082</v>
      </c>
      <c r="G2084" s="3">
        <v>2</v>
      </c>
      <c r="H2084" s="5">
        <v>29136518980.049999</v>
      </c>
      <c r="I2084" s="5">
        <v>124440518980.05</v>
      </c>
      <c r="J2084" s="5">
        <v>95763000000</v>
      </c>
      <c r="K2084" s="5">
        <v>459000000</v>
      </c>
      <c r="L2084" s="5">
        <v>55085000000</v>
      </c>
      <c r="M2084" s="5">
        <v>21918000000</v>
      </c>
      <c r="N2084" s="5">
        <v>5083000000</v>
      </c>
    </row>
    <row r="2085" spans="1:14" x14ac:dyDescent="0.25">
      <c r="A2085" s="3" t="s">
        <v>2096</v>
      </c>
      <c r="B2085" s="4">
        <v>5.12</v>
      </c>
      <c r="C2085" s="4">
        <v>0.21</v>
      </c>
      <c r="D2085" s="4">
        <v>0.02</v>
      </c>
      <c r="E2085" s="4">
        <v>-1.29771719876122E-2</v>
      </c>
      <c r="F2085" s="3">
        <v>2083</v>
      </c>
      <c r="G2085" s="3">
        <v>2</v>
      </c>
      <c r="H2085" s="5">
        <v>63374659.030000001</v>
      </c>
      <c r="I2085" s="5">
        <v>217892659.03</v>
      </c>
      <c r="J2085" s="5">
        <v>187893000</v>
      </c>
      <c r="K2085" s="5">
        <v>33375000</v>
      </c>
      <c r="L2085" s="5">
        <v>173594000</v>
      </c>
      <c r="M2085" s="5">
        <v>42589000</v>
      </c>
      <c r="N2085" s="5">
        <v>6169000</v>
      </c>
    </row>
    <row r="2086" spans="1:14" x14ac:dyDescent="0.25">
      <c r="A2086" s="3" t="s">
        <v>2097</v>
      </c>
      <c r="B2086" s="4">
        <v>-1.1499999999999999</v>
      </c>
      <c r="C2086" s="4">
        <v>-1.07</v>
      </c>
      <c r="D2086" s="4">
        <v>-0.96</v>
      </c>
      <c r="E2086" s="4">
        <v>-1.298396631799084E-2</v>
      </c>
      <c r="F2086" s="3">
        <v>2084</v>
      </c>
      <c r="G2086" s="3">
        <v>2</v>
      </c>
      <c r="H2086" s="5">
        <v>17640536.550000001</v>
      </c>
      <c r="I2086" s="5">
        <v>8119536.5500000007</v>
      </c>
      <c r="J2086" s="5">
        <v>0</v>
      </c>
      <c r="K2086" s="5">
        <v>9521000</v>
      </c>
      <c r="L2086" s="5">
        <v>7806000</v>
      </c>
      <c r="M2086" s="5">
        <v>-7039000</v>
      </c>
      <c r="N2086" s="5">
        <v>-9559000</v>
      </c>
    </row>
    <row r="2087" spans="1:14" x14ac:dyDescent="0.25">
      <c r="A2087" s="3" t="s">
        <v>2098</v>
      </c>
      <c r="B2087" s="4">
        <v>5.33</v>
      </c>
      <c r="C2087" s="4">
        <v>0.25</v>
      </c>
      <c r="D2087" s="4">
        <v>0.05</v>
      </c>
      <c r="E2087" s="4">
        <v>-1.2985783799460479E-2</v>
      </c>
      <c r="F2087" s="3">
        <v>2085</v>
      </c>
      <c r="G2087" s="3">
        <v>2</v>
      </c>
      <c r="H2087" s="5">
        <v>3084518201.9099998</v>
      </c>
      <c r="I2087" s="5">
        <v>3386918201.9099998</v>
      </c>
      <c r="J2087" s="5">
        <v>1948400000</v>
      </c>
      <c r="K2087" s="5">
        <v>1646000000</v>
      </c>
      <c r="L2087" s="5">
        <v>3989800000</v>
      </c>
      <c r="M2087" s="5">
        <v>635000000</v>
      </c>
      <c r="N2087" s="5">
        <v>306000000</v>
      </c>
    </row>
    <row r="2088" spans="1:14" x14ac:dyDescent="0.25">
      <c r="A2088" s="3" t="s">
        <v>2099</v>
      </c>
      <c r="B2088" s="4">
        <v>2.59</v>
      </c>
      <c r="C2088" s="4">
        <v>-0.32</v>
      </c>
      <c r="D2088" s="4">
        <v>-0.22</v>
      </c>
      <c r="E2088" s="4">
        <v>-1.2988960755878021E-2</v>
      </c>
      <c r="F2088" s="3">
        <v>2086</v>
      </c>
      <c r="G2088" s="3">
        <v>2</v>
      </c>
      <c r="H2088" s="5">
        <v>418142180.43000001</v>
      </c>
      <c r="I2088" s="5">
        <v>-99835819.569999993</v>
      </c>
      <c r="J2088" s="5">
        <v>69771000</v>
      </c>
      <c r="K2088" s="5">
        <v>587749000</v>
      </c>
      <c r="L2088" s="5">
        <v>1466698000</v>
      </c>
      <c r="M2088" s="5">
        <v>-38565000</v>
      </c>
      <c r="N2088" s="5">
        <v>-589527000</v>
      </c>
    </row>
    <row r="2089" spans="1:14" x14ac:dyDescent="0.25">
      <c r="A2089" s="3" t="s">
        <v>2100</v>
      </c>
      <c r="B2089" s="4">
        <v>3.21</v>
      </c>
      <c r="C2089" s="4">
        <v>-0.19</v>
      </c>
      <c r="D2089" s="4">
        <v>-0.18</v>
      </c>
      <c r="E2089" s="4">
        <v>-1.2989358511598839E-2</v>
      </c>
      <c r="F2089" s="3">
        <v>2087</v>
      </c>
      <c r="G2089" s="3">
        <v>2</v>
      </c>
      <c r="H2089" s="5">
        <v>32348125</v>
      </c>
      <c r="I2089" s="5">
        <v>-62502875</v>
      </c>
      <c r="J2089" s="5">
        <v>0</v>
      </c>
      <c r="K2089" s="5">
        <v>94851000</v>
      </c>
      <c r="L2089" s="5">
        <v>0</v>
      </c>
      <c r="M2089" s="5">
        <v>-19494000</v>
      </c>
      <c r="N2089" s="5">
        <v>-17602000</v>
      </c>
    </row>
    <row r="2090" spans="1:14" x14ac:dyDescent="0.25">
      <c r="A2090" s="3" t="s">
        <v>2101</v>
      </c>
      <c r="B2090" s="4">
        <v>-2.72</v>
      </c>
      <c r="C2090" s="4">
        <v>-1.43</v>
      </c>
      <c r="D2090" s="4">
        <v>-0.64</v>
      </c>
      <c r="E2090" s="4">
        <v>-1.299070202558998E-2</v>
      </c>
      <c r="F2090" s="3">
        <v>2088</v>
      </c>
      <c r="G2090" s="3">
        <v>2</v>
      </c>
      <c r="H2090" s="5">
        <v>25903045.600000001</v>
      </c>
      <c r="I2090" s="5">
        <v>13395045.6</v>
      </c>
      <c r="J2090" s="5">
        <v>0</v>
      </c>
      <c r="K2090" s="5">
        <v>12508000</v>
      </c>
      <c r="L2090" s="5">
        <v>500000</v>
      </c>
      <c r="M2090" s="5">
        <v>-4921000</v>
      </c>
      <c r="N2090" s="5">
        <v>-9701000</v>
      </c>
    </row>
    <row r="2091" spans="1:14" x14ac:dyDescent="0.25">
      <c r="A2091" s="3" t="s">
        <v>2102</v>
      </c>
      <c r="B2091" s="4">
        <v>-0.53</v>
      </c>
      <c r="C2091" s="4">
        <v>-0.95</v>
      </c>
      <c r="D2091" s="4">
        <v>-0.83</v>
      </c>
      <c r="E2091" s="4">
        <v>-1.299589644152857E-2</v>
      </c>
      <c r="F2091" s="3">
        <v>2089</v>
      </c>
      <c r="G2091" s="3">
        <v>2</v>
      </c>
      <c r="H2091" s="5">
        <v>97722558.599999994</v>
      </c>
      <c r="I2091" s="5">
        <v>40335558.599999987</v>
      </c>
      <c r="J2091" s="5">
        <v>0</v>
      </c>
      <c r="K2091" s="5">
        <v>57387000</v>
      </c>
      <c r="L2091" s="5">
        <v>5721000</v>
      </c>
      <c r="M2091" s="5">
        <v>-76538000</v>
      </c>
      <c r="N2091" s="5">
        <v>-75410000</v>
      </c>
    </row>
    <row r="2092" spans="1:14" x14ac:dyDescent="0.25">
      <c r="A2092" s="3" t="s">
        <v>2103</v>
      </c>
      <c r="B2092" s="4">
        <v>1.06</v>
      </c>
      <c r="C2092" s="4">
        <v>-0.63</v>
      </c>
      <c r="D2092" s="4">
        <v>-0.54</v>
      </c>
      <c r="E2092" s="4">
        <v>-1.2999442952153561E-2</v>
      </c>
      <c r="F2092" s="3">
        <v>2090</v>
      </c>
      <c r="G2092" s="3">
        <v>2</v>
      </c>
      <c r="H2092" s="5">
        <v>7642742.432</v>
      </c>
      <c r="I2092" s="5">
        <v>-15207147.568</v>
      </c>
      <c r="J2092" s="5">
        <v>0</v>
      </c>
      <c r="K2092" s="5">
        <v>22849890</v>
      </c>
      <c r="L2092" s="5">
        <v>1502580</v>
      </c>
      <c r="M2092" s="5">
        <v>-14297340</v>
      </c>
      <c r="N2092" s="5">
        <v>-12958710</v>
      </c>
    </row>
    <row r="2093" spans="1:14" x14ac:dyDescent="0.25">
      <c r="A2093" s="3" t="s">
        <v>2104</v>
      </c>
      <c r="B2093" s="4">
        <v>5.09</v>
      </c>
      <c r="C2093" s="4">
        <v>0.19</v>
      </c>
      <c r="D2093" s="4">
        <v>0.06</v>
      </c>
      <c r="E2093" s="4">
        <v>-1.300867547823986E-2</v>
      </c>
      <c r="F2093" s="3">
        <v>2091</v>
      </c>
      <c r="G2093" s="3">
        <v>2</v>
      </c>
      <c r="H2093" s="5">
        <v>101810412469.7</v>
      </c>
      <c r="I2093" s="5">
        <v>193581412469.70001</v>
      </c>
      <c r="J2093" s="5">
        <v>99093000000</v>
      </c>
      <c r="K2093" s="5">
        <v>7322000000</v>
      </c>
      <c r="L2093" s="5">
        <v>123731000000</v>
      </c>
      <c r="M2093" s="5">
        <v>38069000000</v>
      </c>
      <c r="N2093" s="5">
        <v>16192000000</v>
      </c>
    </row>
    <row r="2094" spans="1:14" x14ac:dyDescent="0.25">
      <c r="A2094" s="3" t="s">
        <v>2105</v>
      </c>
      <c r="B2094" s="4">
        <v>4.0599999999999996</v>
      </c>
      <c r="C2094" s="4">
        <v>-0.03</v>
      </c>
      <c r="D2094" s="4">
        <v>-0.01</v>
      </c>
      <c r="E2094" s="4">
        <v>-1.30203498318015E-2</v>
      </c>
      <c r="F2094" s="3">
        <v>2092</v>
      </c>
      <c r="G2094" s="3">
        <v>2</v>
      </c>
      <c r="H2094" s="5">
        <v>149038230</v>
      </c>
      <c r="I2094" s="5">
        <v>127951230</v>
      </c>
      <c r="J2094" s="5">
        <v>35000000</v>
      </c>
      <c r="K2094" s="5">
        <v>56087000</v>
      </c>
      <c r="L2094" s="5">
        <v>432470000</v>
      </c>
      <c r="M2094" s="5">
        <v>31497000</v>
      </c>
      <c r="N2094" s="5">
        <v>-5747000</v>
      </c>
    </row>
    <row r="2095" spans="1:14" x14ac:dyDescent="0.25">
      <c r="A2095" s="3" t="s">
        <v>2106</v>
      </c>
      <c r="B2095" s="4">
        <v>4.79</v>
      </c>
      <c r="C2095" s="4">
        <v>0.12</v>
      </c>
      <c r="D2095" s="4">
        <v>0.06</v>
      </c>
      <c r="E2095" s="4">
        <v>-1.302525455642874E-2</v>
      </c>
      <c r="F2095" s="3">
        <v>2093</v>
      </c>
      <c r="G2095" s="3">
        <v>2</v>
      </c>
      <c r="H2095" s="5">
        <v>1401208626.9400001</v>
      </c>
      <c r="I2095" s="5">
        <v>3259979626.9400001</v>
      </c>
      <c r="J2095" s="5">
        <v>2128937000</v>
      </c>
      <c r="K2095" s="5">
        <v>270166000</v>
      </c>
      <c r="L2095" s="5">
        <v>1334066000</v>
      </c>
      <c r="M2095" s="5">
        <v>680344000</v>
      </c>
      <c r="N2095" s="5">
        <v>367308000</v>
      </c>
    </row>
    <row r="2096" spans="1:14" x14ac:dyDescent="0.25">
      <c r="A2096" s="3" t="s">
        <v>2107</v>
      </c>
      <c r="B2096" s="4">
        <v>-0.76</v>
      </c>
      <c r="C2096" s="4">
        <v>-1.02</v>
      </c>
      <c r="D2096" s="4">
        <v>-0.71</v>
      </c>
      <c r="E2096" s="4">
        <v>-1.303265164066692E-2</v>
      </c>
      <c r="F2096" s="3">
        <v>2094</v>
      </c>
      <c r="G2096" s="3">
        <v>2</v>
      </c>
      <c r="H2096" s="5">
        <v>18.375108000000001</v>
      </c>
      <c r="I2096" s="5">
        <v>117503018.375108</v>
      </c>
      <c r="J2096" s="5">
        <v>305760000</v>
      </c>
      <c r="K2096" s="5">
        <v>188257000</v>
      </c>
      <c r="L2096" s="5">
        <v>0</v>
      </c>
      <c r="M2096" s="5">
        <v>-153616000</v>
      </c>
      <c r="N2096" s="5">
        <v>-1103575000</v>
      </c>
    </row>
    <row r="2097" spans="1:14" x14ac:dyDescent="0.25">
      <c r="A2097" s="3" t="s">
        <v>2108</v>
      </c>
      <c r="B2097" s="4">
        <v>0.04</v>
      </c>
      <c r="C2097" s="4">
        <v>-0.85</v>
      </c>
      <c r="D2097" s="4">
        <v>-0.69</v>
      </c>
      <c r="E2097" s="4">
        <v>-1.3032738724032321E-2</v>
      </c>
      <c r="F2097" s="3">
        <v>2095</v>
      </c>
      <c r="G2097" s="3">
        <v>2</v>
      </c>
      <c r="H2097" s="5">
        <v>25770939.300000001</v>
      </c>
      <c r="I2097" s="5">
        <v>-1956060.699999999</v>
      </c>
      <c r="J2097" s="5">
        <v>0</v>
      </c>
      <c r="K2097" s="5">
        <v>27727000</v>
      </c>
      <c r="L2097" s="5">
        <v>0</v>
      </c>
      <c r="M2097" s="5">
        <v>-54306000</v>
      </c>
      <c r="N2097" s="5">
        <v>-55654000</v>
      </c>
    </row>
    <row r="2098" spans="1:14" x14ac:dyDescent="0.25">
      <c r="A2098" s="3" t="s">
        <v>2109</v>
      </c>
      <c r="B2098" s="4">
        <v>5.81</v>
      </c>
      <c r="C2098" s="4">
        <v>0.33</v>
      </c>
      <c r="D2098" s="4">
        <v>0.14000000000000001</v>
      </c>
      <c r="E2098" s="4">
        <v>-1.3034355577606981E-2</v>
      </c>
      <c r="F2098" s="3">
        <v>2096</v>
      </c>
      <c r="G2098" s="3">
        <v>2</v>
      </c>
      <c r="H2098" s="5">
        <v>249083225.23500001</v>
      </c>
      <c r="I2098" s="5">
        <v>246912225.23500001</v>
      </c>
      <c r="J2098" s="5">
        <v>67048000</v>
      </c>
      <c r="K2098" s="5">
        <v>69219000</v>
      </c>
      <c r="L2098" s="5">
        <v>230468000</v>
      </c>
      <c r="M2098" s="5">
        <v>42490000</v>
      </c>
      <c r="N2098" s="5">
        <v>30278000</v>
      </c>
    </row>
    <row r="2099" spans="1:14" x14ac:dyDescent="0.25">
      <c r="A2099" s="3" t="s">
        <v>2110</v>
      </c>
      <c r="B2099" s="4">
        <v>4.75</v>
      </c>
      <c r="C2099" s="4">
        <v>0.11</v>
      </c>
      <c r="D2099" s="4">
        <v>0.03</v>
      </c>
      <c r="E2099" s="4">
        <v>-1.303517842038741E-2</v>
      </c>
      <c r="F2099" s="3">
        <v>2097</v>
      </c>
      <c r="G2099" s="3">
        <v>2</v>
      </c>
      <c r="H2099" s="5">
        <v>186382908.52000001</v>
      </c>
      <c r="I2099" s="5">
        <v>2769723908.52</v>
      </c>
      <c r="J2099" s="5">
        <v>2607193000</v>
      </c>
      <c r="K2099" s="5">
        <v>23852000</v>
      </c>
      <c r="L2099" s="5">
        <v>2509772000</v>
      </c>
      <c r="M2099" s="5">
        <v>582820000</v>
      </c>
      <c r="N2099" s="5">
        <v>146218000</v>
      </c>
    </row>
    <row r="2100" spans="1:14" x14ac:dyDescent="0.25">
      <c r="A2100" s="3" t="s">
        <v>2111</v>
      </c>
      <c r="B2100" s="4">
        <v>4.76</v>
      </c>
      <c r="C2100" s="4">
        <v>0.11</v>
      </c>
      <c r="D2100" s="4">
        <v>0.03</v>
      </c>
      <c r="E2100" s="4">
        <v>-1.3041367626084479E-2</v>
      </c>
      <c r="F2100" s="3">
        <v>2098</v>
      </c>
      <c r="G2100" s="3">
        <v>2</v>
      </c>
      <c r="H2100" s="5">
        <v>846338340.89999998</v>
      </c>
      <c r="I2100" s="5">
        <v>778138340.89999998</v>
      </c>
      <c r="J2100" s="5">
        <v>100000</v>
      </c>
      <c r="K2100" s="5">
        <v>68300000</v>
      </c>
      <c r="L2100" s="5">
        <v>880700000</v>
      </c>
      <c r="M2100" s="5">
        <v>163500000</v>
      </c>
      <c r="N2100" s="5">
        <v>118600000</v>
      </c>
    </row>
    <row r="2101" spans="1:14" x14ac:dyDescent="0.25">
      <c r="A2101" s="3" t="s">
        <v>2112</v>
      </c>
      <c r="B2101" s="4">
        <v>4.7300000000000004</v>
      </c>
      <c r="C2101" s="4">
        <v>0.1</v>
      </c>
      <c r="D2101" s="4">
        <v>0.06</v>
      </c>
      <c r="E2101" s="4">
        <v>-1.3045906536275201E-2</v>
      </c>
      <c r="F2101" s="3">
        <v>2099</v>
      </c>
      <c r="G2101" s="3">
        <v>2</v>
      </c>
      <c r="H2101" s="5">
        <v>3533696000</v>
      </c>
      <c r="I2101" s="5">
        <v>3181396000</v>
      </c>
      <c r="J2101" s="5">
        <v>348100000</v>
      </c>
      <c r="K2101" s="5">
        <v>700400000</v>
      </c>
      <c r="L2101" s="5">
        <v>4236700000</v>
      </c>
      <c r="M2101" s="5">
        <v>672200000</v>
      </c>
      <c r="N2101" s="5">
        <v>370900000</v>
      </c>
    </row>
    <row r="2102" spans="1:14" x14ac:dyDescent="0.25">
      <c r="A2102" s="3" t="s">
        <v>2113</v>
      </c>
      <c r="B2102" s="4">
        <v>5.12</v>
      </c>
      <c r="C2102" s="4">
        <v>0.18</v>
      </c>
      <c r="D2102" s="4">
        <v>0.1</v>
      </c>
      <c r="E2102" s="4">
        <v>-1.304842059603553E-2</v>
      </c>
      <c r="F2102" s="3">
        <v>2100</v>
      </c>
      <c r="G2102" s="3">
        <v>2</v>
      </c>
      <c r="H2102" s="5">
        <v>3490752066.5799999</v>
      </c>
      <c r="I2102" s="5">
        <v>3614452066.5799999</v>
      </c>
      <c r="J2102" s="5">
        <v>390500000</v>
      </c>
      <c r="K2102" s="5">
        <v>266800000</v>
      </c>
      <c r="L2102" s="5">
        <v>3421800000</v>
      </c>
      <c r="M2102" s="5">
        <v>705400000</v>
      </c>
      <c r="N2102" s="5">
        <v>476400000</v>
      </c>
    </row>
    <row r="2103" spans="1:14" x14ac:dyDescent="0.25">
      <c r="A2103" s="3" t="s">
        <v>2114</v>
      </c>
      <c r="B2103" s="4">
        <v>3.44</v>
      </c>
      <c r="C2103" s="4">
        <v>-0.19</v>
      </c>
      <c r="D2103" s="4">
        <v>0.23</v>
      </c>
      <c r="E2103" s="4">
        <v>-1.305262015295389E-2</v>
      </c>
      <c r="F2103" s="3">
        <v>2101</v>
      </c>
      <c r="G2103" s="3">
        <v>2</v>
      </c>
      <c r="H2103" s="5">
        <v>2076474.8062499999</v>
      </c>
      <c r="I2103" s="5">
        <v>2620554.8062499999</v>
      </c>
      <c r="J2103" s="5">
        <v>1397840</v>
      </c>
      <c r="K2103" s="5">
        <v>853760</v>
      </c>
      <c r="L2103" s="5">
        <v>6471570</v>
      </c>
      <c r="M2103" s="5">
        <v>761510</v>
      </c>
      <c r="N2103" s="5">
        <v>260670</v>
      </c>
    </row>
    <row r="2104" spans="1:14" x14ac:dyDescent="0.25">
      <c r="A2104" s="3" t="s">
        <v>2115</v>
      </c>
      <c r="B2104" s="4">
        <v>3.92</v>
      </c>
      <c r="C2104" s="4">
        <v>-7.0000000000000007E-2</v>
      </c>
      <c r="D2104" s="4">
        <v>-0.04</v>
      </c>
      <c r="E2104" s="4">
        <v>-1.305506245983276E-2</v>
      </c>
      <c r="F2104" s="3">
        <v>2102</v>
      </c>
      <c r="G2104" s="3">
        <v>2</v>
      </c>
      <c r="H2104" s="5">
        <v>254140971.61000001</v>
      </c>
      <c r="I2104" s="5">
        <v>294970971.61000001</v>
      </c>
      <c r="J2104" s="5">
        <v>46034000</v>
      </c>
      <c r="K2104" s="5">
        <v>5204000</v>
      </c>
      <c r="L2104" s="5">
        <v>682122000</v>
      </c>
      <c r="M2104" s="5">
        <v>75207000</v>
      </c>
      <c r="N2104" s="5">
        <v>-17067000</v>
      </c>
    </row>
    <row r="2105" spans="1:14" x14ac:dyDescent="0.25">
      <c r="A2105" s="3" t="s">
        <v>2116</v>
      </c>
      <c r="B2105" s="4">
        <v>0.94</v>
      </c>
      <c r="C2105" s="4">
        <v>-0.68</v>
      </c>
      <c r="D2105" s="4">
        <v>-0.48</v>
      </c>
      <c r="E2105" s="4">
        <v>-1.3058066359395879E-2</v>
      </c>
      <c r="F2105" s="3">
        <v>2103</v>
      </c>
      <c r="G2105" s="3">
        <v>2</v>
      </c>
      <c r="H2105" s="5">
        <v>74816594.219999999</v>
      </c>
      <c r="I2105" s="5">
        <v>-153499405.78</v>
      </c>
      <c r="J2105" s="5">
        <v>0</v>
      </c>
      <c r="K2105" s="5">
        <v>228316000</v>
      </c>
      <c r="L2105" s="5">
        <v>254364000</v>
      </c>
      <c r="M2105" s="5">
        <v>-163667000</v>
      </c>
      <c r="N2105" s="5">
        <v>-208143000</v>
      </c>
    </row>
    <row r="2106" spans="1:14" x14ac:dyDescent="0.25">
      <c r="A2106" s="3" t="s">
        <v>2117</v>
      </c>
      <c r="B2106" s="4">
        <v>-0.48</v>
      </c>
      <c r="C2106" s="4">
        <v>-0.97</v>
      </c>
      <c r="D2106" s="4">
        <v>-0.72</v>
      </c>
      <c r="E2106" s="4">
        <v>-1.306341039169031E-2</v>
      </c>
      <c r="F2106" s="3">
        <v>2104</v>
      </c>
      <c r="G2106" s="3">
        <v>2</v>
      </c>
      <c r="H2106" s="5">
        <v>78674479.549999997</v>
      </c>
      <c r="I2106" s="5">
        <v>66408479.549999997</v>
      </c>
      <c r="J2106" s="5">
        <v>208000</v>
      </c>
      <c r="K2106" s="5">
        <v>12474000</v>
      </c>
      <c r="L2106" s="5">
        <v>7000000</v>
      </c>
      <c r="M2106" s="5">
        <v>-137942000</v>
      </c>
      <c r="N2106" s="5">
        <v>-127173000</v>
      </c>
    </row>
    <row r="2107" spans="1:14" x14ac:dyDescent="0.25">
      <c r="A2107" s="3" t="s">
        <v>2118</v>
      </c>
      <c r="B2107" s="4">
        <v>6.51</v>
      </c>
      <c r="C2107" s="4">
        <v>0.5</v>
      </c>
      <c r="D2107" s="4">
        <v>-0.34</v>
      </c>
      <c r="E2107" s="4">
        <v>-1.3069001932876899E-2</v>
      </c>
      <c r="F2107" s="3">
        <v>2105</v>
      </c>
      <c r="G2107" s="3">
        <v>2</v>
      </c>
      <c r="H2107" s="5">
        <v>164878291.44</v>
      </c>
      <c r="I2107" s="5">
        <v>276777291.44</v>
      </c>
      <c r="J2107" s="5">
        <v>156349000</v>
      </c>
      <c r="K2107" s="5">
        <v>44450000</v>
      </c>
      <c r="L2107" s="5">
        <v>559425000</v>
      </c>
      <c r="M2107" s="5">
        <v>42500000</v>
      </c>
      <c r="N2107" s="5">
        <v>-75817000</v>
      </c>
    </row>
    <row r="2108" spans="1:14" x14ac:dyDescent="0.25">
      <c r="A2108" s="3" t="s">
        <v>2119</v>
      </c>
      <c r="B2108" s="4">
        <v>-3.62</v>
      </c>
      <c r="C2108" s="4">
        <v>-1.63</v>
      </c>
      <c r="D2108" s="4">
        <v>-0.94</v>
      </c>
      <c r="E2108" s="4">
        <v>-1.3069416450467339E-2</v>
      </c>
      <c r="F2108" s="3">
        <v>2106</v>
      </c>
      <c r="G2108" s="3">
        <v>2</v>
      </c>
      <c r="H2108" s="5">
        <v>99629247.349999994</v>
      </c>
      <c r="I2108" s="5">
        <v>81947297.349999994</v>
      </c>
      <c r="J2108" s="5">
        <v>0</v>
      </c>
      <c r="K2108" s="5">
        <v>17681950</v>
      </c>
      <c r="L2108" s="5">
        <v>0</v>
      </c>
      <c r="M2108" s="5">
        <v>-22641740</v>
      </c>
      <c r="N2108" s="5">
        <v>-21613380</v>
      </c>
    </row>
    <row r="2109" spans="1:14" x14ac:dyDescent="0.25">
      <c r="A2109" s="3" t="s">
        <v>2120</v>
      </c>
      <c r="B2109" s="4">
        <v>4</v>
      </c>
      <c r="C2109" s="4">
        <v>-0.06</v>
      </c>
      <c r="D2109" s="4">
        <v>-0.02</v>
      </c>
      <c r="E2109" s="4">
        <v>-1.3071824445239921E-2</v>
      </c>
      <c r="F2109" s="3">
        <v>2107</v>
      </c>
      <c r="G2109" s="3">
        <v>2</v>
      </c>
      <c r="H2109" s="5">
        <v>176062003.80000001</v>
      </c>
      <c r="I2109" s="5">
        <v>324222003.80000001</v>
      </c>
      <c r="J2109" s="5">
        <v>182815000</v>
      </c>
      <c r="K2109" s="5">
        <v>34655000</v>
      </c>
      <c r="L2109" s="5">
        <v>1049850000</v>
      </c>
      <c r="M2109" s="5">
        <v>81133000</v>
      </c>
      <c r="N2109" s="5">
        <v>-14718000</v>
      </c>
    </row>
    <row r="2110" spans="1:14" x14ac:dyDescent="0.25">
      <c r="A2110" s="3" t="s">
        <v>2121</v>
      </c>
      <c r="B2110" s="4">
        <v>6.71</v>
      </c>
      <c r="C2110" s="4">
        <v>0.55000000000000004</v>
      </c>
      <c r="D2110" s="4">
        <v>-0.48</v>
      </c>
      <c r="E2110" s="4">
        <v>-1.307532438383124E-2</v>
      </c>
      <c r="F2110" s="3">
        <v>2108</v>
      </c>
      <c r="G2110" s="3">
        <v>2</v>
      </c>
      <c r="H2110" s="5">
        <v>243175.8744</v>
      </c>
      <c r="I2110" s="5">
        <v>211805175.87439999</v>
      </c>
      <c r="J2110" s="5">
        <v>214092000</v>
      </c>
      <c r="K2110" s="5">
        <v>2530000</v>
      </c>
      <c r="L2110" s="5">
        <v>111655000</v>
      </c>
      <c r="M2110" s="5">
        <v>31573000</v>
      </c>
      <c r="N2110" s="5">
        <v>-61286000</v>
      </c>
    </row>
    <row r="2111" spans="1:14" x14ac:dyDescent="0.25">
      <c r="A2111" s="3" t="s">
        <v>2122</v>
      </c>
      <c r="B2111" s="4">
        <v>-5.48</v>
      </c>
      <c r="C2111" s="4">
        <v>-1.97</v>
      </c>
      <c r="D2111" s="4">
        <v>-1.87</v>
      </c>
      <c r="E2111" s="4">
        <v>-1.308000630101055E-2</v>
      </c>
      <c r="F2111" s="3">
        <v>2109</v>
      </c>
      <c r="G2111" s="3">
        <v>2</v>
      </c>
      <c r="H2111" s="5">
        <v>235892160.59999999</v>
      </c>
      <c r="I2111" s="5">
        <v>217705650.59999999</v>
      </c>
      <c r="J2111" s="5">
        <v>0</v>
      </c>
      <c r="K2111" s="5">
        <v>18186510</v>
      </c>
      <c r="L2111" s="5">
        <v>5754560</v>
      </c>
      <c r="M2111" s="5">
        <v>-39712310</v>
      </c>
      <c r="N2111" s="5">
        <v>-73538160</v>
      </c>
    </row>
    <row r="2112" spans="1:14" x14ac:dyDescent="0.25">
      <c r="A2112" s="3" t="s">
        <v>2123</v>
      </c>
      <c r="B2112" s="4">
        <v>4.5999999999999996</v>
      </c>
      <c r="C2112" s="4">
        <v>0.06</v>
      </c>
      <c r="D2112" s="4">
        <v>0.02</v>
      </c>
      <c r="E2112" s="4">
        <v>-1.308873739658104E-2</v>
      </c>
      <c r="F2112" s="3">
        <v>2110</v>
      </c>
      <c r="G2112" s="3">
        <v>2</v>
      </c>
      <c r="H2112" s="5">
        <v>6607500</v>
      </c>
      <c r="I2112" s="5">
        <v>9610500</v>
      </c>
      <c r="J2112" s="5">
        <v>6010000</v>
      </c>
      <c r="K2112" s="5">
        <v>3007000</v>
      </c>
      <c r="L2112" s="5">
        <v>11301000</v>
      </c>
      <c r="M2112" s="5">
        <v>2091000</v>
      </c>
      <c r="N2112" s="5">
        <v>444000</v>
      </c>
    </row>
    <row r="2113" spans="1:14" x14ac:dyDescent="0.25">
      <c r="A2113" s="3" t="s">
        <v>2124</v>
      </c>
      <c r="B2113" s="4">
        <v>5.0999999999999996</v>
      </c>
      <c r="C2113" s="4">
        <v>0.16</v>
      </c>
      <c r="D2113" s="4">
        <v>0.1</v>
      </c>
      <c r="E2113" s="4">
        <v>-1.3093829398670291E-2</v>
      </c>
      <c r="F2113" s="3">
        <v>2111</v>
      </c>
      <c r="G2113" s="3">
        <v>2</v>
      </c>
      <c r="H2113" s="5">
        <v>462335263.05000001</v>
      </c>
      <c r="I2113" s="5">
        <v>502998263.05000001</v>
      </c>
      <c r="J2113" s="5">
        <v>65000000</v>
      </c>
      <c r="K2113" s="5">
        <v>24337000</v>
      </c>
      <c r="L2113" s="5">
        <v>1257500000</v>
      </c>
      <c r="M2113" s="5">
        <v>98583000</v>
      </c>
      <c r="N2113" s="5">
        <v>63494000</v>
      </c>
    </row>
    <row r="2114" spans="1:14" x14ac:dyDescent="0.25">
      <c r="A2114" s="3" t="s">
        <v>2125</v>
      </c>
      <c r="B2114" s="4">
        <v>9.6999999999999993</v>
      </c>
      <c r="C2114" s="4">
        <v>1.1599999999999999</v>
      </c>
      <c r="D2114" s="4">
        <v>-0.14000000000000001</v>
      </c>
      <c r="E2114" s="4">
        <v>-1.309779995574026E-2</v>
      </c>
      <c r="F2114" s="3">
        <v>2112</v>
      </c>
      <c r="G2114" s="3">
        <v>2</v>
      </c>
      <c r="H2114" s="5">
        <v>43520021.899999999</v>
      </c>
      <c r="I2114" s="5">
        <v>121267021.90000001</v>
      </c>
      <c r="J2114" s="5">
        <v>92176000</v>
      </c>
      <c r="K2114" s="5">
        <v>14429000</v>
      </c>
      <c r="L2114" s="5">
        <v>309763000</v>
      </c>
      <c r="M2114" s="5">
        <v>12497000</v>
      </c>
      <c r="N2114" s="5">
        <v>-18226000</v>
      </c>
    </row>
    <row r="2115" spans="1:14" x14ac:dyDescent="0.25">
      <c r="A2115" s="3" t="s">
        <v>2126</v>
      </c>
      <c r="B2115" s="4">
        <v>4.3499999999999996</v>
      </c>
      <c r="C2115" s="4">
        <v>0</v>
      </c>
      <c r="D2115" s="4">
        <v>0</v>
      </c>
      <c r="E2115" s="4">
        <v>-1.3111226949395869E-2</v>
      </c>
      <c r="F2115" s="3">
        <v>2113</v>
      </c>
      <c r="G2115" s="3">
        <v>2</v>
      </c>
      <c r="H2115" s="5">
        <v>90259461.760000005</v>
      </c>
      <c r="I2115" s="5">
        <v>118557461.76000001</v>
      </c>
      <c r="J2115" s="5">
        <v>32000000</v>
      </c>
      <c r="K2115" s="5">
        <v>3702000</v>
      </c>
      <c r="L2115" s="5">
        <v>141926000</v>
      </c>
      <c r="M2115" s="5">
        <v>27250000</v>
      </c>
      <c r="N2115" s="5">
        <v>253000</v>
      </c>
    </row>
    <row r="2116" spans="1:14" x14ac:dyDescent="0.25">
      <c r="A2116" s="3" t="s">
        <v>2127</v>
      </c>
      <c r="B2116" s="4">
        <v>5.87</v>
      </c>
      <c r="C2116" s="4">
        <v>0.32</v>
      </c>
      <c r="D2116" s="4">
        <v>0.06</v>
      </c>
      <c r="E2116" s="4">
        <v>-1.311581663142395E-2</v>
      </c>
      <c r="F2116" s="3">
        <v>2114</v>
      </c>
      <c r="G2116" s="3">
        <v>2</v>
      </c>
      <c r="H2116" s="5">
        <v>5951591770.0799999</v>
      </c>
      <c r="I2116" s="5">
        <v>12330591770.08</v>
      </c>
      <c r="J2116" s="5">
        <v>6523000000</v>
      </c>
      <c r="K2116" s="5">
        <v>144000000</v>
      </c>
      <c r="L2116" s="5">
        <v>5407000000</v>
      </c>
      <c r="M2116" s="5">
        <v>2100000000</v>
      </c>
      <c r="N2116" s="5">
        <v>722000000</v>
      </c>
    </row>
    <row r="2117" spans="1:14" x14ac:dyDescent="0.25">
      <c r="A2117" s="3" t="s">
        <v>2128</v>
      </c>
      <c r="B2117" s="4">
        <v>1.44</v>
      </c>
      <c r="C2117" s="4">
        <v>-0.6</v>
      </c>
      <c r="D2117" s="4">
        <v>-0.39</v>
      </c>
      <c r="E2117" s="4">
        <v>-1.3119016548936539E-2</v>
      </c>
      <c r="F2117" s="3">
        <v>2115</v>
      </c>
      <c r="G2117" s="3">
        <v>2</v>
      </c>
      <c r="H2117" s="5">
        <v>131289043.40000001</v>
      </c>
      <c r="I2117" s="5">
        <v>-388559956.60000002</v>
      </c>
      <c r="J2117" s="5">
        <v>0</v>
      </c>
      <c r="K2117" s="5">
        <v>519849000</v>
      </c>
      <c r="L2117" s="5">
        <v>515822000</v>
      </c>
      <c r="M2117" s="5">
        <v>-270232000</v>
      </c>
      <c r="N2117" s="5">
        <v>-346626000</v>
      </c>
    </row>
    <row r="2118" spans="1:14" x14ac:dyDescent="0.25">
      <c r="A2118" s="3" t="s">
        <v>2129</v>
      </c>
      <c r="B2118" s="4">
        <v>4.51</v>
      </c>
      <c r="C2118" s="4">
        <v>0.03</v>
      </c>
      <c r="D2118" s="4">
        <v>0.02</v>
      </c>
      <c r="E2118" s="4">
        <v>-1.3119715366350719E-2</v>
      </c>
      <c r="F2118" s="3">
        <v>2116</v>
      </c>
      <c r="G2118" s="3">
        <v>2</v>
      </c>
      <c r="H2118" s="5">
        <v>184929862.21000001</v>
      </c>
      <c r="I2118" s="5">
        <v>311929862.20999998</v>
      </c>
      <c r="J2118" s="5">
        <v>127000000</v>
      </c>
      <c r="K2118" s="5">
        <v>0</v>
      </c>
      <c r="L2118" s="5">
        <v>294681000</v>
      </c>
      <c r="M2118" s="5">
        <v>69178000</v>
      </c>
      <c r="N2118" s="5">
        <v>12946000</v>
      </c>
    </row>
    <row r="2119" spans="1:14" x14ac:dyDescent="0.25">
      <c r="A2119" s="3" t="s">
        <v>2130</v>
      </c>
      <c r="B2119" s="4">
        <v>4.9400000000000004</v>
      </c>
      <c r="C2119" s="4">
        <v>0.12</v>
      </c>
      <c r="D2119" s="4">
        <v>0.02</v>
      </c>
      <c r="E2119" s="4">
        <v>-1.3125808748194931E-2</v>
      </c>
      <c r="F2119" s="3">
        <v>2117</v>
      </c>
      <c r="G2119" s="3">
        <v>2</v>
      </c>
      <c r="H2119" s="5">
        <v>885536443.32000005</v>
      </c>
      <c r="I2119" s="5">
        <v>1225983443.3199999</v>
      </c>
      <c r="J2119" s="5">
        <v>528143000</v>
      </c>
      <c r="K2119" s="5">
        <v>187696000</v>
      </c>
      <c r="L2119" s="5">
        <v>2995273000</v>
      </c>
      <c r="M2119" s="5">
        <v>248140000</v>
      </c>
      <c r="N2119" s="5">
        <v>60423000</v>
      </c>
    </row>
    <row r="2120" spans="1:14" x14ac:dyDescent="0.25">
      <c r="A2120" s="3" t="s">
        <v>2131</v>
      </c>
      <c r="B2120" s="4">
        <v>-1.1200000000000001</v>
      </c>
      <c r="C2120" s="4">
        <v>-1.1599999999999999</v>
      </c>
      <c r="D2120" s="4">
        <v>-0.26</v>
      </c>
      <c r="E2120" s="4">
        <v>-1.312754453778678E-2</v>
      </c>
      <c r="F2120" s="3">
        <v>2118</v>
      </c>
      <c r="G2120" s="3">
        <v>2</v>
      </c>
      <c r="H2120" s="5">
        <v>8557850.1225000005</v>
      </c>
      <c r="I2120" s="5">
        <v>7817770.1225000015</v>
      </c>
      <c r="J2120" s="5">
        <v>409960</v>
      </c>
      <c r="K2120" s="5">
        <v>1150040</v>
      </c>
      <c r="L2120" s="5">
        <v>8153550</v>
      </c>
      <c r="M2120" s="5">
        <v>-6999230</v>
      </c>
      <c r="N2120" s="5">
        <v>-5990120</v>
      </c>
    </row>
    <row r="2121" spans="1:14" x14ac:dyDescent="0.25">
      <c r="A2121" s="3" t="s">
        <v>2132</v>
      </c>
      <c r="B2121" s="4">
        <v>4.71</v>
      </c>
      <c r="C2121" s="4">
        <v>7.0000000000000007E-2</v>
      </c>
      <c r="D2121" s="4">
        <v>0.01</v>
      </c>
      <c r="E2121" s="4">
        <v>-1.3129854078811939E-2</v>
      </c>
      <c r="F2121" s="3">
        <v>2119</v>
      </c>
      <c r="G2121" s="3">
        <v>2</v>
      </c>
      <c r="H2121" s="5">
        <v>12313458027.540001</v>
      </c>
      <c r="I2121" s="5">
        <v>14029458027.540001</v>
      </c>
      <c r="J2121" s="5">
        <v>5042000000</v>
      </c>
      <c r="K2121" s="5">
        <v>3326000000</v>
      </c>
      <c r="L2121" s="5">
        <v>22117000000</v>
      </c>
      <c r="M2121" s="5">
        <v>2981000000</v>
      </c>
      <c r="N2121" s="5">
        <v>717000000</v>
      </c>
    </row>
    <row r="2122" spans="1:14" x14ac:dyDescent="0.25">
      <c r="A2122" s="3" t="s">
        <v>2133</v>
      </c>
      <c r="B2122" s="4">
        <v>4.92</v>
      </c>
      <c r="C2122" s="4">
        <v>0.11</v>
      </c>
      <c r="D2122" s="4">
        <v>0.06</v>
      </c>
      <c r="E2122" s="4">
        <v>-1.3134607837505211E-2</v>
      </c>
      <c r="F2122" s="3">
        <v>2120</v>
      </c>
      <c r="G2122" s="3">
        <v>2</v>
      </c>
      <c r="H2122" s="5">
        <v>118005208.40000001</v>
      </c>
      <c r="I2122" s="5">
        <v>134112208.40000001</v>
      </c>
      <c r="J2122" s="5">
        <v>22457000</v>
      </c>
      <c r="K2122" s="5">
        <v>6350000</v>
      </c>
      <c r="L2122" s="5">
        <v>270185000</v>
      </c>
      <c r="M2122" s="5">
        <v>27249000</v>
      </c>
      <c r="N2122" s="5">
        <v>11952000</v>
      </c>
    </row>
    <row r="2123" spans="1:14" x14ac:dyDescent="0.25">
      <c r="A2123" s="3" t="s">
        <v>2134</v>
      </c>
      <c r="B2123" s="4">
        <v>-3.63</v>
      </c>
      <c r="C2123" s="4">
        <v>-1.69</v>
      </c>
      <c r="D2123" s="4">
        <v>-0.42</v>
      </c>
      <c r="E2123" s="4">
        <v>-1.3136279504826711E-2</v>
      </c>
      <c r="F2123" s="3">
        <v>2121</v>
      </c>
      <c r="G2123" s="3">
        <v>2</v>
      </c>
      <c r="H2123" s="5">
        <v>55777515.439999998</v>
      </c>
      <c r="I2123" s="5">
        <v>43650515.439999998</v>
      </c>
      <c r="J2123" s="5">
        <v>7500000</v>
      </c>
      <c r="K2123" s="5">
        <v>19627000</v>
      </c>
      <c r="L2123" s="5">
        <v>203425000</v>
      </c>
      <c r="M2123" s="5">
        <v>-12026000</v>
      </c>
      <c r="N2123" s="5">
        <v>-27423000</v>
      </c>
    </row>
    <row r="2124" spans="1:14" x14ac:dyDescent="0.25">
      <c r="A2124" s="3" t="s">
        <v>2135</v>
      </c>
      <c r="B2124" s="4">
        <v>4.97</v>
      </c>
      <c r="C2124" s="4">
        <v>0.12</v>
      </c>
      <c r="D2124" s="4">
        <v>0.06</v>
      </c>
      <c r="E2124" s="4">
        <v>-1.3136660258976141E-2</v>
      </c>
      <c r="F2124" s="3">
        <v>2122</v>
      </c>
      <c r="G2124" s="3">
        <v>2</v>
      </c>
      <c r="H2124" s="5">
        <v>2620239599.5500002</v>
      </c>
      <c r="I2124" s="5">
        <v>4185080599.5500002</v>
      </c>
      <c r="J2124" s="5">
        <v>1782182000</v>
      </c>
      <c r="K2124" s="5">
        <v>217341000</v>
      </c>
      <c r="L2124" s="5">
        <v>2756607000</v>
      </c>
      <c r="M2124" s="5">
        <v>841555000</v>
      </c>
      <c r="N2124" s="5">
        <v>344165000</v>
      </c>
    </row>
    <row r="2125" spans="1:14" x14ac:dyDescent="0.25">
      <c r="A2125" s="3" t="s">
        <v>2136</v>
      </c>
      <c r="B2125" s="4">
        <v>4.58</v>
      </c>
      <c r="C2125" s="4">
        <v>0.04</v>
      </c>
      <c r="D2125" s="4">
        <v>-0.01</v>
      </c>
      <c r="E2125" s="4">
        <v>-1.3139933278948321E-2</v>
      </c>
      <c r="F2125" s="3">
        <v>2123</v>
      </c>
      <c r="G2125" s="3">
        <v>2</v>
      </c>
      <c r="H2125" s="5">
        <v>88894171.5</v>
      </c>
      <c r="I2125" s="5">
        <v>1499203171.5</v>
      </c>
      <c r="J2125" s="5">
        <v>1507192000</v>
      </c>
      <c r="K2125" s="5">
        <v>96883000</v>
      </c>
      <c r="L2125" s="5">
        <v>1938337000</v>
      </c>
      <c r="M2125" s="5">
        <v>327551000</v>
      </c>
      <c r="N2125" s="5">
        <v>-15566000</v>
      </c>
    </row>
    <row r="2126" spans="1:14" x14ac:dyDescent="0.25">
      <c r="A2126" s="3" t="s">
        <v>2137</v>
      </c>
      <c r="B2126" s="4">
        <v>-1.05</v>
      </c>
      <c r="C2126" s="4">
        <v>-1.1399999999999999</v>
      </c>
      <c r="D2126" s="4">
        <v>-0.4</v>
      </c>
      <c r="E2126" s="4">
        <v>-1.314008813572249E-2</v>
      </c>
      <c r="F2126" s="3">
        <v>2124</v>
      </c>
      <c r="G2126" s="3">
        <v>2</v>
      </c>
      <c r="H2126" s="5">
        <v>75543291.120000005</v>
      </c>
      <c r="I2126" s="5">
        <v>64812291.119999997</v>
      </c>
      <c r="J2126" s="5">
        <v>5758000</v>
      </c>
      <c r="K2126" s="5">
        <v>16489000</v>
      </c>
      <c r="L2126" s="5">
        <v>28700000</v>
      </c>
      <c r="M2126" s="5">
        <v>-61893000</v>
      </c>
      <c r="N2126" s="5">
        <v>-66948000</v>
      </c>
    </row>
    <row r="2127" spans="1:14" x14ac:dyDescent="0.25">
      <c r="A2127" s="3" t="s">
        <v>2138</v>
      </c>
      <c r="B2127" s="4">
        <v>8.91</v>
      </c>
      <c r="C2127" s="4">
        <v>0.97</v>
      </c>
      <c r="D2127" s="4">
        <v>-0.08</v>
      </c>
      <c r="E2127" s="4">
        <v>-1.31462570794808E-2</v>
      </c>
      <c r="F2127" s="3">
        <v>2125</v>
      </c>
      <c r="G2127" s="3">
        <v>2</v>
      </c>
      <c r="H2127" s="5">
        <v>170471066.41</v>
      </c>
      <c r="I2127" s="5">
        <v>576757066.40999997</v>
      </c>
      <c r="J2127" s="5">
        <v>411633000</v>
      </c>
      <c r="K2127" s="5">
        <v>5347000</v>
      </c>
      <c r="L2127" s="5">
        <v>1386269000</v>
      </c>
      <c r="M2127" s="5">
        <v>64711000</v>
      </c>
      <c r="N2127" s="5">
        <v>-57819000</v>
      </c>
    </row>
    <row r="2128" spans="1:14" x14ac:dyDescent="0.25">
      <c r="A2128" s="3" t="s">
        <v>2139</v>
      </c>
      <c r="B2128" s="4">
        <v>-0.74</v>
      </c>
      <c r="C2128" s="4">
        <v>-1.07</v>
      </c>
      <c r="D2128" s="4">
        <v>-0.49</v>
      </c>
      <c r="E2128" s="4">
        <v>-1.3147059502428241E-2</v>
      </c>
      <c r="F2128" s="3">
        <v>2126</v>
      </c>
      <c r="G2128" s="3">
        <v>2</v>
      </c>
      <c r="H2128" s="5">
        <v>6626675.2199999997</v>
      </c>
      <c r="I2128" s="5">
        <v>8644675.2199999988</v>
      </c>
      <c r="J2128" s="5">
        <v>2232000</v>
      </c>
      <c r="K2128" s="5">
        <v>214000</v>
      </c>
      <c r="L2128" s="5">
        <v>1605000</v>
      </c>
      <c r="M2128" s="5">
        <v>-11642000</v>
      </c>
      <c r="N2128" s="5">
        <v>-13731000</v>
      </c>
    </row>
    <row r="2129" spans="1:14" x14ac:dyDescent="0.25">
      <c r="A2129" s="3" t="s">
        <v>2140</v>
      </c>
      <c r="B2129" s="4">
        <v>5.56</v>
      </c>
      <c r="C2129" s="4">
        <v>0.24</v>
      </c>
      <c r="D2129" s="4">
        <v>0.1</v>
      </c>
      <c r="E2129" s="4">
        <v>-1.3147384004620189E-2</v>
      </c>
      <c r="F2129" s="3">
        <v>2127</v>
      </c>
      <c r="G2129" s="3">
        <v>2</v>
      </c>
      <c r="H2129" s="5">
        <v>22808081131</v>
      </c>
      <c r="I2129" s="5">
        <v>27901081131</v>
      </c>
      <c r="J2129" s="5">
        <v>7711000000</v>
      </c>
      <c r="K2129" s="5">
        <v>2618000000</v>
      </c>
      <c r="L2129" s="5">
        <v>22944000000</v>
      </c>
      <c r="M2129" s="5">
        <v>5017000000</v>
      </c>
      <c r="N2129" s="5">
        <v>2501000000</v>
      </c>
    </row>
    <row r="2130" spans="1:14" x14ac:dyDescent="0.25">
      <c r="A2130" s="3" t="s">
        <v>2141</v>
      </c>
      <c r="B2130" s="4">
        <v>-3.37</v>
      </c>
      <c r="C2130" s="4">
        <v>-1.64</v>
      </c>
      <c r="D2130" s="4">
        <v>-0.4</v>
      </c>
      <c r="E2130" s="4">
        <v>-1.3148872764723421E-2</v>
      </c>
      <c r="F2130" s="3">
        <v>2128</v>
      </c>
      <c r="G2130" s="3">
        <v>2</v>
      </c>
      <c r="H2130" s="5">
        <v>565201180</v>
      </c>
      <c r="I2130" s="5">
        <v>1098359180</v>
      </c>
      <c r="J2130" s="5">
        <v>833542000</v>
      </c>
      <c r="K2130" s="5">
        <v>300384000</v>
      </c>
      <c r="L2130" s="5">
        <v>0</v>
      </c>
      <c r="M2130" s="5">
        <v>-326051000</v>
      </c>
      <c r="N2130" s="5">
        <v>-629067000</v>
      </c>
    </row>
    <row r="2131" spans="1:14" x14ac:dyDescent="0.25">
      <c r="A2131" s="3" t="s">
        <v>2142</v>
      </c>
      <c r="B2131" s="4">
        <v>1.81</v>
      </c>
      <c r="C2131" s="4">
        <v>-0.56000000000000005</v>
      </c>
      <c r="D2131" s="4">
        <v>0.03</v>
      </c>
      <c r="E2131" s="4">
        <v>-1.315142361541532E-2</v>
      </c>
      <c r="F2131" s="3">
        <v>2129</v>
      </c>
      <c r="G2131" s="3">
        <v>2</v>
      </c>
      <c r="H2131" s="5">
        <v>275698249.19999999</v>
      </c>
      <c r="I2131" s="5">
        <v>177822249.19999999</v>
      </c>
      <c r="J2131" s="5">
        <v>0</v>
      </c>
      <c r="K2131" s="5">
        <v>97876000</v>
      </c>
      <c r="L2131" s="5">
        <v>408701000</v>
      </c>
      <c r="M2131" s="5">
        <v>98486000</v>
      </c>
      <c r="N2131" s="5">
        <v>7059000</v>
      </c>
    </row>
    <row r="2132" spans="1:14" x14ac:dyDescent="0.25">
      <c r="A2132" s="3" t="s">
        <v>2143</v>
      </c>
      <c r="B2132" s="4">
        <v>-5.15</v>
      </c>
      <c r="C2132" s="4">
        <v>-1.99</v>
      </c>
      <c r="D2132" s="4">
        <v>-0.9</v>
      </c>
      <c r="E2132" s="4">
        <v>-1.315492172502496E-2</v>
      </c>
      <c r="F2132" s="3">
        <v>2130</v>
      </c>
      <c r="G2132" s="3">
        <v>2</v>
      </c>
      <c r="H2132" s="5">
        <v>38913928.327500001</v>
      </c>
      <c r="I2132" s="5">
        <v>40626918.327500001</v>
      </c>
      <c r="J2132" s="5">
        <v>1940680</v>
      </c>
      <c r="K2132" s="5">
        <v>227690</v>
      </c>
      <c r="L2132" s="5">
        <v>1132530</v>
      </c>
      <c r="M2132" s="5">
        <v>-7881140</v>
      </c>
      <c r="N2132" s="5">
        <v>-8399170</v>
      </c>
    </row>
    <row r="2133" spans="1:14" x14ac:dyDescent="0.25">
      <c r="A2133" s="3" t="s">
        <v>2144</v>
      </c>
      <c r="B2133" s="4">
        <v>4.28</v>
      </c>
      <c r="C2133" s="4">
        <v>-0.03</v>
      </c>
      <c r="D2133" s="4">
        <v>-0.01</v>
      </c>
      <c r="E2133" s="4">
        <v>-1.3156512357137211E-2</v>
      </c>
      <c r="F2133" s="3">
        <v>2131</v>
      </c>
      <c r="G2133" s="3">
        <v>2</v>
      </c>
      <c r="H2133" s="5">
        <v>331851364.5</v>
      </c>
      <c r="I2133" s="5">
        <v>297844364.5</v>
      </c>
      <c r="J2133" s="5">
        <v>0</v>
      </c>
      <c r="K2133" s="5">
        <v>34007000</v>
      </c>
      <c r="L2133" s="5">
        <v>2325062000</v>
      </c>
      <c r="M2133" s="5">
        <v>69660000</v>
      </c>
      <c r="N2133" s="5">
        <v>-18890000</v>
      </c>
    </row>
    <row r="2134" spans="1:14" x14ac:dyDescent="0.25">
      <c r="A2134" s="3" t="s">
        <v>2145</v>
      </c>
      <c r="B2134" s="4">
        <v>4.71</v>
      </c>
      <c r="C2134" s="4">
        <v>0.06</v>
      </c>
      <c r="D2134" s="4">
        <v>0.02</v>
      </c>
      <c r="E2134" s="4">
        <v>-1.3156818659248899E-2</v>
      </c>
      <c r="F2134" s="3">
        <v>2132</v>
      </c>
      <c r="G2134" s="3">
        <v>2</v>
      </c>
      <c r="H2134" s="5">
        <v>2378234169.8000002</v>
      </c>
      <c r="I2134" s="5">
        <v>6873241169.8000002</v>
      </c>
      <c r="J2134" s="5">
        <v>4735578000</v>
      </c>
      <c r="K2134" s="5">
        <v>240571000</v>
      </c>
      <c r="L2134" s="5">
        <v>9618900000</v>
      </c>
      <c r="M2134" s="5">
        <v>1459003000</v>
      </c>
      <c r="N2134" s="5">
        <v>251217000</v>
      </c>
    </row>
    <row r="2135" spans="1:14" x14ac:dyDescent="0.25">
      <c r="A2135" s="3" t="s">
        <v>2146</v>
      </c>
      <c r="B2135" s="4">
        <v>4.87</v>
      </c>
      <c r="C2135" s="4">
        <v>0.09</v>
      </c>
      <c r="D2135" s="4">
        <v>0.04</v>
      </c>
      <c r="E2135" s="4">
        <v>-1.3165307076203749E-2</v>
      </c>
      <c r="F2135" s="3">
        <v>2133</v>
      </c>
      <c r="G2135" s="3">
        <v>2</v>
      </c>
      <c r="H2135" s="5">
        <v>39131479744.5</v>
      </c>
      <c r="I2135" s="5">
        <v>63115479744.5</v>
      </c>
      <c r="J2135" s="5">
        <v>26116000000</v>
      </c>
      <c r="K2135" s="5">
        <v>2132000000</v>
      </c>
      <c r="L2135" s="5">
        <v>26725000000</v>
      </c>
      <c r="M2135" s="5">
        <v>12964000000</v>
      </c>
      <c r="N2135" s="5">
        <v>3056000000</v>
      </c>
    </row>
    <row r="2136" spans="1:14" x14ac:dyDescent="0.25">
      <c r="A2136" s="3" t="s">
        <v>2147</v>
      </c>
      <c r="B2136" s="4">
        <v>-0.01</v>
      </c>
      <c r="C2136" s="4">
        <v>-0.92</v>
      </c>
      <c r="D2136" s="4">
        <v>-0.49</v>
      </c>
      <c r="E2136" s="4">
        <v>-1.3165467413098019E-2</v>
      </c>
      <c r="F2136" s="3">
        <v>2134</v>
      </c>
      <c r="G2136" s="3">
        <v>2</v>
      </c>
      <c r="H2136" s="5">
        <v>67534302.620000005</v>
      </c>
      <c r="I2136" s="5">
        <v>802302.62000000477</v>
      </c>
      <c r="J2136" s="5">
        <v>0</v>
      </c>
      <c r="K2136" s="5">
        <v>66732000</v>
      </c>
      <c r="L2136" s="5">
        <v>189757000</v>
      </c>
      <c r="M2136" s="5">
        <v>-81553000</v>
      </c>
      <c r="N2136" s="5">
        <v>-93318000</v>
      </c>
    </row>
    <row r="2137" spans="1:14" x14ac:dyDescent="0.25">
      <c r="A2137" s="3" t="s">
        <v>2148</v>
      </c>
      <c r="B2137" s="4">
        <v>5.38</v>
      </c>
      <c r="C2137" s="4">
        <v>0.19</v>
      </c>
      <c r="D2137" s="4">
        <v>0.13</v>
      </c>
      <c r="E2137" s="4">
        <v>-1.317465925741257E-2</v>
      </c>
      <c r="F2137" s="3">
        <v>2135</v>
      </c>
      <c r="G2137" s="3">
        <v>2</v>
      </c>
      <c r="H2137" s="5">
        <v>3153435281.3000002</v>
      </c>
      <c r="I2137" s="5">
        <v>2874143281.3000002</v>
      </c>
      <c r="J2137" s="5">
        <v>503205000</v>
      </c>
      <c r="K2137" s="5">
        <v>782497000</v>
      </c>
      <c r="L2137" s="5">
        <v>2405317000</v>
      </c>
      <c r="M2137" s="5">
        <v>534241000</v>
      </c>
      <c r="N2137" s="5">
        <v>287941000</v>
      </c>
    </row>
    <row r="2138" spans="1:14" x14ac:dyDescent="0.25">
      <c r="A2138" s="3" t="s">
        <v>2149</v>
      </c>
      <c r="B2138" s="4">
        <v>-0.2</v>
      </c>
      <c r="C2138" s="4">
        <v>-0.94</v>
      </c>
      <c r="D2138" s="4">
        <v>-0.85</v>
      </c>
      <c r="E2138" s="4">
        <v>-1.3175104675672679E-2</v>
      </c>
      <c r="F2138" s="3">
        <v>2136</v>
      </c>
      <c r="G2138" s="3">
        <v>2</v>
      </c>
      <c r="H2138" s="5">
        <v>26124901.669199999</v>
      </c>
      <c r="I2138" s="5">
        <v>12221901.669199999</v>
      </c>
      <c r="J2138" s="5">
        <v>0</v>
      </c>
      <c r="K2138" s="5">
        <v>13903000</v>
      </c>
      <c r="L2138" s="5">
        <v>636000</v>
      </c>
      <c r="M2138" s="5">
        <v>-60365000</v>
      </c>
      <c r="N2138" s="5">
        <v>-57775000</v>
      </c>
    </row>
    <row r="2139" spans="1:14" x14ac:dyDescent="0.25">
      <c r="A2139" s="3" t="s">
        <v>2150</v>
      </c>
      <c r="B2139" s="4">
        <v>4.18</v>
      </c>
      <c r="C2139" s="4">
        <v>-0.06</v>
      </c>
      <c r="D2139" s="4">
        <v>0.01</v>
      </c>
      <c r="E2139" s="4">
        <v>-1.317744306805479E-2</v>
      </c>
      <c r="F2139" s="3">
        <v>2137</v>
      </c>
      <c r="G2139" s="3">
        <v>2</v>
      </c>
      <c r="H2139" s="5">
        <v>15638666.1</v>
      </c>
      <c r="I2139" s="5">
        <v>1318538666.0999999</v>
      </c>
      <c r="J2139" s="5">
        <v>1538000000</v>
      </c>
      <c r="K2139" s="5">
        <v>235100000</v>
      </c>
      <c r="L2139" s="5">
        <v>5244700000</v>
      </c>
      <c r="M2139" s="5">
        <v>315700000</v>
      </c>
      <c r="N2139" s="5">
        <v>21800000</v>
      </c>
    </row>
    <row r="2140" spans="1:14" x14ac:dyDescent="0.25">
      <c r="A2140" s="3" t="s">
        <v>2151</v>
      </c>
      <c r="B2140" s="4">
        <v>5.2</v>
      </c>
      <c r="C2140" s="4">
        <v>0.15</v>
      </c>
      <c r="D2140" s="4">
        <v>0.11</v>
      </c>
      <c r="E2140" s="4">
        <v>-1.318268603607802E-2</v>
      </c>
      <c r="F2140" s="3">
        <v>2138</v>
      </c>
      <c r="G2140" s="3">
        <v>2</v>
      </c>
      <c r="H2140" s="5">
        <v>4675005344.8000002</v>
      </c>
      <c r="I2140" s="5">
        <v>5359328344.8000002</v>
      </c>
      <c r="J2140" s="5">
        <v>1335878000</v>
      </c>
      <c r="K2140" s="5">
        <v>651555000</v>
      </c>
      <c r="L2140" s="5">
        <v>6395035000</v>
      </c>
      <c r="M2140" s="5">
        <v>1031556000</v>
      </c>
      <c r="N2140" s="5">
        <v>786186000</v>
      </c>
    </row>
    <row r="2141" spans="1:14" x14ac:dyDescent="0.25">
      <c r="A2141" s="3" t="s">
        <v>2152</v>
      </c>
      <c r="B2141" s="4">
        <v>4.8899999999999997</v>
      </c>
      <c r="C2141" s="4">
        <v>0.09</v>
      </c>
      <c r="D2141" s="4">
        <v>0.01</v>
      </c>
      <c r="E2141" s="4">
        <v>-1.318347256733042E-2</v>
      </c>
      <c r="F2141" s="3">
        <v>2139</v>
      </c>
      <c r="G2141" s="3">
        <v>2</v>
      </c>
      <c r="H2141" s="5">
        <v>66441600</v>
      </c>
      <c r="I2141" s="5">
        <v>838079600</v>
      </c>
      <c r="J2141" s="5">
        <v>849892000</v>
      </c>
      <c r="K2141" s="5">
        <v>78254000</v>
      </c>
      <c r="L2141" s="5">
        <v>2481260000</v>
      </c>
      <c r="M2141" s="5">
        <v>171366000</v>
      </c>
      <c r="N2141" s="5">
        <v>15166000</v>
      </c>
    </row>
    <row r="2142" spans="1:14" x14ac:dyDescent="0.25">
      <c r="A2142" s="3" t="s">
        <v>2153</v>
      </c>
      <c r="B2142" s="4">
        <v>7.0000000000000007E-2</v>
      </c>
      <c r="C2142" s="4">
        <v>-0.9</v>
      </c>
      <c r="D2142" s="4">
        <v>-0.65</v>
      </c>
      <c r="E2142" s="4">
        <v>-1.3188058269885819E-2</v>
      </c>
      <c r="F2142" s="3">
        <v>2140</v>
      </c>
      <c r="G2142" s="3">
        <v>2</v>
      </c>
      <c r="H2142" s="5">
        <v>14688000</v>
      </c>
      <c r="I2142" s="5">
        <v>-1060030</v>
      </c>
      <c r="J2142" s="5">
        <v>8130870</v>
      </c>
      <c r="K2142" s="5">
        <v>23878900</v>
      </c>
      <c r="L2142" s="5">
        <v>30472130</v>
      </c>
      <c r="M2142" s="5">
        <v>-15689280</v>
      </c>
      <c r="N2142" s="5">
        <v>-26836430</v>
      </c>
    </row>
    <row r="2143" spans="1:14" x14ac:dyDescent="0.25">
      <c r="A2143" s="3" t="s">
        <v>2154</v>
      </c>
      <c r="B2143" s="4">
        <v>4.4800000000000004</v>
      </c>
      <c r="C2143" s="4">
        <v>0</v>
      </c>
      <c r="D2143" s="4">
        <v>0</v>
      </c>
      <c r="E2143" s="4">
        <v>-1.319168662345787E-2</v>
      </c>
      <c r="F2143" s="3">
        <v>2141</v>
      </c>
      <c r="G2143" s="3">
        <v>2</v>
      </c>
      <c r="H2143" s="5">
        <v>7203043179.9200001</v>
      </c>
      <c r="I2143" s="5">
        <v>8825119179.9200001</v>
      </c>
      <c r="J2143" s="5">
        <v>2440243000</v>
      </c>
      <c r="K2143" s="5">
        <v>818167000</v>
      </c>
      <c r="L2143" s="5">
        <v>17649060000</v>
      </c>
      <c r="M2143" s="5">
        <v>1969687000</v>
      </c>
      <c r="N2143" s="5">
        <v>-53672000</v>
      </c>
    </row>
    <row r="2144" spans="1:14" x14ac:dyDescent="0.25">
      <c r="A2144" s="3" t="s">
        <v>2155</v>
      </c>
      <c r="B2144" s="4">
        <v>0.8</v>
      </c>
      <c r="C2144" s="4">
        <v>-0.75</v>
      </c>
      <c r="D2144" s="4">
        <v>-0.57999999999999996</v>
      </c>
      <c r="E2144" s="4">
        <v>-1.3192962994513059E-2</v>
      </c>
      <c r="F2144" s="3">
        <v>2142</v>
      </c>
      <c r="G2144" s="3">
        <v>2</v>
      </c>
      <c r="H2144" s="5">
        <v>965.94960000000003</v>
      </c>
      <c r="I2144" s="5">
        <v>-11483034.0504</v>
      </c>
      <c r="J2144" s="5">
        <v>341000</v>
      </c>
      <c r="K2144" s="5">
        <v>11825000</v>
      </c>
      <c r="L2144" s="5">
        <v>310000</v>
      </c>
      <c r="M2144" s="5">
        <v>-14333000</v>
      </c>
      <c r="N2144" s="5">
        <v>-11264000</v>
      </c>
    </row>
    <row r="2145" spans="1:14" x14ac:dyDescent="0.25">
      <c r="A2145" s="3" t="s">
        <v>2156</v>
      </c>
      <c r="B2145" s="4">
        <v>6.14</v>
      </c>
      <c r="C2145" s="4">
        <v>0.35</v>
      </c>
      <c r="D2145" s="4">
        <v>0.05</v>
      </c>
      <c r="E2145" s="4">
        <v>-1.319817339077917E-2</v>
      </c>
      <c r="F2145" s="3">
        <v>2143</v>
      </c>
      <c r="G2145" s="3">
        <v>2</v>
      </c>
      <c r="H2145" s="5">
        <v>14164994184.799999</v>
      </c>
      <c r="I2145" s="5">
        <v>15882194184.799999</v>
      </c>
      <c r="J2145" s="5">
        <v>6056600000</v>
      </c>
      <c r="K2145" s="5">
        <v>4339400000</v>
      </c>
      <c r="L2145" s="5">
        <v>15689100000</v>
      </c>
      <c r="M2145" s="5">
        <v>2588700000</v>
      </c>
      <c r="N2145" s="5">
        <v>1480600000</v>
      </c>
    </row>
    <row r="2146" spans="1:14" x14ac:dyDescent="0.25">
      <c r="A2146" s="3" t="s">
        <v>2157</v>
      </c>
      <c r="B2146" s="4">
        <v>5.25</v>
      </c>
      <c r="C2146" s="4">
        <v>0.16</v>
      </c>
      <c r="D2146" s="4">
        <v>0.03</v>
      </c>
      <c r="E2146" s="4">
        <v>-1.320017067016899E-2</v>
      </c>
      <c r="F2146" s="3">
        <v>2144</v>
      </c>
      <c r="G2146" s="3">
        <v>2</v>
      </c>
      <c r="H2146" s="5">
        <v>6765492037.04</v>
      </c>
      <c r="I2146" s="5">
        <v>14390492037.040001</v>
      </c>
      <c r="J2146" s="5">
        <v>7779000000</v>
      </c>
      <c r="K2146" s="5">
        <v>154000000</v>
      </c>
      <c r="L2146" s="5">
        <v>12636000000</v>
      </c>
      <c r="M2146" s="5">
        <v>2742000000</v>
      </c>
      <c r="N2146" s="5">
        <v>489000000</v>
      </c>
    </row>
    <row r="2147" spans="1:14" x14ac:dyDescent="0.25">
      <c r="A2147" s="3" t="s">
        <v>2158</v>
      </c>
      <c r="B2147" s="4">
        <v>4.26</v>
      </c>
      <c r="C2147" s="4">
        <v>-0.05</v>
      </c>
      <c r="D2147" s="4">
        <v>-0.02</v>
      </c>
      <c r="E2147" s="4">
        <v>-1.320385018634947E-2</v>
      </c>
      <c r="F2147" s="3">
        <v>2145</v>
      </c>
      <c r="G2147" s="3">
        <v>2</v>
      </c>
      <c r="H2147" s="5">
        <v>221232169.5</v>
      </c>
      <c r="I2147" s="5">
        <v>749429169.5</v>
      </c>
      <c r="J2147" s="5">
        <v>601590000</v>
      </c>
      <c r="K2147" s="5">
        <v>73393000</v>
      </c>
      <c r="L2147" s="5">
        <v>729075000</v>
      </c>
      <c r="M2147" s="5">
        <v>175847000</v>
      </c>
      <c r="N2147" s="5">
        <v>-26429000</v>
      </c>
    </row>
    <row r="2148" spans="1:14" x14ac:dyDescent="0.25">
      <c r="A2148" s="3" t="s">
        <v>2159</v>
      </c>
      <c r="B2148" s="4">
        <v>4.5</v>
      </c>
      <c r="C2148" s="4">
        <v>0</v>
      </c>
      <c r="D2148" s="4">
        <v>0</v>
      </c>
      <c r="E2148" s="4">
        <v>-1.320406503485203E-2</v>
      </c>
      <c r="F2148" s="3">
        <v>2146</v>
      </c>
      <c r="G2148" s="3">
        <v>2</v>
      </c>
      <c r="H2148" s="5">
        <v>86698901.900000006</v>
      </c>
      <c r="I2148" s="5">
        <v>63275901.900000013</v>
      </c>
      <c r="J2148" s="5">
        <v>0</v>
      </c>
      <c r="K2148" s="5">
        <v>23423000</v>
      </c>
      <c r="L2148" s="5">
        <v>222322000</v>
      </c>
      <c r="M2148" s="5">
        <v>14048000</v>
      </c>
      <c r="N2148" s="5">
        <v>-77000</v>
      </c>
    </row>
    <row r="2149" spans="1:14" x14ac:dyDescent="0.25">
      <c r="A2149" s="3" t="s">
        <v>2160</v>
      </c>
      <c r="B2149" s="4">
        <v>5.28</v>
      </c>
      <c r="C2149" s="4">
        <v>0.16</v>
      </c>
      <c r="D2149" s="4">
        <v>0.09</v>
      </c>
      <c r="E2149" s="4">
        <v>-1.320716412779519E-2</v>
      </c>
      <c r="F2149" s="3">
        <v>2147</v>
      </c>
      <c r="G2149" s="3">
        <v>2</v>
      </c>
      <c r="H2149" s="5">
        <v>2534008217.5999999</v>
      </c>
      <c r="I2149" s="5">
        <v>2846186217.5999999</v>
      </c>
      <c r="J2149" s="5">
        <v>637096000</v>
      </c>
      <c r="K2149" s="5">
        <v>324918000</v>
      </c>
      <c r="L2149" s="5">
        <v>1345835000</v>
      </c>
      <c r="M2149" s="5">
        <v>539072000</v>
      </c>
      <c r="N2149" s="5">
        <v>180656000</v>
      </c>
    </row>
    <row r="2150" spans="1:14" x14ac:dyDescent="0.25">
      <c r="A2150" s="3" t="s">
        <v>2161</v>
      </c>
      <c r="B2150" s="4">
        <v>5.13</v>
      </c>
      <c r="C2150" s="4">
        <v>0.13</v>
      </c>
      <c r="D2150" s="4">
        <v>0.04</v>
      </c>
      <c r="E2150" s="4">
        <v>-1.321065199626993E-2</v>
      </c>
      <c r="F2150" s="3">
        <v>2148</v>
      </c>
      <c r="G2150" s="3">
        <v>2</v>
      </c>
      <c r="H2150" s="5">
        <v>18107523120</v>
      </c>
      <c r="I2150" s="5">
        <v>22577523120</v>
      </c>
      <c r="J2150" s="5">
        <v>18533000000</v>
      </c>
      <c r="K2150" s="5">
        <v>14063000000</v>
      </c>
      <c r="L2150" s="5">
        <v>163071000000</v>
      </c>
      <c r="M2150" s="5">
        <v>4401000000</v>
      </c>
      <c r="N2150" s="5">
        <v>3305000000</v>
      </c>
    </row>
    <row r="2151" spans="1:14" x14ac:dyDescent="0.25">
      <c r="A2151" s="3" t="s">
        <v>2162</v>
      </c>
      <c r="B2151" s="4">
        <v>-1.03</v>
      </c>
      <c r="C2151" s="4">
        <v>-1.1299999999999999</v>
      </c>
      <c r="D2151" s="4">
        <v>-0.86</v>
      </c>
      <c r="E2151" s="4">
        <v>-1.321230816266745E-2</v>
      </c>
      <c r="F2151" s="3">
        <v>2149</v>
      </c>
      <c r="G2151" s="3">
        <v>2</v>
      </c>
      <c r="H2151" s="5">
        <v>475573860.13999999</v>
      </c>
      <c r="I2151" s="5">
        <v>306047860.13999999</v>
      </c>
      <c r="J2151" s="5">
        <v>0</v>
      </c>
      <c r="K2151" s="5">
        <v>169526000</v>
      </c>
      <c r="L2151" s="5">
        <v>0</v>
      </c>
      <c r="M2151" s="5">
        <v>-297554000</v>
      </c>
      <c r="N2151" s="5">
        <v>-294233000</v>
      </c>
    </row>
    <row r="2152" spans="1:14" x14ac:dyDescent="0.25">
      <c r="A2152" s="3" t="s">
        <v>2163</v>
      </c>
      <c r="B2152" s="4">
        <v>-5</v>
      </c>
      <c r="C2152" s="4">
        <v>-2.02</v>
      </c>
      <c r="D2152" s="4">
        <v>-0.27</v>
      </c>
      <c r="E2152" s="4">
        <v>-1.321291195714162E-2</v>
      </c>
      <c r="F2152" s="3">
        <v>2150</v>
      </c>
      <c r="G2152" s="3">
        <v>2</v>
      </c>
      <c r="H2152" s="5">
        <v>6978259.96</v>
      </c>
      <c r="I2152" s="5">
        <v>24127259.960000001</v>
      </c>
      <c r="J2152" s="5">
        <v>18012000</v>
      </c>
      <c r="K2152" s="5">
        <v>863000</v>
      </c>
      <c r="L2152" s="5">
        <v>54031000</v>
      </c>
      <c r="M2152" s="5">
        <v>-4821000</v>
      </c>
      <c r="N2152" s="5">
        <v>-10585000</v>
      </c>
    </row>
    <row r="2153" spans="1:14" x14ac:dyDescent="0.25">
      <c r="A2153" s="3" t="s">
        <v>2164</v>
      </c>
      <c r="B2153" s="4">
        <v>-0.53</v>
      </c>
      <c r="C2153" s="4">
        <v>-1.03</v>
      </c>
      <c r="D2153" s="4">
        <v>-0.82</v>
      </c>
      <c r="E2153" s="4">
        <v>-1.322511627106673E-2</v>
      </c>
      <c r="F2153" s="3">
        <v>2151</v>
      </c>
      <c r="G2153" s="3">
        <v>2</v>
      </c>
      <c r="H2153" s="5">
        <v>13812281.130000001</v>
      </c>
      <c r="I2153" s="5">
        <v>7741281.1300000008</v>
      </c>
      <c r="J2153" s="5">
        <v>0</v>
      </c>
      <c r="K2153" s="5">
        <v>6071000</v>
      </c>
      <c r="L2153" s="5">
        <v>0</v>
      </c>
      <c r="M2153" s="5">
        <v>-14686000</v>
      </c>
      <c r="N2153" s="5">
        <v>-13945000</v>
      </c>
    </row>
    <row r="2154" spans="1:14" x14ac:dyDescent="0.25">
      <c r="A2154" s="3" t="s">
        <v>2165</v>
      </c>
      <c r="B2154" s="4">
        <v>-3.02</v>
      </c>
      <c r="C2154" s="4">
        <v>-1.58</v>
      </c>
      <c r="D2154" s="4">
        <v>-0.57999999999999996</v>
      </c>
      <c r="E2154" s="4">
        <v>-1.3226855800429489E-2</v>
      </c>
      <c r="F2154" s="3">
        <v>2152</v>
      </c>
      <c r="G2154" s="3">
        <v>2</v>
      </c>
      <c r="H2154" s="5">
        <v>37900580.219999999</v>
      </c>
      <c r="I2154" s="5">
        <v>34450580.219999999</v>
      </c>
      <c r="J2154" s="5">
        <v>0</v>
      </c>
      <c r="K2154" s="5">
        <v>3450000</v>
      </c>
      <c r="L2154" s="5">
        <v>25182000</v>
      </c>
      <c r="M2154" s="5">
        <v>-11402000</v>
      </c>
      <c r="N2154" s="5">
        <v>-11886000</v>
      </c>
    </row>
    <row r="2155" spans="1:14" x14ac:dyDescent="0.25">
      <c r="A2155" s="3" t="s">
        <v>2166</v>
      </c>
      <c r="B2155" s="4">
        <v>5.49</v>
      </c>
      <c r="C2155" s="4">
        <v>0.2</v>
      </c>
      <c r="D2155" s="4">
        <v>0.05</v>
      </c>
      <c r="E2155" s="4">
        <v>-1.322927912568601E-2</v>
      </c>
      <c r="F2155" s="3">
        <v>2153</v>
      </c>
      <c r="G2155" s="3">
        <v>2</v>
      </c>
      <c r="H2155" s="5">
        <v>1148849703.04</v>
      </c>
      <c r="I2155" s="5">
        <v>2397605703.04</v>
      </c>
      <c r="J2155" s="5">
        <v>1309616000</v>
      </c>
      <c r="K2155" s="5">
        <v>60860000</v>
      </c>
      <c r="L2155" s="5">
        <v>4320564000</v>
      </c>
      <c r="M2155" s="5">
        <v>436609000</v>
      </c>
      <c r="N2155" s="5">
        <v>123478000</v>
      </c>
    </row>
    <row r="2156" spans="1:14" x14ac:dyDescent="0.25">
      <c r="A2156" s="3" t="s">
        <v>2167</v>
      </c>
      <c r="B2156" s="4">
        <v>4.83</v>
      </c>
      <c r="C2156" s="4">
        <v>0.06</v>
      </c>
      <c r="D2156" s="4">
        <v>0.02</v>
      </c>
      <c r="E2156" s="4">
        <v>-1.323108912761382E-2</v>
      </c>
      <c r="F2156" s="3">
        <v>2154</v>
      </c>
      <c r="G2156" s="3">
        <v>2</v>
      </c>
      <c r="H2156" s="5">
        <v>1186452.6399999999</v>
      </c>
      <c r="I2156" s="5">
        <v>909382.6399999999</v>
      </c>
      <c r="J2156" s="5">
        <v>268770</v>
      </c>
      <c r="K2156" s="5">
        <v>545840</v>
      </c>
      <c r="L2156" s="5">
        <v>12046150</v>
      </c>
      <c r="M2156" s="5">
        <v>188220</v>
      </c>
      <c r="N2156" s="5">
        <v>105530</v>
      </c>
    </row>
    <row r="2157" spans="1:14" x14ac:dyDescent="0.25">
      <c r="A2157" s="3" t="s">
        <v>2168</v>
      </c>
      <c r="B2157" s="4">
        <v>5.3</v>
      </c>
      <c r="C2157" s="4">
        <v>0.16</v>
      </c>
      <c r="D2157" s="4">
        <v>0.02</v>
      </c>
      <c r="E2157" s="4">
        <v>-1.323304572523188E-2</v>
      </c>
      <c r="F2157" s="3">
        <v>2155</v>
      </c>
      <c r="G2157" s="3">
        <v>2</v>
      </c>
      <c r="H2157" s="5">
        <v>15250763.5</v>
      </c>
      <c r="I2157" s="5">
        <v>1562531763.5</v>
      </c>
      <c r="J2157" s="5">
        <v>1876680000</v>
      </c>
      <c r="K2157" s="5">
        <v>329399000</v>
      </c>
      <c r="L2157" s="5">
        <v>8299134000</v>
      </c>
      <c r="M2157" s="5">
        <v>294754000</v>
      </c>
      <c r="N2157" s="5">
        <v>148763000</v>
      </c>
    </row>
    <row r="2158" spans="1:14" x14ac:dyDescent="0.25">
      <c r="A2158" s="3" t="s">
        <v>2169</v>
      </c>
      <c r="B2158" s="4">
        <v>4.79</v>
      </c>
      <c r="C2158" s="4">
        <v>0.05</v>
      </c>
      <c r="D2158" s="4">
        <v>0.03</v>
      </c>
      <c r="E2158" s="4">
        <v>-1.323329688526247E-2</v>
      </c>
      <c r="F2158" s="3">
        <v>2156</v>
      </c>
      <c r="G2158" s="3">
        <v>2</v>
      </c>
      <c r="H2158" s="5">
        <v>249190349.75999999</v>
      </c>
      <c r="I2158" s="5">
        <v>164490349.75999999</v>
      </c>
      <c r="J2158" s="5">
        <v>0</v>
      </c>
      <c r="K2158" s="5">
        <v>84700000</v>
      </c>
      <c r="L2158" s="5">
        <v>454364000</v>
      </c>
      <c r="M2158" s="5">
        <v>34314000</v>
      </c>
      <c r="N2158" s="5">
        <v>7696000</v>
      </c>
    </row>
    <row r="2159" spans="1:14" x14ac:dyDescent="0.25">
      <c r="A2159" s="3" t="s">
        <v>2170</v>
      </c>
      <c r="B2159" s="4">
        <v>-0.28999999999999998</v>
      </c>
      <c r="C2159" s="4">
        <v>-1.01</v>
      </c>
      <c r="D2159" s="4">
        <v>-0.4</v>
      </c>
      <c r="E2159" s="4">
        <v>-1.323485087751242E-2</v>
      </c>
      <c r="F2159" s="3">
        <v>2157</v>
      </c>
      <c r="G2159" s="3">
        <v>2</v>
      </c>
      <c r="H2159" s="5">
        <v>111.406043</v>
      </c>
      <c r="I2159" s="5">
        <v>12417111.406043001</v>
      </c>
      <c r="J2159" s="5">
        <v>56960000</v>
      </c>
      <c r="K2159" s="5">
        <v>44543000</v>
      </c>
      <c r="L2159" s="5">
        <v>49721000</v>
      </c>
      <c r="M2159" s="5">
        <v>-42380000</v>
      </c>
      <c r="N2159" s="5">
        <v>-51692000</v>
      </c>
    </row>
    <row r="2160" spans="1:14" x14ac:dyDescent="0.25">
      <c r="A2160" s="3" t="s">
        <v>2171</v>
      </c>
      <c r="B2160" s="4">
        <v>5.74</v>
      </c>
      <c r="C2160" s="4">
        <v>0.25</v>
      </c>
      <c r="D2160" s="4">
        <v>0.04</v>
      </c>
      <c r="E2160" s="4">
        <v>-1.324147025961816E-2</v>
      </c>
      <c r="F2160" s="3">
        <v>2158</v>
      </c>
      <c r="G2160" s="3">
        <v>2</v>
      </c>
      <c r="H2160" s="5">
        <v>31289276636.849998</v>
      </c>
      <c r="I2160" s="5">
        <v>47464276636.849998</v>
      </c>
      <c r="J2160" s="5">
        <v>24944000000</v>
      </c>
      <c r="K2160" s="5">
        <v>8769000000</v>
      </c>
      <c r="L2160" s="5">
        <v>57063000000</v>
      </c>
      <c r="M2160" s="5">
        <v>8264000000</v>
      </c>
      <c r="N2160" s="5">
        <v>3149000000</v>
      </c>
    </row>
    <row r="2161" spans="1:14" x14ac:dyDescent="0.25">
      <c r="A2161" s="3" t="s">
        <v>2172</v>
      </c>
      <c r="B2161" s="4">
        <v>7.49</v>
      </c>
      <c r="C2161" s="4">
        <v>0.63</v>
      </c>
      <c r="D2161" s="4">
        <v>-0.05</v>
      </c>
      <c r="E2161" s="4">
        <v>-1.3243985429254861E-2</v>
      </c>
      <c r="F2161" s="3">
        <v>2159</v>
      </c>
      <c r="G2161" s="3">
        <v>2</v>
      </c>
      <c r="H2161" s="5">
        <v>510944150.73000002</v>
      </c>
      <c r="I2161" s="5">
        <v>1441176150.73</v>
      </c>
      <c r="J2161" s="5">
        <v>1100267000</v>
      </c>
      <c r="K2161" s="5">
        <v>170035000</v>
      </c>
      <c r="L2161" s="5">
        <v>2730893000</v>
      </c>
      <c r="M2161" s="5">
        <v>192415000</v>
      </c>
      <c r="N2161" s="5">
        <v>-78746000</v>
      </c>
    </row>
    <row r="2162" spans="1:14" x14ac:dyDescent="0.25">
      <c r="A2162" s="3" t="s">
        <v>2173</v>
      </c>
      <c r="B2162" s="4">
        <v>-1.41</v>
      </c>
      <c r="C2162" s="4">
        <v>-1.24</v>
      </c>
      <c r="D2162" s="4">
        <v>-0.61</v>
      </c>
      <c r="E2162" s="4">
        <v>-1.32467223588999E-2</v>
      </c>
      <c r="F2162" s="3">
        <v>2160</v>
      </c>
      <c r="G2162" s="3">
        <v>2</v>
      </c>
      <c r="H2162" s="5">
        <v>15155565.8278</v>
      </c>
      <c r="I2162" s="5">
        <v>15390565.8278</v>
      </c>
      <c r="J2162" s="5">
        <v>5115000</v>
      </c>
      <c r="K2162" s="5">
        <v>4880000</v>
      </c>
      <c r="L2162" s="5">
        <v>7142000</v>
      </c>
      <c r="M2162" s="5">
        <v>-10930000</v>
      </c>
      <c r="N2162" s="5">
        <v>-19408000</v>
      </c>
    </row>
    <row r="2163" spans="1:14" x14ac:dyDescent="0.25">
      <c r="A2163" s="3" t="s">
        <v>2174</v>
      </c>
      <c r="B2163" s="4">
        <v>4.87</v>
      </c>
      <c r="C2163" s="4">
        <v>0.06</v>
      </c>
      <c r="D2163" s="4">
        <v>0.03</v>
      </c>
      <c r="E2163" s="4">
        <v>-1.3253916923824631E-2</v>
      </c>
      <c r="F2163" s="3">
        <v>2161</v>
      </c>
      <c r="G2163" s="3">
        <v>2</v>
      </c>
      <c r="H2163" s="5">
        <v>8448074269.1999998</v>
      </c>
      <c r="I2163" s="5">
        <v>10120074269.200001</v>
      </c>
      <c r="J2163" s="5">
        <v>4591000000</v>
      </c>
      <c r="K2163" s="5">
        <v>2919000000</v>
      </c>
      <c r="L2163" s="5">
        <v>12142000000</v>
      </c>
      <c r="M2163" s="5">
        <v>2080000000</v>
      </c>
      <c r="N2163" s="5">
        <v>602000000</v>
      </c>
    </row>
    <row r="2164" spans="1:14" x14ac:dyDescent="0.25">
      <c r="A2164" s="3" t="s">
        <v>2175</v>
      </c>
      <c r="B2164" s="4">
        <v>5.1100000000000003</v>
      </c>
      <c r="C2164" s="4">
        <v>0.11</v>
      </c>
      <c r="D2164" s="4">
        <v>0.04</v>
      </c>
      <c r="E2164" s="4">
        <v>-1.3256060798904691E-2</v>
      </c>
      <c r="F2164" s="3">
        <v>2162</v>
      </c>
      <c r="G2164" s="3">
        <v>2</v>
      </c>
      <c r="H2164" s="5">
        <v>14152754227.08</v>
      </c>
      <c r="I2164" s="5">
        <v>21926754227.080002</v>
      </c>
      <c r="J2164" s="5">
        <v>11149000000</v>
      </c>
      <c r="K2164" s="5">
        <v>3375000000</v>
      </c>
      <c r="L2164" s="5">
        <v>40302000000</v>
      </c>
      <c r="M2164" s="5">
        <v>4288000000</v>
      </c>
      <c r="N2164" s="5">
        <v>1367000000</v>
      </c>
    </row>
    <row r="2165" spans="1:14" x14ac:dyDescent="0.25">
      <c r="A2165" s="3" t="s">
        <v>2176</v>
      </c>
      <c r="B2165" s="4">
        <v>-10.66</v>
      </c>
      <c r="C2165" s="4">
        <v>-3.23</v>
      </c>
      <c r="D2165" s="4">
        <v>-0.53</v>
      </c>
      <c r="E2165" s="4">
        <v>-1.3256102672360361E-2</v>
      </c>
      <c r="F2165" s="3">
        <v>2163</v>
      </c>
      <c r="G2165" s="3">
        <v>2</v>
      </c>
      <c r="H2165" s="5">
        <v>5573161840.5</v>
      </c>
      <c r="I2165" s="5">
        <v>6208520840.5</v>
      </c>
      <c r="J2165" s="5">
        <v>734544000</v>
      </c>
      <c r="K2165" s="5">
        <v>99185000</v>
      </c>
      <c r="L2165" s="5">
        <v>3551000</v>
      </c>
      <c r="M2165" s="5">
        <v>-582480000</v>
      </c>
      <c r="N2165" s="5">
        <v>-599493000</v>
      </c>
    </row>
    <row r="2166" spans="1:14" x14ac:dyDescent="0.25">
      <c r="A2166" s="3" t="s">
        <v>2177</v>
      </c>
      <c r="B2166" s="4">
        <v>-0.36</v>
      </c>
      <c r="C2166" s="4">
        <v>-1.03</v>
      </c>
      <c r="D2166" s="4">
        <v>-0.44</v>
      </c>
      <c r="E2166" s="4">
        <v>-1.3257029757971821E-2</v>
      </c>
      <c r="F2166" s="3">
        <v>2164</v>
      </c>
      <c r="G2166" s="3">
        <v>2</v>
      </c>
      <c r="H2166" s="5">
        <v>11019503.8893</v>
      </c>
      <c r="I2166" s="5">
        <v>3556983.8892999999</v>
      </c>
      <c r="J2166" s="5">
        <v>137780</v>
      </c>
      <c r="K2166" s="5">
        <v>7600300</v>
      </c>
      <c r="L2166" s="5">
        <v>13472110</v>
      </c>
      <c r="M2166" s="5">
        <v>-9751420</v>
      </c>
      <c r="N2166" s="5">
        <v>-10798320</v>
      </c>
    </row>
    <row r="2167" spans="1:14" x14ac:dyDescent="0.25">
      <c r="A2167" s="3" t="s">
        <v>2178</v>
      </c>
      <c r="B2167" s="4">
        <v>4.8</v>
      </c>
      <c r="C2167" s="4">
        <v>0.04</v>
      </c>
      <c r="D2167" s="4">
        <v>0.01</v>
      </c>
      <c r="E2167" s="4">
        <v>-1.3272237751129011E-2</v>
      </c>
      <c r="F2167" s="3">
        <v>2165</v>
      </c>
      <c r="G2167" s="3">
        <v>2</v>
      </c>
      <c r="H2167" s="5">
        <v>375886873.19999999</v>
      </c>
      <c r="I2167" s="5">
        <v>186033873.19999999</v>
      </c>
      <c r="J2167" s="5">
        <v>5919000</v>
      </c>
      <c r="K2167" s="5">
        <v>195772000</v>
      </c>
      <c r="L2167" s="5">
        <v>203760000</v>
      </c>
      <c r="M2167" s="5">
        <v>38745000</v>
      </c>
      <c r="N2167" s="5">
        <v>2745000</v>
      </c>
    </row>
    <row r="2168" spans="1:14" x14ac:dyDescent="0.25">
      <c r="A2168" s="3" t="s">
        <v>2179</v>
      </c>
      <c r="B2168" s="4">
        <v>-3.21</v>
      </c>
      <c r="C2168" s="4">
        <v>-1.63</v>
      </c>
      <c r="D2168" s="4">
        <v>-0.71</v>
      </c>
      <c r="E2168" s="4">
        <v>-1.3278806272764881E-2</v>
      </c>
      <c r="F2168" s="3">
        <v>2166</v>
      </c>
      <c r="G2168" s="3">
        <v>2</v>
      </c>
      <c r="H2168" s="5">
        <v>57893874.560000002</v>
      </c>
      <c r="I2168" s="5">
        <v>49030874.560000002</v>
      </c>
      <c r="J2168" s="5">
        <v>0</v>
      </c>
      <c r="K2168" s="5">
        <v>8863000</v>
      </c>
      <c r="L2168" s="5">
        <v>0</v>
      </c>
      <c r="M2168" s="5">
        <v>-15252000</v>
      </c>
      <c r="N2168" s="5">
        <v>-13004000</v>
      </c>
    </row>
    <row r="2169" spans="1:14" x14ac:dyDescent="0.25">
      <c r="A2169" s="3" t="s">
        <v>2180</v>
      </c>
      <c r="B2169" s="4">
        <v>6.34</v>
      </c>
      <c r="C2169" s="4">
        <v>0.36</v>
      </c>
      <c r="D2169" s="4">
        <v>0.08</v>
      </c>
      <c r="E2169" s="4">
        <v>-1.328727681797375E-2</v>
      </c>
      <c r="F2169" s="3">
        <v>2167</v>
      </c>
      <c r="G2169" s="3">
        <v>2</v>
      </c>
      <c r="H2169" s="5">
        <v>729497833.12</v>
      </c>
      <c r="I2169" s="5">
        <v>993515783.12</v>
      </c>
      <c r="J2169" s="5">
        <v>307599360</v>
      </c>
      <c r="K2169" s="5">
        <v>43581410</v>
      </c>
      <c r="L2169" s="5">
        <v>479948630</v>
      </c>
      <c r="M2169" s="5">
        <v>156672280</v>
      </c>
      <c r="N2169" s="5">
        <v>52179170</v>
      </c>
    </row>
    <row r="2170" spans="1:14" x14ac:dyDescent="0.25">
      <c r="A2170" s="3" t="s">
        <v>2181</v>
      </c>
      <c r="B2170" s="4">
        <v>-0.79</v>
      </c>
      <c r="C2170" s="4">
        <v>-1.1000000000000001</v>
      </c>
      <c r="D2170" s="4">
        <v>-1</v>
      </c>
      <c r="E2170" s="4">
        <v>-1.3301174650439019E-2</v>
      </c>
      <c r="F2170" s="3">
        <v>2168</v>
      </c>
      <c r="G2170" s="3">
        <v>2</v>
      </c>
      <c r="H2170" s="5">
        <v>27272485.6664</v>
      </c>
      <c r="I2170" s="5">
        <v>14177485.6664</v>
      </c>
      <c r="J2170" s="5">
        <v>0</v>
      </c>
      <c r="K2170" s="5">
        <v>13095000</v>
      </c>
      <c r="L2170" s="5">
        <v>0</v>
      </c>
      <c r="M2170" s="5">
        <v>-17985000</v>
      </c>
      <c r="N2170" s="5">
        <v>-18824000</v>
      </c>
    </row>
    <row r="2171" spans="1:14" x14ac:dyDescent="0.25">
      <c r="A2171" s="3" t="s">
        <v>2182</v>
      </c>
      <c r="B2171" s="4">
        <v>5.52</v>
      </c>
      <c r="C2171" s="4">
        <v>0.18</v>
      </c>
      <c r="D2171" s="4">
        <v>0.05</v>
      </c>
      <c r="E2171" s="4">
        <v>-1.3305633956806159E-2</v>
      </c>
      <c r="F2171" s="3">
        <v>2169</v>
      </c>
      <c r="G2171" s="3">
        <v>2</v>
      </c>
      <c r="H2171" s="5">
        <v>87699000</v>
      </c>
      <c r="I2171" s="5">
        <v>7635192000</v>
      </c>
      <c r="J2171" s="5">
        <v>7605720000</v>
      </c>
      <c r="K2171" s="5">
        <v>58227000</v>
      </c>
      <c r="L2171" s="5">
        <v>1583473000</v>
      </c>
      <c r="M2171" s="5">
        <v>1382734000</v>
      </c>
      <c r="N2171" s="5">
        <v>518195000</v>
      </c>
    </row>
    <row r="2172" spans="1:14" x14ac:dyDescent="0.25">
      <c r="A2172" s="3" t="s">
        <v>2183</v>
      </c>
      <c r="B2172" s="4">
        <v>5.46</v>
      </c>
      <c r="C2172" s="4">
        <v>0.17</v>
      </c>
      <c r="D2172" s="4">
        <v>0</v>
      </c>
      <c r="E2172" s="4">
        <v>-1.330703746252568E-2</v>
      </c>
      <c r="F2172" s="3">
        <v>2170</v>
      </c>
      <c r="G2172" s="3">
        <v>2</v>
      </c>
      <c r="H2172" s="5">
        <v>6858197260.4399996</v>
      </c>
      <c r="I2172" s="5">
        <v>7846197260.4399986</v>
      </c>
      <c r="J2172" s="5">
        <v>2502000000</v>
      </c>
      <c r="K2172" s="5">
        <v>1514000000</v>
      </c>
      <c r="L2172" s="5">
        <v>8050000000</v>
      </c>
      <c r="M2172" s="5">
        <v>1438000000</v>
      </c>
      <c r="N2172" s="5">
        <v>667000000</v>
      </c>
    </row>
    <row r="2173" spans="1:14" x14ac:dyDescent="0.25">
      <c r="A2173" s="3" t="s">
        <v>2184</v>
      </c>
      <c r="B2173" s="4">
        <v>4.4800000000000004</v>
      </c>
      <c r="C2173" s="4">
        <v>-0.04</v>
      </c>
      <c r="D2173" s="4">
        <v>-0.01</v>
      </c>
      <c r="E2173" s="4">
        <v>-1.3309190078093209E-2</v>
      </c>
      <c r="F2173" s="3">
        <v>2171</v>
      </c>
      <c r="G2173" s="3">
        <v>2</v>
      </c>
      <c r="H2173" s="5">
        <v>819730032</v>
      </c>
      <c r="I2173" s="5">
        <v>35332966032</v>
      </c>
      <c r="J2173" s="5">
        <v>39510446000</v>
      </c>
      <c r="K2173" s="5">
        <v>4997210000</v>
      </c>
      <c r="L2173" s="5">
        <v>39885580000</v>
      </c>
      <c r="M2173" s="5">
        <v>7889845000</v>
      </c>
      <c r="N2173" s="5">
        <v>-784958000</v>
      </c>
    </row>
    <row r="2174" spans="1:14" x14ac:dyDescent="0.25">
      <c r="A2174" s="3" t="s">
        <v>2185</v>
      </c>
      <c r="B2174" s="4">
        <v>5.2</v>
      </c>
      <c r="C2174" s="4">
        <v>0.11</v>
      </c>
      <c r="D2174" s="4">
        <v>0.05</v>
      </c>
      <c r="E2174" s="4">
        <v>-1.3309834623600889E-2</v>
      </c>
      <c r="F2174" s="3">
        <v>2172</v>
      </c>
      <c r="G2174" s="3">
        <v>2</v>
      </c>
      <c r="H2174" s="5">
        <v>544201238.67999995</v>
      </c>
      <c r="I2174" s="5">
        <v>944901238.67999995</v>
      </c>
      <c r="J2174" s="5">
        <v>507400000</v>
      </c>
      <c r="K2174" s="5">
        <v>106700000</v>
      </c>
      <c r="L2174" s="5">
        <v>1887100000</v>
      </c>
      <c r="M2174" s="5">
        <v>181700000</v>
      </c>
      <c r="N2174" s="5">
        <v>86200000</v>
      </c>
    </row>
    <row r="2175" spans="1:14" x14ac:dyDescent="0.25">
      <c r="A2175" s="3" t="s">
        <v>2186</v>
      </c>
      <c r="B2175" s="4">
        <v>5.51</v>
      </c>
      <c r="C2175" s="4">
        <v>0.17</v>
      </c>
      <c r="D2175" s="4">
        <v>0.12</v>
      </c>
      <c r="E2175" s="4">
        <v>-1.3314835172080991E-2</v>
      </c>
      <c r="F2175" s="3">
        <v>2173</v>
      </c>
      <c r="G2175" s="3">
        <v>2</v>
      </c>
      <c r="H2175" s="5">
        <v>288778757.94</v>
      </c>
      <c r="I2175" s="5">
        <v>126124757.94</v>
      </c>
      <c r="J2175" s="5">
        <v>500000</v>
      </c>
      <c r="K2175" s="5">
        <v>163154000</v>
      </c>
      <c r="L2175" s="5">
        <v>145941000</v>
      </c>
      <c r="M2175" s="5">
        <v>22898000</v>
      </c>
      <c r="N2175" s="5">
        <v>67228000</v>
      </c>
    </row>
    <row r="2176" spans="1:14" x14ac:dyDescent="0.25">
      <c r="A2176" s="3" t="s">
        <v>2187</v>
      </c>
      <c r="B2176" s="4">
        <v>-0.56000000000000005</v>
      </c>
      <c r="C2176" s="4">
        <v>-1.0900000000000001</v>
      </c>
      <c r="D2176" s="4">
        <v>-0.5</v>
      </c>
      <c r="E2176" s="4">
        <v>-1.3318181445582051E-2</v>
      </c>
      <c r="F2176" s="3">
        <v>2174</v>
      </c>
      <c r="G2176" s="3">
        <v>2</v>
      </c>
      <c r="H2176" s="5">
        <v>98651.235000000001</v>
      </c>
      <c r="I2176" s="5">
        <v>3390781.2349999999</v>
      </c>
      <c r="J2176" s="5">
        <v>4136710</v>
      </c>
      <c r="K2176" s="5">
        <v>844580</v>
      </c>
      <c r="L2176" s="5">
        <v>13294360</v>
      </c>
      <c r="M2176" s="5">
        <v>-6052380</v>
      </c>
      <c r="N2176" s="5">
        <v>-16166740</v>
      </c>
    </row>
    <row r="2177" spans="1:14" x14ac:dyDescent="0.25">
      <c r="A2177" s="3" t="s">
        <v>2188</v>
      </c>
      <c r="B2177" s="4">
        <v>4.88</v>
      </c>
      <c r="C2177" s="4">
        <v>0.04</v>
      </c>
      <c r="D2177" s="4">
        <v>0.02</v>
      </c>
      <c r="E2177" s="4">
        <v>-1.331982237012813E-2</v>
      </c>
      <c r="F2177" s="3">
        <v>2175</v>
      </c>
      <c r="G2177" s="3">
        <v>2</v>
      </c>
      <c r="H2177" s="5">
        <v>533635533.89999998</v>
      </c>
      <c r="I2177" s="5">
        <v>831903533.89999998</v>
      </c>
      <c r="J2177" s="5">
        <v>323541000</v>
      </c>
      <c r="K2177" s="5">
        <v>25273000</v>
      </c>
      <c r="L2177" s="5">
        <v>703625000</v>
      </c>
      <c r="M2177" s="5">
        <v>170423000</v>
      </c>
      <c r="N2177" s="5">
        <v>34663000</v>
      </c>
    </row>
    <row r="2178" spans="1:14" x14ac:dyDescent="0.25">
      <c r="A2178" s="3" t="s">
        <v>2189</v>
      </c>
      <c r="B2178" s="4">
        <v>5.31</v>
      </c>
      <c r="C2178" s="4">
        <v>0.13</v>
      </c>
      <c r="D2178" s="4">
        <v>0.05</v>
      </c>
      <c r="E2178" s="4">
        <v>-1.332012867223982E-2</v>
      </c>
      <c r="F2178" s="3">
        <v>2176</v>
      </c>
      <c r="G2178" s="3">
        <v>2</v>
      </c>
      <c r="H2178" s="5">
        <v>9285167764.7399998</v>
      </c>
      <c r="I2178" s="5">
        <v>14078167764.74</v>
      </c>
      <c r="J2178" s="5">
        <v>5154000000</v>
      </c>
      <c r="K2178" s="5">
        <v>361000000</v>
      </c>
      <c r="L2178" s="5">
        <v>10975000000</v>
      </c>
      <c r="M2178" s="5">
        <v>2653000000</v>
      </c>
      <c r="N2178" s="5">
        <v>647000000</v>
      </c>
    </row>
    <row r="2179" spans="1:14" x14ac:dyDescent="0.25">
      <c r="A2179" s="3" t="s">
        <v>2190</v>
      </c>
      <c r="B2179" s="4">
        <v>5.38</v>
      </c>
      <c r="C2179" s="4">
        <v>0.14000000000000001</v>
      </c>
      <c r="D2179" s="4">
        <v>0.11</v>
      </c>
      <c r="E2179" s="4">
        <v>-1.332298534563987E-2</v>
      </c>
      <c r="F2179" s="3">
        <v>2177</v>
      </c>
      <c r="G2179" s="3">
        <v>2</v>
      </c>
      <c r="H2179" s="5">
        <v>449107888.06</v>
      </c>
      <c r="I2179" s="5">
        <v>351719888.06</v>
      </c>
      <c r="J2179" s="5">
        <v>740000</v>
      </c>
      <c r="K2179" s="5">
        <v>98128000</v>
      </c>
      <c r="L2179" s="5">
        <v>125290000</v>
      </c>
      <c r="M2179" s="5">
        <v>65431000</v>
      </c>
      <c r="N2179" s="5">
        <v>62986000</v>
      </c>
    </row>
    <row r="2180" spans="1:14" x14ac:dyDescent="0.25">
      <c r="A2180" s="3" t="s">
        <v>2191</v>
      </c>
      <c r="B2180" s="4">
        <v>8.73</v>
      </c>
      <c r="C2180" s="4">
        <v>0.86</v>
      </c>
      <c r="D2180" s="4">
        <v>7.0000000000000007E-2</v>
      </c>
      <c r="E2180" s="4">
        <v>-1.3323745655429859E-2</v>
      </c>
      <c r="F2180" s="3">
        <v>2178</v>
      </c>
      <c r="G2180" s="3">
        <v>2</v>
      </c>
      <c r="H2180" s="5">
        <v>2594970000</v>
      </c>
      <c r="I2180" s="5">
        <v>2741970000</v>
      </c>
      <c r="J2180" s="5">
        <v>567000000</v>
      </c>
      <c r="K2180" s="5">
        <v>420000000</v>
      </c>
      <c r="L2180" s="5">
        <v>1750000000</v>
      </c>
      <c r="M2180" s="5">
        <v>314000000</v>
      </c>
      <c r="N2180" s="5">
        <v>114000000</v>
      </c>
    </row>
    <row r="2181" spans="1:14" x14ac:dyDescent="0.25">
      <c r="A2181" s="3" t="s">
        <v>2192</v>
      </c>
      <c r="B2181" s="4">
        <v>5.51</v>
      </c>
      <c r="C2181" s="4">
        <v>0.17</v>
      </c>
      <c r="D2181" s="4">
        <v>7.0000000000000007E-2</v>
      </c>
      <c r="E2181" s="4">
        <v>-1.3324480304968521E-2</v>
      </c>
      <c r="F2181" s="3">
        <v>2179</v>
      </c>
      <c r="G2181" s="3">
        <v>2</v>
      </c>
      <c r="H2181" s="5">
        <v>762347359.20000005</v>
      </c>
      <c r="I2181" s="5">
        <v>1005899359.2</v>
      </c>
      <c r="J2181" s="5">
        <v>285000000</v>
      </c>
      <c r="K2181" s="5">
        <v>41448000</v>
      </c>
      <c r="L2181" s="5">
        <v>1360994000</v>
      </c>
      <c r="M2181" s="5">
        <v>182580000</v>
      </c>
      <c r="N2181" s="5">
        <v>85052000</v>
      </c>
    </row>
    <row r="2182" spans="1:14" x14ac:dyDescent="0.25">
      <c r="A2182" s="3" t="s">
        <v>2193</v>
      </c>
      <c r="B2182" s="4">
        <v>5.92</v>
      </c>
      <c r="C2182" s="4">
        <v>0.25</v>
      </c>
      <c r="D2182" s="4">
        <v>0.18</v>
      </c>
      <c r="E2182" s="4">
        <v>-1.3325869590080469E-2</v>
      </c>
      <c r="F2182" s="3">
        <v>2180</v>
      </c>
      <c r="G2182" s="3">
        <v>2</v>
      </c>
      <c r="H2182" s="5">
        <v>23284770126.419998</v>
      </c>
      <c r="I2182" s="5">
        <v>23822314126.419998</v>
      </c>
      <c r="J2182" s="5">
        <v>2150871000</v>
      </c>
      <c r="K2182" s="5">
        <v>1613327000</v>
      </c>
      <c r="L2182" s="5">
        <v>17946950000</v>
      </c>
      <c r="M2182" s="5">
        <v>4022309000</v>
      </c>
      <c r="N2182" s="5">
        <v>3083262000</v>
      </c>
    </row>
    <row r="2183" spans="1:14" x14ac:dyDescent="0.25">
      <c r="A2183" s="3" t="s">
        <v>2194</v>
      </c>
      <c r="B2183" s="4">
        <v>-0.52</v>
      </c>
      <c r="C2183" s="4">
        <v>-1.08</v>
      </c>
      <c r="D2183" s="4">
        <v>-0.63</v>
      </c>
      <c r="E2183" s="4">
        <v>-1.333912200686348E-2</v>
      </c>
      <c r="F2183" s="3">
        <v>2181</v>
      </c>
      <c r="G2183" s="3">
        <v>2</v>
      </c>
      <c r="H2183" s="5">
        <v>546039.76439999999</v>
      </c>
      <c r="I2183" s="5">
        <v>1079069.7644</v>
      </c>
      <c r="J2183" s="5">
        <v>633040</v>
      </c>
      <c r="K2183" s="5">
        <v>100010</v>
      </c>
      <c r="L2183" s="5">
        <v>0</v>
      </c>
      <c r="M2183" s="5">
        <v>-2087430</v>
      </c>
      <c r="N2183" s="5">
        <v>-2138780</v>
      </c>
    </row>
    <row r="2184" spans="1:14" x14ac:dyDescent="0.25">
      <c r="A2184" s="3" t="s">
        <v>2195</v>
      </c>
      <c r="B2184" s="4">
        <v>-1.2</v>
      </c>
      <c r="C2184" s="4">
        <v>-1.21</v>
      </c>
      <c r="D2184" s="4">
        <v>-0.91</v>
      </c>
      <c r="E2184" s="4">
        <v>-1.334788565482033E-2</v>
      </c>
      <c r="F2184" s="3">
        <v>2182</v>
      </c>
      <c r="G2184" s="3">
        <v>2</v>
      </c>
      <c r="H2184" s="5">
        <v>106038814.5</v>
      </c>
      <c r="I2184" s="5">
        <v>77368814.5</v>
      </c>
      <c r="J2184" s="5">
        <v>0</v>
      </c>
      <c r="K2184" s="5">
        <v>28670000</v>
      </c>
      <c r="L2184" s="5">
        <v>25983000</v>
      </c>
      <c r="M2184" s="5">
        <v>-64627000</v>
      </c>
      <c r="N2184" s="5">
        <v>-63691000</v>
      </c>
    </row>
    <row r="2185" spans="1:14" x14ac:dyDescent="0.25">
      <c r="A2185" s="3" t="s">
        <v>2196</v>
      </c>
      <c r="B2185" s="4">
        <v>5.87</v>
      </c>
      <c r="C2185" s="4">
        <v>0.24</v>
      </c>
      <c r="D2185" s="4">
        <v>0.05</v>
      </c>
      <c r="E2185" s="4">
        <v>-1.334889451411712E-2</v>
      </c>
      <c r="F2185" s="3">
        <v>2183</v>
      </c>
      <c r="G2185" s="3">
        <v>2</v>
      </c>
      <c r="H2185" s="5">
        <v>1427773348.5599999</v>
      </c>
      <c r="I2185" s="5">
        <v>2302194348.5599999</v>
      </c>
      <c r="J2185" s="5">
        <v>982382000</v>
      </c>
      <c r="K2185" s="5">
        <v>107961000</v>
      </c>
      <c r="L2185" s="5">
        <v>3717031000</v>
      </c>
      <c r="M2185" s="5">
        <v>392396000</v>
      </c>
      <c r="N2185" s="5">
        <v>153414000</v>
      </c>
    </row>
    <row r="2186" spans="1:14" x14ac:dyDescent="0.25">
      <c r="A2186" s="3" t="s">
        <v>2197</v>
      </c>
      <c r="B2186" s="4">
        <v>3.98</v>
      </c>
      <c r="C2186" s="4">
        <v>-0.16</v>
      </c>
      <c r="D2186" s="4">
        <v>-0.03</v>
      </c>
      <c r="E2186" s="4">
        <v>-1.335031113056784E-2</v>
      </c>
      <c r="F2186" s="3">
        <v>2184</v>
      </c>
      <c r="G2186" s="3">
        <v>2</v>
      </c>
      <c r="H2186" s="5">
        <v>1623293641.4400001</v>
      </c>
      <c r="I2186" s="5">
        <v>3062293641.4400001</v>
      </c>
      <c r="J2186" s="5">
        <v>2397000000</v>
      </c>
      <c r="K2186" s="5">
        <v>958000000</v>
      </c>
      <c r="L2186" s="5">
        <v>14535000000</v>
      </c>
      <c r="M2186" s="5">
        <v>769000000</v>
      </c>
      <c r="N2186" s="5">
        <v>-281000000</v>
      </c>
    </row>
    <row r="2187" spans="1:14" x14ac:dyDescent="0.25">
      <c r="A2187" s="3" t="s">
        <v>2198</v>
      </c>
      <c r="B2187" s="4">
        <v>5.08</v>
      </c>
      <c r="C2187" s="4">
        <v>7.0000000000000007E-2</v>
      </c>
      <c r="D2187" s="4">
        <v>0.04</v>
      </c>
      <c r="E2187" s="4">
        <v>-1.335306760987129E-2</v>
      </c>
      <c r="F2187" s="3">
        <v>2185</v>
      </c>
      <c r="G2187" s="3">
        <v>2</v>
      </c>
      <c r="H2187" s="5">
        <v>465873008.37</v>
      </c>
      <c r="I2187" s="5">
        <v>1363900008.3699999</v>
      </c>
      <c r="J2187" s="5">
        <v>916894000</v>
      </c>
      <c r="K2187" s="5">
        <v>18867000</v>
      </c>
      <c r="L2187" s="5">
        <v>1907665000</v>
      </c>
      <c r="M2187" s="5">
        <v>268600000</v>
      </c>
      <c r="N2187" s="5">
        <v>123751000</v>
      </c>
    </row>
    <row r="2188" spans="1:14" x14ac:dyDescent="0.25">
      <c r="A2188" s="3" t="s">
        <v>2199</v>
      </c>
      <c r="B2188" s="4">
        <v>3.88</v>
      </c>
      <c r="C2188" s="4">
        <v>-0.18</v>
      </c>
      <c r="D2188" s="4">
        <v>-7.0000000000000007E-2</v>
      </c>
      <c r="E2188" s="4">
        <v>-1.335392239393601E-2</v>
      </c>
      <c r="F2188" s="3">
        <v>2186</v>
      </c>
      <c r="G2188" s="3">
        <v>2</v>
      </c>
      <c r="H2188" s="5">
        <v>17937653.670000002</v>
      </c>
      <c r="I2188" s="5">
        <v>156006653.66999999</v>
      </c>
      <c r="J2188" s="5">
        <v>157781000</v>
      </c>
      <c r="K2188" s="5">
        <v>19712000</v>
      </c>
      <c r="L2188" s="5">
        <v>193893000</v>
      </c>
      <c r="M2188" s="5">
        <v>40190000</v>
      </c>
      <c r="N2188" s="5">
        <v>-31882000</v>
      </c>
    </row>
    <row r="2189" spans="1:14" x14ac:dyDescent="0.25">
      <c r="A2189" s="3" t="s">
        <v>2200</v>
      </c>
      <c r="B2189" s="4">
        <v>0.11</v>
      </c>
      <c r="C2189" s="4">
        <v>-0.94</v>
      </c>
      <c r="D2189" s="4">
        <v>-0.87</v>
      </c>
      <c r="E2189" s="4">
        <v>-1.3370828105437089E-2</v>
      </c>
      <c r="F2189" s="3">
        <v>2187</v>
      </c>
      <c r="G2189" s="3">
        <v>2</v>
      </c>
      <c r="H2189" s="5">
        <v>5466562.9488000004</v>
      </c>
      <c r="I2189" s="5">
        <v>-1456167.0512000001</v>
      </c>
      <c r="J2189" s="5">
        <v>0</v>
      </c>
      <c r="K2189" s="5">
        <v>6922730</v>
      </c>
      <c r="L2189" s="5">
        <v>0</v>
      </c>
      <c r="M2189" s="5">
        <v>-13600930</v>
      </c>
      <c r="N2189" s="5">
        <v>-13904580</v>
      </c>
    </row>
    <row r="2190" spans="1:14" x14ac:dyDescent="0.25">
      <c r="A2190" s="3" t="s">
        <v>2201</v>
      </c>
      <c r="B2190" s="4">
        <v>4.97</v>
      </c>
      <c r="C2190" s="4">
        <v>0.04</v>
      </c>
      <c r="D2190" s="4">
        <v>0.03</v>
      </c>
      <c r="E2190" s="4">
        <v>-1.337359619482432E-2</v>
      </c>
      <c r="F2190" s="3">
        <v>2188</v>
      </c>
      <c r="G2190" s="3">
        <v>2</v>
      </c>
      <c r="H2190" s="5">
        <v>78512578.849900007</v>
      </c>
      <c r="I2190" s="5">
        <v>-3287761.1500999932</v>
      </c>
      <c r="J2190" s="5">
        <v>825000</v>
      </c>
      <c r="K2190" s="5">
        <v>82625340</v>
      </c>
      <c r="L2190" s="5">
        <v>0</v>
      </c>
      <c r="M2190" s="5">
        <v>-661870</v>
      </c>
      <c r="N2190" s="5">
        <v>2820570</v>
      </c>
    </row>
    <row r="2191" spans="1:14" x14ac:dyDescent="0.25">
      <c r="A2191" s="3" t="s">
        <v>2202</v>
      </c>
      <c r="B2191" s="4">
        <v>1.1499999999999999</v>
      </c>
      <c r="C2191" s="4">
        <v>-0.74</v>
      </c>
      <c r="D2191" s="4">
        <v>-0.56000000000000005</v>
      </c>
      <c r="E2191" s="4">
        <v>-1.3376833533741301E-2</v>
      </c>
      <c r="F2191" s="3">
        <v>2189</v>
      </c>
      <c r="G2191" s="3">
        <v>2</v>
      </c>
      <c r="H2191" s="5">
        <v>48057.28875</v>
      </c>
      <c r="I2191" s="5">
        <v>-12046942.71125</v>
      </c>
      <c r="J2191" s="5">
        <v>14000</v>
      </c>
      <c r="K2191" s="5">
        <v>12109000</v>
      </c>
      <c r="L2191" s="5">
        <v>3769000</v>
      </c>
      <c r="M2191" s="5">
        <v>-10503000</v>
      </c>
      <c r="N2191" s="5">
        <v>-10621000</v>
      </c>
    </row>
    <row r="2192" spans="1:14" x14ac:dyDescent="0.25">
      <c r="A2192" s="3" t="s">
        <v>2203</v>
      </c>
      <c r="B2192" s="4">
        <v>4.59</v>
      </c>
      <c r="C2192" s="4">
        <v>-0.04</v>
      </c>
      <c r="D2192" s="4">
        <v>-0.04</v>
      </c>
      <c r="E2192" s="4">
        <v>-1.3383058420493581E-2</v>
      </c>
      <c r="F2192" s="3">
        <v>2190</v>
      </c>
      <c r="G2192" s="3">
        <v>2</v>
      </c>
      <c r="H2192" s="5">
        <v>2955462.7549999999</v>
      </c>
      <c r="I2192" s="5">
        <v>-2283537.2450000001</v>
      </c>
      <c r="J2192" s="5">
        <v>0</v>
      </c>
      <c r="K2192" s="5">
        <v>5239000</v>
      </c>
      <c r="L2192" s="5">
        <v>0</v>
      </c>
      <c r="M2192" s="5">
        <v>-498000</v>
      </c>
      <c r="N2192" s="5">
        <v>-265000</v>
      </c>
    </row>
    <row r="2193" spans="1:14" x14ac:dyDescent="0.25">
      <c r="A2193" s="3" t="s">
        <v>2204</v>
      </c>
      <c r="B2193" s="4">
        <v>4.9400000000000004</v>
      </c>
      <c r="C2193" s="4">
        <v>0.03</v>
      </c>
      <c r="D2193" s="4">
        <v>0.01</v>
      </c>
      <c r="E2193" s="4">
        <v>-1.3387780237902561E-2</v>
      </c>
      <c r="F2193" s="3">
        <v>2191</v>
      </c>
      <c r="G2193" s="3">
        <v>2</v>
      </c>
      <c r="H2193" s="5">
        <v>1965789939.8199999</v>
      </c>
      <c r="I2193" s="5">
        <v>6185789939.8199997</v>
      </c>
      <c r="J2193" s="5">
        <v>4354000000</v>
      </c>
      <c r="K2193" s="5">
        <v>134000000</v>
      </c>
      <c r="L2193" s="5">
        <v>16221000000</v>
      </c>
      <c r="M2193" s="5">
        <v>1252000000</v>
      </c>
      <c r="N2193" s="5">
        <v>109000000</v>
      </c>
    </row>
    <row r="2194" spans="1:14" x14ac:dyDescent="0.25">
      <c r="A2194" s="3" t="s">
        <v>2205</v>
      </c>
      <c r="B2194" s="4">
        <v>3.62</v>
      </c>
      <c r="C2194" s="4">
        <v>-0.25</v>
      </c>
      <c r="D2194" s="4">
        <v>-0.04</v>
      </c>
      <c r="E2194" s="4">
        <v>-1.3389471215180689E-2</v>
      </c>
      <c r="F2194" s="3">
        <v>2192</v>
      </c>
      <c r="G2194" s="3">
        <v>2</v>
      </c>
      <c r="H2194" s="5">
        <v>713844113.28999996</v>
      </c>
      <c r="I2194" s="5">
        <v>2346025113.29</v>
      </c>
      <c r="J2194" s="5">
        <v>1828460000</v>
      </c>
      <c r="K2194" s="5">
        <v>196279000</v>
      </c>
      <c r="L2194" s="5">
        <v>2766481000</v>
      </c>
      <c r="M2194" s="5">
        <v>647535000</v>
      </c>
      <c r="N2194" s="5">
        <v>-205030000</v>
      </c>
    </row>
    <row r="2195" spans="1:14" x14ac:dyDescent="0.25">
      <c r="A2195" s="3" t="s">
        <v>2206</v>
      </c>
      <c r="B2195" s="4">
        <v>5.95</v>
      </c>
      <c r="C2195" s="4">
        <v>0.24</v>
      </c>
      <c r="D2195" s="4">
        <v>0.09</v>
      </c>
      <c r="E2195" s="4">
        <v>-1.339069205338372E-2</v>
      </c>
      <c r="F2195" s="3">
        <v>2193</v>
      </c>
      <c r="G2195" s="3">
        <v>2</v>
      </c>
      <c r="H2195" s="5">
        <v>13775799822.75</v>
      </c>
      <c r="I2195" s="5">
        <v>15814799822.75</v>
      </c>
      <c r="J2195" s="5">
        <v>2971000000</v>
      </c>
      <c r="K2195" s="5">
        <v>932000000</v>
      </c>
      <c r="L2195" s="5">
        <v>5936000000</v>
      </c>
      <c r="M2195" s="5">
        <v>2658000000</v>
      </c>
      <c r="N2195" s="5">
        <v>1218000000</v>
      </c>
    </row>
    <row r="2196" spans="1:14" x14ac:dyDescent="0.25">
      <c r="A2196" s="3" t="s">
        <v>2207</v>
      </c>
      <c r="B2196" s="4">
        <v>6.37</v>
      </c>
      <c r="C2196" s="4">
        <v>0.33</v>
      </c>
      <c r="D2196" s="4">
        <v>0.06</v>
      </c>
      <c r="E2196" s="4">
        <v>-1.3396383309263359E-2</v>
      </c>
      <c r="F2196" s="3">
        <v>2194</v>
      </c>
      <c r="G2196" s="3">
        <v>2</v>
      </c>
      <c r="H2196" s="5">
        <v>16992990313.200001</v>
      </c>
      <c r="I2196" s="5">
        <v>16568990313.200001</v>
      </c>
      <c r="J2196" s="5">
        <v>1154000000</v>
      </c>
      <c r="K2196" s="5">
        <v>1578000000</v>
      </c>
      <c r="L2196" s="5">
        <v>41528000000</v>
      </c>
      <c r="M2196" s="5">
        <v>2600000000</v>
      </c>
      <c r="N2196" s="5">
        <v>927000000</v>
      </c>
    </row>
    <row r="2197" spans="1:14" x14ac:dyDescent="0.25">
      <c r="A2197" s="3" t="s">
        <v>2208</v>
      </c>
      <c r="B2197" s="4">
        <v>-1.18</v>
      </c>
      <c r="C2197" s="4">
        <v>-1.22</v>
      </c>
      <c r="D2197" s="4">
        <v>-0.95</v>
      </c>
      <c r="E2197" s="4">
        <v>-1.339687377953897E-2</v>
      </c>
      <c r="F2197" s="3">
        <v>2195</v>
      </c>
      <c r="G2197" s="3">
        <v>2</v>
      </c>
      <c r="H2197" s="5">
        <v>161703178.25999999</v>
      </c>
      <c r="I2197" s="5">
        <v>91248178.25999999</v>
      </c>
      <c r="J2197" s="5">
        <v>3000</v>
      </c>
      <c r="K2197" s="5">
        <v>70458000</v>
      </c>
      <c r="L2197" s="5">
        <v>2703000</v>
      </c>
      <c r="M2197" s="5">
        <v>-77072000</v>
      </c>
      <c r="N2197" s="5">
        <v>-76291000</v>
      </c>
    </row>
    <row r="2198" spans="1:14" x14ac:dyDescent="0.25">
      <c r="A2198" s="3" t="s">
        <v>2209</v>
      </c>
      <c r="B2198" s="4">
        <v>5.55</v>
      </c>
      <c r="C2198" s="4">
        <v>0.15</v>
      </c>
      <c r="D2198" s="4">
        <v>0.11</v>
      </c>
      <c r="E2198" s="4">
        <v>-1.339930823547573E-2</v>
      </c>
      <c r="F2198" s="3">
        <v>2196</v>
      </c>
      <c r="G2198" s="3">
        <v>2</v>
      </c>
      <c r="H2198" s="5">
        <v>1922142080.8699999</v>
      </c>
      <c r="I2198" s="5">
        <v>2054142080.8699999</v>
      </c>
      <c r="J2198" s="5">
        <v>610000000</v>
      </c>
      <c r="K2198" s="5">
        <v>478000000</v>
      </c>
      <c r="L2198" s="5">
        <v>1385000000</v>
      </c>
      <c r="M2198" s="5">
        <v>370000000</v>
      </c>
      <c r="N2198" s="5">
        <v>446000000</v>
      </c>
    </row>
    <row r="2199" spans="1:14" x14ac:dyDescent="0.25">
      <c r="A2199" s="3" t="s">
        <v>2210</v>
      </c>
      <c r="B2199" s="4">
        <v>-0.91</v>
      </c>
      <c r="C2199" s="4">
        <v>-1.1599999999999999</v>
      </c>
      <c r="D2199" s="4">
        <v>-1.01</v>
      </c>
      <c r="E2199" s="4">
        <v>-1.3402194850738351E-2</v>
      </c>
      <c r="F2199" s="3">
        <v>2197</v>
      </c>
      <c r="G2199" s="3">
        <v>2</v>
      </c>
      <c r="H2199" s="5">
        <v>38529221.850000001</v>
      </c>
      <c r="I2199" s="5">
        <v>25664221.850000001</v>
      </c>
      <c r="J2199" s="5">
        <v>0</v>
      </c>
      <c r="K2199" s="5">
        <v>12865000</v>
      </c>
      <c r="L2199" s="5">
        <v>0</v>
      </c>
      <c r="M2199" s="5">
        <v>-28049000</v>
      </c>
      <c r="N2199" s="5">
        <v>-62883000</v>
      </c>
    </row>
    <row r="2200" spans="1:14" x14ac:dyDescent="0.25">
      <c r="A2200" s="3" t="s">
        <v>2211</v>
      </c>
      <c r="B2200" s="4">
        <v>5.1100000000000003</v>
      </c>
      <c r="C2200" s="4">
        <v>0.06</v>
      </c>
      <c r="D2200" s="4">
        <v>0.03</v>
      </c>
      <c r="E2200" s="4">
        <v>-1.340245786055448E-2</v>
      </c>
      <c r="F2200" s="3">
        <v>2198</v>
      </c>
      <c r="G2200" s="3">
        <v>2</v>
      </c>
      <c r="H2200" s="5">
        <v>506549808.69</v>
      </c>
      <c r="I2200" s="5">
        <v>684431808.69000006</v>
      </c>
      <c r="J2200" s="5">
        <v>197446000</v>
      </c>
      <c r="K2200" s="5">
        <v>19564000</v>
      </c>
      <c r="L2200" s="5">
        <v>1517557000</v>
      </c>
      <c r="M2200" s="5">
        <v>133889000</v>
      </c>
      <c r="N2200" s="5">
        <v>44149000</v>
      </c>
    </row>
    <row r="2201" spans="1:14" x14ac:dyDescent="0.25">
      <c r="A2201" s="3" t="s">
        <v>2212</v>
      </c>
      <c r="B2201" s="4">
        <v>-0.24</v>
      </c>
      <c r="C2201" s="4">
        <v>-1.03</v>
      </c>
      <c r="D2201" s="4">
        <v>-0.81</v>
      </c>
      <c r="E2201" s="4">
        <v>-1.3402674209704471E-2</v>
      </c>
      <c r="F2201" s="3">
        <v>2199</v>
      </c>
      <c r="G2201" s="3">
        <v>2</v>
      </c>
      <c r="H2201" s="5">
        <v>2792246.4112</v>
      </c>
      <c r="I2201" s="5">
        <v>1853236.4112</v>
      </c>
      <c r="J2201" s="5">
        <v>0</v>
      </c>
      <c r="K2201" s="5">
        <v>939010</v>
      </c>
      <c r="L2201" s="5">
        <v>4466780</v>
      </c>
      <c r="M2201" s="5">
        <v>-7703950</v>
      </c>
      <c r="N2201" s="5">
        <v>-9312150</v>
      </c>
    </row>
    <row r="2202" spans="1:14" x14ac:dyDescent="0.25">
      <c r="A2202" s="3" t="s">
        <v>2213</v>
      </c>
      <c r="B2202" s="4">
        <v>6.15</v>
      </c>
      <c r="C2202" s="4">
        <v>0.28000000000000003</v>
      </c>
      <c r="D2202" s="4">
        <v>7.0000000000000007E-2</v>
      </c>
      <c r="E2202" s="4">
        <v>-1.340275979242244E-2</v>
      </c>
      <c r="F2202" s="3">
        <v>2200</v>
      </c>
      <c r="G2202" s="3">
        <v>2</v>
      </c>
      <c r="H2202" s="5">
        <v>41777457667.120003</v>
      </c>
      <c r="I2202" s="5">
        <v>52955457667.120003</v>
      </c>
      <c r="J2202" s="5">
        <v>15940000000</v>
      </c>
      <c r="K2202" s="5">
        <v>4762000000</v>
      </c>
      <c r="L2202" s="5">
        <v>106566000000</v>
      </c>
      <c r="M2202" s="5">
        <v>8615000000</v>
      </c>
      <c r="N2202" s="5">
        <v>4091000000</v>
      </c>
    </row>
    <row r="2203" spans="1:14" x14ac:dyDescent="0.25">
      <c r="A2203" s="3" t="s">
        <v>2214</v>
      </c>
      <c r="B2203" s="4">
        <v>0.69</v>
      </c>
      <c r="C2203" s="4">
        <v>-0.85</v>
      </c>
      <c r="D2203" s="4">
        <v>-0.53</v>
      </c>
      <c r="E2203" s="4">
        <v>-1.340417266910226E-2</v>
      </c>
      <c r="F2203" s="3">
        <v>2201</v>
      </c>
      <c r="G2203" s="3">
        <v>2</v>
      </c>
      <c r="H2203" s="5">
        <v>10790250.7806</v>
      </c>
      <c r="I2203" s="5">
        <v>-28893749.2194</v>
      </c>
      <c r="J2203" s="5">
        <v>0</v>
      </c>
      <c r="K2203" s="5">
        <v>39684000</v>
      </c>
      <c r="L2203" s="5">
        <v>43946000</v>
      </c>
      <c r="M2203" s="5">
        <v>-42034000</v>
      </c>
      <c r="N2203" s="5">
        <v>-43503000</v>
      </c>
    </row>
    <row r="2204" spans="1:14" x14ac:dyDescent="0.25">
      <c r="A2204" s="3" t="s">
        <v>2215</v>
      </c>
      <c r="B2204" s="4">
        <v>-1.2</v>
      </c>
      <c r="C2204" s="4">
        <v>-1.24</v>
      </c>
      <c r="D2204" s="4">
        <v>-0.79</v>
      </c>
      <c r="E2204" s="4">
        <v>-1.3411418156933639E-2</v>
      </c>
      <c r="F2204" s="3">
        <v>2202</v>
      </c>
      <c r="G2204" s="3">
        <v>2</v>
      </c>
      <c r="H2204" s="5">
        <v>29166622.559999999</v>
      </c>
      <c r="I2204" s="5">
        <v>21467622.559999999</v>
      </c>
      <c r="J2204" s="5">
        <v>883000</v>
      </c>
      <c r="K2204" s="5">
        <v>8582000</v>
      </c>
      <c r="L2204" s="5">
        <v>400000</v>
      </c>
      <c r="M2204" s="5">
        <v>-17827000</v>
      </c>
      <c r="N2204" s="5">
        <v>-18377000</v>
      </c>
    </row>
    <row r="2205" spans="1:14" x14ac:dyDescent="0.25">
      <c r="A2205" s="3" t="s">
        <v>2216</v>
      </c>
      <c r="B2205" s="4">
        <v>8.19</v>
      </c>
      <c r="C2205" s="4">
        <v>0.73</v>
      </c>
      <c r="D2205" s="4">
        <v>-0.18</v>
      </c>
      <c r="E2205" s="4">
        <v>-1.341337110341328E-2</v>
      </c>
      <c r="F2205" s="3">
        <v>2203</v>
      </c>
      <c r="G2205" s="3">
        <v>2</v>
      </c>
      <c r="H2205" s="5">
        <v>677141678.28999996</v>
      </c>
      <c r="I2205" s="5">
        <v>5489030678.29</v>
      </c>
      <c r="J2205" s="5">
        <v>5071469000</v>
      </c>
      <c r="K2205" s="5">
        <v>259580000</v>
      </c>
      <c r="L2205" s="5">
        <v>3854532000</v>
      </c>
      <c r="M2205" s="5">
        <v>670539000</v>
      </c>
      <c r="N2205" s="5">
        <v>-1009941000</v>
      </c>
    </row>
    <row r="2206" spans="1:14" x14ac:dyDescent="0.25">
      <c r="A2206" s="3" t="s">
        <v>2217</v>
      </c>
      <c r="B2206" s="4">
        <v>4.6100000000000003</v>
      </c>
      <c r="C2206" s="4">
        <v>-0.05</v>
      </c>
      <c r="D2206" s="4">
        <v>-0.02</v>
      </c>
      <c r="E2206" s="4">
        <v>-1.342047238574718E-2</v>
      </c>
      <c r="F2206" s="3">
        <v>2204</v>
      </c>
      <c r="G2206" s="3">
        <v>2</v>
      </c>
      <c r="H2206" s="5">
        <v>398655247.89999998</v>
      </c>
      <c r="I2206" s="5">
        <v>1003256247.9</v>
      </c>
      <c r="J2206" s="5">
        <v>729823000</v>
      </c>
      <c r="K2206" s="5">
        <v>125222000</v>
      </c>
      <c r="L2206" s="5">
        <v>1630308000</v>
      </c>
      <c r="M2206" s="5">
        <v>217539000</v>
      </c>
      <c r="N2206" s="5">
        <v>-38744000</v>
      </c>
    </row>
    <row r="2207" spans="1:14" x14ac:dyDescent="0.25">
      <c r="A2207" s="3" t="s">
        <v>2218</v>
      </c>
      <c r="B2207" s="4">
        <v>5.9</v>
      </c>
      <c r="C2207" s="4">
        <v>0.22</v>
      </c>
      <c r="D2207" s="4">
        <v>0.06</v>
      </c>
      <c r="E2207" s="4">
        <v>-1.3423320318659761E-2</v>
      </c>
      <c r="F2207" s="3">
        <v>2205</v>
      </c>
      <c r="G2207" s="3">
        <v>2</v>
      </c>
      <c r="H2207" s="5">
        <v>5017092904</v>
      </c>
      <c r="I2207" s="5">
        <v>10044092904</v>
      </c>
      <c r="J2207" s="5">
        <v>5184000000</v>
      </c>
      <c r="K2207" s="5">
        <v>157000000</v>
      </c>
      <c r="L2207" s="5">
        <v>8807000000</v>
      </c>
      <c r="M2207" s="5">
        <v>1701000000</v>
      </c>
      <c r="N2207" s="5">
        <v>658000000</v>
      </c>
    </row>
    <row r="2208" spans="1:14" x14ac:dyDescent="0.25">
      <c r="A2208" s="3" t="s">
        <v>2219</v>
      </c>
      <c r="B2208" s="4">
        <v>5.3</v>
      </c>
      <c r="C2208" s="4">
        <v>0.09</v>
      </c>
      <c r="D2208" s="4">
        <v>0.04</v>
      </c>
      <c r="E2208" s="4">
        <v>-1.343144292117808E-2</v>
      </c>
      <c r="F2208" s="3">
        <v>2206</v>
      </c>
      <c r="G2208" s="3">
        <v>2</v>
      </c>
      <c r="H2208" s="5">
        <v>8484685270.54</v>
      </c>
      <c r="I2208" s="5">
        <v>13661485270.540001</v>
      </c>
      <c r="J2208" s="5">
        <v>6146100000</v>
      </c>
      <c r="K2208" s="5">
        <v>969300000</v>
      </c>
      <c r="L2208" s="5">
        <v>11627000000</v>
      </c>
      <c r="M2208" s="5">
        <v>2575300000</v>
      </c>
      <c r="N2208" s="5">
        <v>1122400000</v>
      </c>
    </row>
    <row r="2209" spans="1:14" x14ac:dyDescent="0.25">
      <c r="A2209" s="3" t="s">
        <v>2220</v>
      </c>
      <c r="B2209" s="4">
        <v>-1.03</v>
      </c>
      <c r="C2209" s="4">
        <v>-1.21</v>
      </c>
      <c r="D2209" s="4">
        <v>-0.84</v>
      </c>
      <c r="E2209" s="4">
        <v>-1.3439598965628109E-2</v>
      </c>
      <c r="F2209" s="3">
        <v>2207</v>
      </c>
      <c r="G2209" s="3">
        <v>2</v>
      </c>
      <c r="H2209" s="5">
        <v>7605752.2800000003</v>
      </c>
      <c r="I2209" s="5">
        <v>5206752.28</v>
      </c>
      <c r="J2209" s="5">
        <v>0</v>
      </c>
      <c r="K2209" s="5">
        <v>2399000</v>
      </c>
      <c r="L2209" s="5">
        <v>5311000</v>
      </c>
      <c r="M2209" s="5">
        <v>-5050000</v>
      </c>
      <c r="N2209" s="5">
        <v>-4973000</v>
      </c>
    </row>
    <row r="2210" spans="1:14" x14ac:dyDescent="0.25">
      <c r="A2210" s="3" t="s">
        <v>2221</v>
      </c>
      <c r="B2210" s="4">
        <v>5.03</v>
      </c>
      <c r="C2210" s="4">
        <v>0.03</v>
      </c>
      <c r="D2210" s="4">
        <v>0.02</v>
      </c>
      <c r="E2210" s="4">
        <v>-1.344155406259875E-2</v>
      </c>
      <c r="F2210" s="3">
        <v>2208</v>
      </c>
      <c r="G2210" s="3">
        <v>2</v>
      </c>
      <c r="H2210" s="5">
        <v>1579625456.1099999</v>
      </c>
      <c r="I2210" s="5">
        <v>1533894456.1099999</v>
      </c>
      <c r="J2210" s="5">
        <v>137305000</v>
      </c>
      <c r="K2210" s="5">
        <v>183036000</v>
      </c>
      <c r="L2210" s="5">
        <v>1712802000</v>
      </c>
      <c r="M2210" s="5">
        <v>304661000</v>
      </c>
      <c r="N2210" s="5">
        <v>51918000</v>
      </c>
    </row>
    <row r="2211" spans="1:14" x14ac:dyDescent="0.25">
      <c r="A2211" s="3" t="s">
        <v>2222</v>
      </c>
      <c r="B2211" s="4">
        <v>6.12</v>
      </c>
      <c r="C2211" s="4">
        <v>0.26</v>
      </c>
      <c r="D2211" s="4">
        <v>7.0000000000000007E-2</v>
      </c>
      <c r="E2211" s="4">
        <v>-1.3441979389360131E-2</v>
      </c>
      <c r="F2211" s="3">
        <v>2209</v>
      </c>
      <c r="G2211" s="3">
        <v>2</v>
      </c>
      <c r="H2211" s="5">
        <v>8693636505.1800003</v>
      </c>
      <c r="I2211" s="5">
        <v>9873636505.1800003</v>
      </c>
      <c r="J2211" s="5">
        <v>1490000000</v>
      </c>
      <c r="K2211" s="5">
        <v>310000000</v>
      </c>
      <c r="L2211" s="5">
        <v>15086000000</v>
      </c>
      <c r="M2211" s="5">
        <v>1613000000</v>
      </c>
      <c r="N2211" s="5">
        <v>844000000</v>
      </c>
    </row>
    <row r="2212" spans="1:14" x14ac:dyDescent="0.25">
      <c r="A2212" s="3" t="s">
        <v>2223</v>
      </c>
      <c r="B2212" s="4">
        <v>-3.86</v>
      </c>
      <c r="C2212" s="4">
        <v>-1.85</v>
      </c>
      <c r="D2212" s="4">
        <v>-0.35</v>
      </c>
      <c r="E2212" s="4">
        <v>-1.344272229998271E-2</v>
      </c>
      <c r="F2212" s="3">
        <v>2210</v>
      </c>
      <c r="G2212" s="3">
        <v>2</v>
      </c>
      <c r="H2212" s="5">
        <v>4701127.32</v>
      </c>
      <c r="I2212" s="5">
        <v>20484187.32</v>
      </c>
      <c r="J2212" s="5">
        <v>16622330</v>
      </c>
      <c r="K2212" s="5">
        <v>839270</v>
      </c>
      <c r="L2212" s="5">
        <v>56861750</v>
      </c>
      <c r="M2212" s="5">
        <v>-5311590</v>
      </c>
      <c r="N2212" s="5">
        <v>-15849810</v>
      </c>
    </row>
    <row r="2213" spans="1:14" x14ac:dyDescent="0.25">
      <c r="A2213" s="3" t="s">
        <v>2224</v>
      </c>
      <c r="B2213" s="4">
        <v>6.97</v>
      </c>
      <c r="C2213" s="4">
        <v>0.43</v>
      </c>
      <c r="D2213" s="4">
        <v>0.16</v>
      </c>
      <c r="E2213" s="4">
        <v>-1.345950931516837E-2</v>
      </c>
      <c r="F2213" s="3">
        <v>2211</v>
      </c>
      <c r="G2213" s="3">
        <v>2</v>
      </c>
      <c r="H2213" s="5">
        <v>179992315.78</v>
      </c>
      <c r="I2213" s="5">
        <v>200919865.78</v>
      </c>
      <c r="J2213" s="5">
        <v>33853590</v>
      </c>
      <c r="K2213" s="5">
        <v>12926040</v>
      </c>
      <c r="L2213" s="5">
        <v>351876860</v>
      </c>
      <c r="M2213" s="5">
        <v>28813260</v>
      </c>
      <c r="N2213" s="5">
        <v>25105010</v>
      </c>
    </row>
    <row r="2214" spans="1:14" x14ac:dyDescent="0.25">
      <c r="A2214" s="3" t="s">
        <v>2225</v>
      </c>
      <c r="B2214" s="4">
        <v>6.14</v>
      </c>
      <c r="C2214" s="4">
        <v>0.25</v>
      </c>
      <c r="D2214" s="4">
        <v>0.17</v>
      </c>
      <c r="E2214" s="4">
        <v>-1.3463961141993681E-2</v>
      </c>
      <c r="F2214" s="3">
        <v>2212</v>
      </c>
      <c r="G2214" s="3">
        <v>2</v>
      </c>
      <c r="H2214" s="5">
        <v>253795107.87</v>
      </c>
      <c r="I2214" s="5">
        <v>268029107.87</v>
      </c>
      <c r="J2214" s="5">
        <v>27963000</v>
      </c>
      <c r="K2214" s="5">
        <v>13729000</v>
      </c>
      <c r="L2214" s="5">
        <v>127182000</v>
      </c>
      <c r="M2214" s="5">
        <v>43628000</v>
      </c>
      <c r="N2214" s="5">
        <v>30679000</v>
      </c>
    </row>
    <row r="2215" spans="1:14" x14ac:dyDescent="0.25">
      <c r="A2215" s="3" t="s">
        <v>2226</v>
      </c>
      <c r="B2215" s="4">
        <v>5.63</v>
      </c>
      <c r="C2215" s="4">
        <v>0.15</v>
      </c>
      <c r="D2215" s="4">
        <v>0.03</v>
      </c>
      <c r="E2215" s="4">
        <v>-1.3464254093672389E-2</v>
      </c>
      <c r="F2215" s="3">
        <v>2213</v>
      </c>
      <c r="G2215" s="3">
        <v>2</v>
      </c>
      <c r="H2215" s="5">
        <v>4618501697.4799995</v>
      </c>
      <c r="I2215" s="5">
        <v>8726501697.4799995</v>
      </c>
      <c r="J2215" s="5">
        <v>4191000000</v>
      </c>
      <c r="K2215" s="5">
        <v>83000000</v>
      </c>
      <c r="L2215" s="5">
        <v>3568000000</v>
      </c>
      <c r="M2215" s="5">
        <v>1549000000</v>
      </c>
      <c r="N2215" s="5">
        <v>211000000</v>
      </c>
    </row>
    <row r="2216" spans="1:14" x14ac:dyDescent="0.25">
      <c r="A2216" s="3" t="s">
        <v>2227</v>
      </c>
      <c r="B2216" s="4">
        <v>5.54</v>
      </c>
      <c r="C2216" s="4">
        <v>0.13</v>
      </c>
      <c r="D2216" s="4">
        <v>0.03</v>
      </c>
      <c r="E2216" s="4">
        <v>-1.3466338456427611E-2</v>
      </c>
      <c r="F2216" s="3">
        <v>2214</v>
      </c>
      <c r="G2216" s="3">
        <v>2</v>
      </c>
      <c r="H2216" s="5">
        <v>6656473416.3199997</v>
      </c>
      <c r="I2216" s="5">
        <v>14267334416.32</v>
      </c>
      <c r="J2216" s="5">
        <v>7707073000</v>
      </c>
      <c r="K2216" s="5">
        <v>96212000</v>
      </c>
      <c r="L2216" s="5">
        <v>4898446000</v>
      </c>
      <c r="M2216" s="5">
        <v>2574986000</v>
      </c>
      <c r="N2216" s="5">
        <v>501053000</v>
      </c>
    </row>
    <row r="2217" spans="1:14" x14ac:dyDescent="0.25">
      <c r="A2217" s="3" t="s">
        <v>2228</v>
      </c>
      <c r="B2217" s="4">
        <v>5.51</v>
      </c>
      <c r="C2217" s="4">
        <v>0.12</v>
      </c>
      <c r="D2217" s="4">
        <v>7.0000000000000007E-2</v>
      </c>
      <c r="E2217" s="4">
        <v>-1.3468948340040809E-2</v>
      </c>
      <c r="F2217" s="3">
        <v>2215</v>
      </c>
      <c r="G2217" s="3">
        <v>2</v>
      </c>
      <c r="H2217" s="5">
        <v>480904465.30000001</v>
      </c>
      <c r="I2217" s="5">
        <v>936462465.29999995</v>
      </c>
      <c r="J2217" s="5">
        <v>536641000</v>
      </c>
      <c r="K2217" s="5">
        <v>81083000</v>
      </c>
      <c r="L2217" s="5">
        <v>307633000</v>
      </c>
      <c r="M2217" s="5">
        <v>170007000</v>
      </c>
      <c r="N2217" s="5">
        <v>97376000</v>
      </c>
    </row>
    <row r="2218" spans="1:14" x14ac:dyDescent="0.25">
      <c r="A2218" s="3" t="s">
        <v>2229</v>
      </c>
      <c r="B2218" s="4">
        <v>6.22</v>
      </c>
      <c r="C2218" s="4">
        <v>0.3</v>
      </c>
      <c r="D2218" s="4">
        <v>-0.35</v>
      </c>
      <c r="E2218" s="4">
        <v>-1.3469316134528319E-2</v>
      </c>
      <c r="F2218" s="3">
        <v>2216</v>
      </c>
      <c r="G2218" s="3">
        <v>2</v>
      </c>
      <c r="H2218" s="5">
        <v>195609014.089001</v>
      </c>
      <c r="I2218" s="5">
        <v>36696230014.088997</v>
      </c>
      <c r="J2218" s="5">
        <v>37542632000</v>
      </c>
      <c r="K2218" s="5">
        <v>1042011000</v>
      </c>
      <c r="L2218" s="5">
        <v>19526208000</v>
      </c>
      <c r="M2218" s="5">
        <v>5903905000</v>
      </c>
      <c r="N2218" s="5">
        <v>-9151371000</v>
      </c>
    </row>
    <row r="2219" spans="1:14" x14ac:dyDescent="0.25">
      <c r="A2219" s="3" t="s">
        <v>2230</v>
      </c>
      <c r="B2219" s="4">
        <v>5.52</v>
      </c>
      <c r="C2219" s="4">
        <v>0.12</v>
      </c>
      <c r="D2219" s="4">
        <v>7.0000000000000007E-2</v>
      </c>
      <c r="E2219" s="4">
        <v>-1.3475137545737891E-2</v>
      </c>
      <c r="F2219" s="3">
        <v>2217</v>
      </c>
      <c r="G2219" s="3">
        <v>2</v>
      </c>
      <c r="H2219" s="5">
        <v>2104492683.1600001</v>
      </c>
      <c r="I2219" s="5">
        <v>2950963683.1599998</v>
      </c>
      <c r="J2219" s="5">
        <v>1271537000</v>
      </c>
      <c r="K2219" s="5">
        <v>425066000</v>
      </c>
      <c r="L2219" s="5">
        <v>1265458000</v>
      </c>
      <c r="M2219" s="5">
        <v>534268000</v>
      </c>
      <c r="N2219" s="5">
        <v>304654000</v>
      </c>
    </row>
    <row r="2220" spans="1:14" x14ac:dyDescent="0.25">
      <c r="A2220" s="3" t="s">
        <v>2231</v>
      </c>
      <c r="B2220" s="4">
        <v>4.9400000000000004</v>
      </c>
      <c r="C2220" s="4">
        <v>0</v>
      </c>
      <c r="D2220" s="4">
        <v>0</v>
      </c>
      <c r="E2220" s="4">
        <v>-1.347639008552344E-2</v>
      </c>
      <c r="F2220" s="3">
        <v>2218</v>
      </c>
      <c r="G2220" s="3">
        <v>2</v>
      </c>
      <c r="H2220" s="5">
        <v>401069287.5</v>
      </c>
      <c r="I2220" s="5">
        <v>601469287.5</v>
      </c>
      <c r="J2220" s="5">
        <v>239400000</v>
      </c>
      <c r="K2220" s="5">
        <v>39000000</v>
      </c>
      <c r="L2220" s="5">
        <v>4331800000</v>
      </c>
      <c r="M2220" s="5">
        <v>121800000</v>
      </c>
      <c r="N2220" s="5">
        <v>-600000</v>
      </c>
    </row>
    <row r="2221" spans="1:14" x14ac:dyDescent="0.25">
      <c r="A2221" s="3" t="s">
        <v>2232</v>
      </c>
      <c r="B2221" s="4">
        <v>6.04</v>
      </c>
      <c r="C2221" s="4">
        <v>0.23</v>
      </c>
      <c r="D2221" s="4">
        <v>0.05</v>
      </c>
      <c r="E2221" s="4">
        <v>-1.3483004617981889E-2</v>
      </c>
      <c r="F2221" s="3">
        <v>2219</v>
      </c>
      <c r="G2221" s="3">
        <v>2</v>
      </c>
      <c r="H2221" s="5">
        <v>38224440438.720001</v>
      </c>
      <c r="I2221" s="5">
        <v>51349440438.720001</v>
      </c>
      <c r="J2221" s="5">
        <v>16194000000</v>
      </c>
      <c r="K2221" s="5">
        <v>3069000000</v>
      </c>
      <c r="L2221" s="5">
        <v>61643000000</v>
      </c>
      <c r="M2221" s="5">
        <v>8508000000</v>
      </c>
      <c r="N2221" s="5">
        <v>3457000000</v>
      </c>
    </row>
    <row r="2222" spans="1:14" x14ac:dyDescent="0.25">
      <c r="A2222" s="3" t="s">
        <v>2233</v>
      </c>
      <c r="B2222" s="4">
        <v>5.9</v>
      </c>
      <c r="C2222" s="4">
        <v>0.2</v>
      </c>
      <c r="D2222" s="4">
        <v>0.03</v>
      </c>
      <c r="E2222" s="4">
        <v>-1.3486894612421189E-2</v>
      </c>
      <c r="F2222" s="3">
        <v>2220</v>
      </c>
      <c r="G2222" s="3">
        <v>2</v>
      </c>
      <c r="H2222" s="5">
        <v>11273265671.219999</v>
      </c>
      <c r="I2222" s="5">
        <v>11342265671.219999</v>
      </c>
      <c r="J2222" s="5">
        <v>1475000000</v>
      </c>
      <c r="K2222" s="5">
        <v>1406000000</v>
      </c>
      <c r="L2222" s="5">
        <v>8199000000</v>
      </c>
      <c r="M2222" s="5">
        <v>1922000000</v>
      </c>
      <c r="N2222" s="5">
        <v>887000000</v>
      </c>
    </row>
    <row r="2223" spans="1:14" x14ac:dyDescent="0.25">
      <c r="A2223" s="3" t="s">
        <v>2234</v>
      </c>
      <c r="B2223" s="4">
        <v>3.73</v>
      </c>
      <c r="C2223" s="4">
        <v>-0.26</v>
      </c>
      <c r="D2223" s="4">
        <v>-0.05</v>
      </c>
      <c r="E2223" s="4">
        <v>-1.34883751114405E-2</v>
      </c>
      <c r="F2223" s="3">
        <v>2221</v>
      </c>
      <c r="G2223" s="3">
        <v>2</v>
      </c>
      <c r="H2223" s="5">
        <v>323643244.98000002</v>
      </c>
      <c r="I2223" s="5">
        <v>1892506244.98</v>
      </c>
      <c r="J2223" s="5">
        <v>2353512000</v>
      </c>
      <c r="K2223" s="5">
        <v>784649000</v>
      </c>
      <c r="L2223" s="5">
        <v>2421314000</v>
      </c>
      <c r="M2223" s="5">
        <v>507392000</v>
      </c>
      <c r="N2223" s="5">
        <v>-226546000</v>
      </c>
    </row>
    <row r="2224" spans="1:14" x14ac:dyDescent="0.25">
      <c r="A2224" s="3" t="s">
        <v>2235</v>
      </c>
      <c r="B2224" s="4">
        <v>5.56</v>
      </c>
      <c r="C2224" s="4">
        <v>0.12</v>
      </c>
      <c r="D2224" s="4">
        <v>0.11</v>
      </c>
      <c r="E2224" s="4">
        <v>-1.349217826221618E-2</v>
      </c>
      <c r="F2224" s="3">
        <v>2222</v>
      </c>
      <c r="G2224" s="3">
        <v>2</v>
      </c>
      <c r="H2224" s="5">
        <v>185931934</v>
      </c>
      <c r="I2224" s="5">
        <v>102955934</v>
      </c>
      <c r="J2224" s="5">
        <v>0</v>
      </c>
      <c r="K2224" s="5">
        <v>82976000</v>
      </c>
      <c r="L2224" s="5">
        <v>40903000</v>
      </c>
      <c r="M2224" s="5">
        <v>18528000</v>
      </c>
      <c r="N2224" s="5">
        <v>13874000</v>
      </c>
    </row>
    <row r="2225" spans="1:14" x14ac:dyDescent="0.25">
      <c r="A2225" s="3" t="s">
        <v>2236</v>
      </c>
      <c r="B2225" s="4">
        <v>6.03</v>
      </c>
      <c r="C2225" s="4">
        <v>0.22</v>
      </c>
      <c r="D2225" s="4">
        <v>0.1</v>
      </c>
      <c r="E2225" s="4">
        <v>-1.349606388641175E-2</v>
      </c>
      <c r="F2225" s="3">
        <v>2223</v>
      </c>
      <c r="G2225" s="3">
        <v>2</v>
      </c>
      <c r="H2225" s="5">
        <v>2902676382.3600001</v>
      </c>
      <c r="I2225" s="5">
        <v>2598676382.3600001</v>
      </c>
      <c r="J2225" s="5">
        <v>319000000</v>
      </c>
      <c r="K2225" s="5">
        <v>623000000</v>
      </c>
      <c r="L2225" s="5">
        <v>3866000000</v>
      </c>
      <c r="M2225" s="5">
        <v>431000000</v>
      </c>
      <c r="N2225" s="5">
        <v>274000000</v>
      </c>
    </row>
    <row r="2226" spans="1:14" x14ac:dyDescent="0.25">
      <c r="A2226" s="3" t="s">
        <v>2237</v>
      </c>
      <c r="B2226" s="4">
        <v>-0.05</v>
      </c>
      <c r="C2226" s="4">
        <v>-1.04</v>
      </c>
      <c r="D2226" s="4">
        <v>-0.54</v>
      </c>
      <c r="E2226" s="4">
        <v>-1.349707900737074E-2</v>
      </c>
      <c r="F2226" s="3">
        <v>2224</v>
      </c>
      <c r="G2226" s="3">
        <v>2</v>
      </c>
      <c r="H2226" s="5">
        <v>50750799.640000001</v>
      </c>
      <c r="I2226" s="5">
        <v>2576799.6400000011</v>
      </c>
      <c r="J2226" s="5">
        <v>103000</v>
      </c>
      <c r="K2226" s="5">
        <v>48277000</v>
      </c>
      <c r="L2226" s="5">
        <v>0</v>
      </c>
      <c r="M2226" s="5">
        <v>-56888000</v>
      </c>
      <c r="N2226" s="5">
        <v>-52790000</v>
      </c>
    </row>
    <row r="2227" spans="1:14" x14ac:dyDescent="0.25">
      <c r="A2227" s="3" t="s">
        <v>2238</v>
      </c>
      <c r="B2227" s="4">
        <v>5.66</v>
      </c>
      <c r="C2227" s="4">
        <v>0.14000000000000001</v>
      </c>
      <c r="D2227" s="4">
        <v>0.1</v>
      </c>
      <c r="E2227" s="4">
        <v>-1.349821213173554E-2</v>
      </c>
      <c r="F2227" s="3">
        <v>2225</v>
      </c>
      <c r="G2227" s="3">
        <v>2</v>
      </c>
      <c r="H2227" s="5">
        <v>30647409894.139999</v>
      </c>
      <c r="I2227" s="5">
        <v>29926984894.139999</v>
      </c>
      <c r="J2227" s="5">
        <v>4189239000</v>
      </c>
      <c r="K2227" s="5">
        <v>4909664000</v>
      </c>
      <c r="L2227" s="5">
        <v>35441452000</v>
      </c>
      <c r="M2227" s="5">
        <v>5291149000</v>
      </c>
      <c r="N2227" s="5">
        <v>3932533000</v>
      </c>
    </row>
    <row r="2228" spans="1:14" x14ac:dyDescent="0.25">
      <c r="A2228" s="3" t="s">
        <v>2239</v>
      </c>
      <c r="B2228" s="4">
        <v>-3.85</v>
      </c>
      <c r="C2228" s="4">
        <v>-1.82</v>
      </c>
      <c r="D2228" s="4">
        <v>-1.06</v>
      </c>
      <c r="E2228" s="4">
        <v>-1.349919157163933E-2</v>
      </c>
      <c r="F2228" s="3">
        <v>2226</v>
      </c>
      <c r="G2228" s="3">
        <v>2</v>
      </c>
      <c r="H2228" s="5">
        <v>8120400</v>
      </c>
      <c r="I2228" s="5">
        <v>7121020</v>
      </c>
      <c r="J2228" s="5">
        <v>250000</v>
      </c>
      <c r="K2228" s="5">
        <v>1249380</v>
      </c>
      <c r="L2228" s="5">
        <v>620000</v>
      </c>
      <c r="M2228" s="5">
        <v>-1848000</v>
      </c>
      <c r="N2228" s="5">
        <v>-3191520</v>
      </c>
    </row>
    <row r="2229" spans="1:14" x14ac:dyDescent="0.25">
      <c r="A2229" s="3" t="s">
        <v>2240</v>
      </c>
      <c r="B2229" s="4">
        <v>5.31</v>
      </c>
      <c r="C2229" s="4">
        <v>7.0000000000000007E-2</v>
      </c>
      <c r="D2229" s="4">
        <v>0.02</v>
      </c>
      <c r="E2229" s="4">
        <v>-1.3499277394059079E-2</v>
      </c>
      <c r="F2229" s="3">
        <v>2227</v>
      </c>
      <c r="G2229" s="3">
        <v>2</v>
      </c>
      <c r="H2229" s="5">
        <v>7688851200</v>
      </c>
      <c r="I2229" s="5">
        <v>13758851200</v>
      </c>
      <c r="J2229" s="5">
        <v>6769000000</v>
      </c>
      <c r="K2229" s="5">
        <v>699000000</v>
      </c>
      <c r="L2229" s="5">
        <v>5804000000</v>
      </c>
      <c r="M2229" s="5">
        <v>2593000000</v>
      </c>
      <c r="N2229" s="5">
        <v>253000000</v>
      </c>
    </row>
    <row r="2230" spans="1:14" x14ac:dyDescent="0.25">
      <c r="A2230" s="3" t="s">
        <v>2241</v>
      </c>
      <c r="B2230" s="4">
        <v>4.6900000000000004</v>
      </c>
      <c r="C2230" s="4">
        <v>-0.06</v>
      </c>
      <c r="D2230" s="4">
        <v>-0.05</v>
      </c>
      <c r="E2230" s="4">
        <v>-1.350466671807077E-2</v>
      </c>
      <c r="F2230" s="3">
        <v>2228</v>
      </c>
      <c r="G2230" s="3">
        <v>2</v>
      </c>
      <c r="H2230" s="5">
        <v>17683576</v>
      </c>
      <c r="I2230" s="5">
        <v>-17097424</v>
      </c>
      <c r="J2230" s="5">
        <v>0</v>
      </c>
      <c r="K2230" s="5">
        <v>34781000</v>
      </c>
      <c r="L2230" s="5">
        <v>2969000</v>
      </c>
      <c r="M2230" s="5">
        <v>-3643000</v>
      </c>
      <c r="N2230" s="5">
        <v>-2296000</v>
      </c>
    </row>
    <row r="2231" spans="1:14" x14ac:dyDescent="0.25">
      <c r="A2231" s="3" t="s">
        <v>2242</v>
      </c>
      <c r="B2231" s="4">
        <v>5.15</v>
      </c>
      <c r="C2231" s="4">
        <v>0.03</v>
      </c>
      <c r="D2231" s="4">
        <v>0.02</v>
      </c>
      <c r="E2231" s="4">
        <v>-1.351582453096368E-2</v>
      </c>
      <c r="F2231" s="3">
        <v>2229</v>
      </c>
      <c r="G2231" s="3">
        <v>2</v>
      </c>
      <c r="H2231" s="5">
        <v>525454619.69999999</v>
      </c>
      <c r="I2231" s="5">
        <v>605860619.70000005</v>
      </c>
      <c r="J2231" s="5">
        <v>496840000</v>
      </c>
      <c r="K2231" s="5">
        <v>416434000</v>
      </c>
      <c r="L2231" s="5">
        <v>1185112000</v>
      </c>
      <c r="M2231" s="5">
        <v>117737000</v>
      </c>
      <c r="N2231" s="5">
        <v>36004000</v>
      </c>
    </row>
    <row r="2232" spans="1:14" x14ac:dyDescent="0.25">
      <c r="A2232" s="3" t="s">
        <v>2243</v>
      </c>
      <c r="B2232" s="4">
        <v>-3.86</v>
      </c>
      <c r="C2232" s="4">
        <v>-1.87</v>
      </c>
      <c r="D2232" s="4">
        <v>-0.44</v>
      </c>
      <c r="E2232" s="4">
        <v>-1.351787075320918E-2</v>
      </c>
      <c r="F2232" s="3">
        <v>2230</v>
      </c>
      <c r="G2232" s="3">
        <v>2</v>
      </c>
      <c r="H2232" s="5">
        <v>46757544.725000001</v>
      </c>
      <c r="I2232" s="5">
        <v>57473964.725000001</v>
      </c>
      <c r="J2232" s="5">
        <v>13996350</v>
      </c>
      <c r="K2232" s="5">
        <v>3279930</v>
      </c>
      <c r="L2232" s="5">
        <v>35594520</v>
      </c>
      <c r="M2232" s="5">
        <v>-14875790</v>
      </c>
      <c r="N2232" s="5">
        <v>-20718960</v>
      </c>
    </row>
    <row r="2233" spans="1:14" x14ac:dyDescent="0.25">
      <c r="A2233" s="3" t="s">
        <v>2244</v>
      </c>
      <c r="B2233" s="4">
        <v>4.18</v>
      </c>
      <c r="C2233" s="4">
        <v>-0.17</v>
      </c>
      <c r="D2233" s="4">
        <v>-0.11</v>
      </c>
      <c r="E2233" s="4">
        <v>-1.3518421064143899E-2</v>
      </c>
      <c r="F2233" s="3">
        <v>2231</v>
      </c>
      <c r="G2233" s="3">
        <v>2</v>
      </c>
      <c r="H2233" s="5">
        <v>1127166842.04</v>
      </c>
      <c r="I2233" s="5">
        <v>1154227842.04</v>
      </c>
      <c r="J2233" s="5">
        <v>77504000</v>
      </c>
      <c r="K2233" s="5">
        <v>50443000</v>
      </c>
      <c r="L2233" s="5">
        <v>1444286000</v>
      </c>
      <c r="M2233" s="5">
        <v>276037000</v>
      </c>
      <c r="N2233" s="5">
        <v>-137859000</v>
      </c>
    </row>
    <row r="2234" spans="1:14" x14ac:dyDescent="0.25">
      <c r="A2234" s="3" t="s">
        <v>2245</v>
      </c>
      <c r="B2234" s="4">
        <v>-6.14</v>
      </c>
      <c r="C2234" s="4">
        <v>-2.35</v>
      </c>
      <c r="D2234" s="4">
        <v>-0.57999999999999996</v>
      </c>
      <c r="E2234" s="4">
        <v>-1.352063136305459E-2</v>
      </c>
      <c r="F2234" s="3">
        <v>2232</v>
      </c>
      <c r="G2234" s="3">
        <v>2</v>
      </c>
      <c r="H2234" s="5">
        <v>37635309.920000002</v>
      </c>
      <c r="I2234" s="5">
        <v>36105909.920000002</v>
      </c>
      <c r="J2234" s="5">
        <v>4977350</v>
      </c>
      <c r="K2234" s="5">
        <v>6506750</v>
      </c>
      <c r="L2234" s="5">
        <v>3495390</v>
      </c>
      <c r="M2234" s="5">
        <v>-5878260</v>
      </c>
      <c r="N2234" s="5">
        <v>-5809160</v>
      </c>
    </row>
    <row r="2235" spans="1:14" x14ac:dyDescent="0.25">
      <c r="A2235" s="3" t="s">
        <v>2246</v>
      </c>
      <c r="B2235" s="4">
        <v>5.5</v>
      </c>
      <c r="C2235" s="4">
        <v>0.1</v>
      </c>
      <c r="D2235" s="4">
        <v>0.06</v>
      </c>
      <c r="E2235" s="4">
        <v>-1.352247537495016E-2</v>
      </c>
      <c r="F2235" s="3">
        <v>2233</v>
      </c>
      <c r="G2235" s="3">
        <v>2</v>
      </c>
      <c r="H2235" s="5">
        <v>5474940683.7700005</v>
      </c>
      <c r="I2235" s="5">
        <v>6257940683.7700005</v>
      </c>
      <c r="J2235" s="5">
        <v>2013000000</v>
      </c>
      <c r="K2235" s="5">
        <v>1230000000</v>
      </c>
      <c r="L2235" s="5">
        <v>8870000000</v>
      </c>
      <c r="M2235" s="5">
        <v>1138000000</v>
      </c>
      <c r="N2235" s="5">
        <v>635000000</v>
      </c>
    </row>
    <row r="2236" spans="1:14" x14ac:dyDescent="0.25">
      <c r="A2236" s="3" t="s">
        <v>2247</v>
      </c>
      <c r="B2236" s="4">
        <v>1.62</v>
      </c>
      <c r="C2236" s="4">
        <v>-0.72</v>
      </c>
      <c r="D2236" s="4">
        <v>-0.11</v>
      </c>
      <c r="E2236" s="4">
        <v>-1.352313279148726E-2</v>
      </c>
      <c r="F2236" s="3">
        <v>2234</v>
      </c>
      <c r="G2236" s="3">
        <v>2</v>
      </c>
      <c r="H2236" s="5">
        <v>22108411.359999999</v>
      </c>
      <c r="I2236" s="5">
        <v>12971411.359999999</v>
      </c>
      <c r="J2236" s="5">
        <v>21815000</v>
      </c>
      <c r="K2236" s="5">
        <v>30952000</v>
      </c>
      <c r="L2236" s="5">
        <v>66382000</v>
      </c>
      <c r="M2236" s="5">
        <v>8026000</v>
      </c>
      <c r="N2236" s="5">
        <v>-13562000</v>
      </c>
    </row>
    <row r="2237" spans="1:14" x14ac:dyDescent="0.25">
      <c r="A2237" s="3" t="s">
        <v>2248</v>
      </c>
      <c r="B2237" s="4">
        <v>-1</v>
      </c>
      <c r="C2237" s="4">
        <v>-1.23</v>
      </c>
      <c r="D2237" s="4">
        <v>-0.89</v>
      </c>
      <c r="E2237" s="4">
        <v>-1.352559892963578E-2</v>
      </c>
      <c r="F2237" s="3">
        <v>2235</v>
      </c>
      <c r="G2237" s="3">
        <v>2</v>
      </c>
      <c r="H2237" s="5">
        <v>27848070.66</v>
      </c>
      <c r="I2237" s="5">
        <v>15939070.66</v>
      </c>
      <c r="J2237" s="5">
        <v>0</v>
      </c>
      <c r="K2237" s="5">
        <v>11909000</v>
      </c>
      <c r="L2237" s="5">
        <v>515000</v>
      </c>
      <c r="M2237" s="5">
        <v>-15926000</v>
      </c>
      <c r="N2237" s="5">
        <v>-16609000</v>
      </c>
    </row>
    <row r="2238" spans="1:14" x14ac:dyDescent="0.25">
      <c r="A2238" s="3" t="s">
        <v>2249</v>
      </c>
      <c r="B2238" s="4">
        <v>6.36</v>
      </c>
      <c r="C2238" s="4">
        <v>0.27</v>
      </c>
      <c r="D2238" s="4">
        <v>0.24</v>
      </c>
      <c r="E2238" s="4">
        <v>-1.352883326725793E-2</v>
      </c>
      <c r="F2238" s="3">
        <v>2236</v>
      </c>
      <c r="G2238" s="3">
        <v>2</v>
      </c>
      <c r="H2238" s="5">
        <v>603638605.28999996</v>
      </c>
      <c r="I2238" s="5">
        <v>448238345.29000002</v>
      </c>
      <c r="J2238" s="5">
        <v>0</v>
      </c>
      <c r="K2238" s="5">
        <v>155400260</v>
      </c>
      <c r="L2238" s="5">
        <v>138719350</v>
      </c>
      <c r="M2238" s="5">
        <v>70521690</v>
      </c>
      <c r="N2238" s="5">
        <v>59214220</v>
      </c>
    </row>
    <row r="2239" spans="1:14" x14ac:dyDescent="0.25">
      <c r="A2239" s="3" t="s">
        <v>2250</v>
      </c>
      <c r="B2239" s="4">
        <v>5.42</v>
      </c>
      <c r="C2239" s="4">
        <v>0.08</v>
      </c>
      <c r="D2239" s="4">
        <v>0.05</v>
      </c>
      <c r="E2239" s="4">
        <v>-1.3532677969979961E-2</v>
      </c>
      <c r="F2239" s="3">
        <v>2237</v>
      </c>
      <c r="G2239" s="3">
        <v>2</v>
      </c>
      <c r="H2239" s="5">
        <v>280078335.31999999</v>
      </c>
      <c r="I2239" s="5">
        <v>203499335.31999999</v>
      </c>
      <c r="J2239" s="5">
        <v>8000000</v>
      </c>
      <c r="K2239" s="5">
        <v>84579000</v>
      </c>
      <c r="L2239" s="5">
        <v>565066000</v>
      </c>
      <c r="M2239" s="5">
        <v>37548000</v>
      </c>
      <c r="N2239" s="5">
        <v>18685000</v>
      </c>
    </row>
    <row r="2240" spans="1:14" x14ac:dyDescent="0.25">
      <c r="A2240" s="3" t="s">
        <v>2251</v>
      </c>
      <c r="B2240" s="4">
        <v>-0.77</v>
      </c>
      <c r="C2240" s="4">
        <v>-1.2</v>
      </c>
      <c r="D2240" s="4">
        <v>-0.66</v>
      </c>
      <c r="E2240" s="4">
        <v>-1.353690222834256E-2</v>
      </c>
      <c r="F2240" s="3">
        <v>2238</v>
      </c>
      <c r="G2240" s="3">
        <v>2</v>
      </c>
      <c r="H2240" s="5">
        <v>540.43309999999997</v>
      </c>
      <c r="I2240" s="5">
        <v>1728000.4331</v>
      </c>
      <c r="J2240" s="5">
        <v>1959220</v>
      </c>
      <c r="K2240" s="5">
        <v>231760</v>
      </c>
      <c r="L2240" s="5">
        <v>74700</v>
      </c>
      <c r="M2240" s="5">
        <v>-2250720</v>
      </c>
      <c r="N2240" s="5">
        <v>-3926950</v>
      </c>
    </row>
    <row r="2241" spans="1:14" x14ac:dyDescent="0.25">
      <c r="A2241" s="3" t="s">
        <v>2252</v>
      </c>
      <c r="B2241" s="4">
        <v>5.38</v>
      </c>
      <c r="C2241" s="4">
        <v>7.0000000000000007E-2</v>
      </c>
      <c r="D2241" s="4">
        <v>0.04</v>
      </c>
      <c r="E2241" s="4">
        <v>-1.3538743780783621E-2</v>
      </c>
      <c r="F2241" s="3">
        <v>2239</v>
      </c>
      <c r="G2241" s="3">
        <v>2</v>
      </c>
      <c r="H2241" s="5">
        <v>1402734667.5999999</v>
      </c>
      <c r="I2241" s="5">
        <v>1584729137.5999999</v>
      </c>
      <c r="J2241" s="5">
        <v>535682380</v>
      </c>
      <c r="K2241" s="5">
        <v>353687910</v>
      </c>
      <c r="L2241" s="5">
        <v>5639609430</v>
      </c>
      <c r="M2241" s="5">
        <v>294560760</v>
      </c>
      <c r="N2241" s="5">
        <v>105541300</v>
      </c>
    </row>
    <row r="2242" spans="1:14" x14ac:dyDescent="0.25">
      <c r="A2242" s="3" t="s">
        <v>2253</v>
      </c>
      <c r="B2242" s="4">
        <v>5.73</v>
      </c>
      <c r="C2242" s="4">
        <v>0.14000000000000001</v>
      </c>
      <c r="D2242" s="4">
        <v>0.11</v>
      </c>
      <c r="E2242" s="4">
        <v>-1.353960754503758E-2</v>
      </c>
      <c r="F2242" s="3">
        <v>2240</v>
      </c>
      <c r="G2242" s="3">
        <v>2</v>
      </c>
      <c r="H2242" s="5">
        <v>5299876567.3000002</v>
      </c>
      <c r="I2242" s="5">
        <v>5443494567.3000002</v>
      </c>
      <c r="J2242" s="5">
        <v>743050000</v>
      </c>
      <c r="K2242" s="5">
        <v>599432000</v>
      </c>
      <c r="L2242" s="5">
        <v>1201774000</v>
      </c>
      <c r="M2242" s="5">
        <v>949807000</v>
      </c>
      <c r="N2242" s="5">
        <v>688068000</v>
      </c>
    </row>
    <row r="2243" spans="1:14" x14ac:dyDescent="0.25">
      <c r="A2243" s="3" t="s">
        <v>2254</v>
      </c>
      <c r="B2243" s="4">
        <v>4.71</v>
      </c>
      <c r="C2243" s="4">
        <v>-7.0000000000000007E-2</v>
      </c>
      <c r="D2243" s="4">
        <v>-0.02</v>
      </c>
      <c r="E2243" s="4">
        <v>-1.3540151656746879E-2</v>
      </c>
      <c r="F2243" s="3">
        <v>2241</v>
      </c>
      <c r="G2243" s="3">
        <v>2</v>
      </c>
      <c r="H2243" s="5">
        <v>69784899.799999997</v>
      </c>
      <c r="I2243" s="5">
        <v>245388899.80000001</v>
      </c>
      <c r="J2243" s="5">
        <v>178533000</v>
      </c>
      <c r="K2243" s="5">
        <v>2929000</v>
      </c>
      <c r="L2243" s="5">
        <v>682952000</v>
      </c>
      <c r="M2243" s="5">
        <v>52051000</v>
      </c>
      <c r="N2243" s="5">
        <v>-15165000</v>
      </c>
    </row>
    <row r="2244" spans="1:14" x14ac:dyDescent="0.25">
      <c r="A2244" s="3" t="s">
        <v>2255</v>
      </c>
      <c r="B2244" s="4">
        <v>5.58</v>
      </c>
      <c r="C2244" s="4">
        <v>0.11</v>
      </c>
      <c r="D2244" s="4">
        <v>0.06</v>
      </c>
      <c r="E2244" s="4">
        <v>-1.354309541351232E-2</v>
      </c>
      <c r="F2244" s="3">
        <v>2242</v>
      </c>
      <c r="G2244" s="3">
        <v>2</v>
      </c>
      <c r="H2244" s="5">
        <v>798089107.86000001</v>
      </c>
      <c r="I2244" s="5">
        <v>1123378107.8599999</v>
      </c>
      <c r="J2244" s="5">
        <v>373484000</v>
      </c>
      <c r="K2244" s="5">
        <v>48195000</v>
      </c>
      <c r="L2244" s="5">
        <v>1709585000</v>
      </c>
      <c r="M2244" s="5">
        <v>201223000</v>
      </c>
      <c r="N2244" s="5">
        <v>99456000</v>
      </c>
    </row>
    <row r="2245" spans="1:14" x14ac:dyDescent="0.25">
      <c r="A2245" s="3" t="s">
        <v>2256</v>
      </c>
      <c r="B2245" s="4">
        <v>5.44</v>
      </c>
      <c r="C2245" s="4">
        <v>0.08</v>
      </c>
      <c r="D2245" s="4">
        <v>0.04</v>
      </c>
      <c r="E2245" s="4">
        <v>-1.354698540795162E-2</v>
      </c>
      <c r="F2245" s="3">
        <v>2243</v>
      </c>
      <c r="G2245" s="3">
        <v>2</v>
      </c>
      <c r="H2245" s="5">
        <v>1244337985.52</v>
      </c>
      <c r="I2245" s="5">
        <v>1524559985.52</v>
      </c>
      <c r="J2245" s="5">
        <v>388178000</v>
      </c>
      <c r="K2245" s="5">
        <v>107956000</v>
      </c>
      <c r="L2245" s="5">
        <v>1301704000</v>
      </c>
      <c r="M2245" s="5">
        <v>280488000</v>
      </c>
      <c r="N2245" s="5">
        <v>76310000</v>
      </c>
    </row>
    <row r="2246" spans="1:14" x14ac:dyDescent="0.25">
      <c r="A2246" s="3" t="s">
        <v>2257</v>
      </c>
      <c r="B2246" s="4">
        <v>5.44</v>
      </c>
      <c r="C2246" s="4">
        <v>0.08</v>
      </c>
      <c r="D2246" s="4">
        <v>0.04</v>
      </c>
      <c r="E2246" s="4">
        <v>-1.354698540795162E-2</v>
      </c>
      <c r="F2246" s="3">
        <v>2243</v>
      </c>
      <c r="G2246" s="3">
        <v>2</v>
      </c>
      <c r="H2246" s="5">
        <v>503394734.27999997</v>
      </c>
      <c r="I2246" s="5">
        <v>723013734.27999997</v>
      </c>
      <c r="J2246" s="5">
        <v>255238000</v>
      </c>
      <c r="K2246" s="5">
        <v>35619000</v>
      </c>
      <c r="L2246" s="5">
        <v>1131476000</v>
      </c>
      <c r="M2246" s="5">
        <v>132919000</v>
      </c>
      <c r="N2246" s="5">
        <v>35921000</v>
      </c>
    </row>
    <row r="2247" spans="1:14" x14ac:dyDescent="0.25">
      <c r="A2247" s="3" t="s">
        <v>2258</v>
      </c>
      <c r="B2247" s="4">
        <v>-2.0099999999999998</v>
      </c>
      <c r="C2247" s="4">
        <v>-1.5</v>
      </c>
      <c r="D2247" s="4">
        <v>-0.2</v>
      </c>
      <c r="E2247" s="4">
        <v>-1.3547513709773419E-2</v>
      </c>
      <c r="F2247" s="3">
        <v>2245</v>
      </c>
      <c r="G2247" s="3">
        <v>2</v>
      </c>
      <c r="H2247" s="5">
        <v>318460766.81999999</v>
      </c>
      <c r="I2247" s="5">
        <v>600118766.81999993</v>
      </c>
      <c r="J2247" s="5">
        <v>397142000</v>
      </c>
      <c r="K2247" s="5">
        <v>115484000</v>
      </c>
      <c r="L2247" s="5">
        <v>1946740000</v>
      </c>
      <c r="M2247" s="5">
        <v>-298635000</v>
      </c>
      <c r="N2247" s="5">
        <v>-284071000</v>
      </c>
    </row>
    <row r="2248" spans="1:14" x14ac:dyDescent="0.25">
      <c r="A2248" s="3" t="s">
        <v>2259</v>
      </c>
      <c r="B2248" s="4">
        <v>5.35</v>
      </c>
      <c r="C2248" s="4">
        <v>0.06</v>
      </c>
      <c r="D2248" s="4">
        <v>0.03</v>
      </c>
      <c r="E2248" s="4">
        <v>-1.355099879728435E-2</v>
      </c>
      <c r="F2248" s="3">
        <v>2246</v>
      </c>
      <c r="G2248" s="3">
        <v>2</v>
      </c>
      <c r="H2248" s="5">
        <v>1338406909.8599999</v>
      </c>
      <c r="I2248" s="5">
        <v>1530306909.8599999</v>
      </c>
      <c r="J2248" s="5">
        <v>560800000</v>
      </c>
      <c r="K2248" s="5">
        <v>368900000</v>
      </c>
      <c r="L2248" s="5">
        <v>2963900000</v>
      </c>
      <c r="M2248" s="5">
        <v>286300000</v>
      </c>
      <c r="N2248" s="5">
        <v>124800000</v>
      </c>
    </row>
    <row r="2249" spans="1:14" x14ac:dyDescent="0.25">
      <c r="A2249" s="3" t="s">
        <v>2260</v>
      </c>
      <c r="B2249" s="4">
        <v>5.69</v>
      </c>
      <c r="C2249" s="4">
        <v>0.13</v>
      </c>
      <c r="D2249" s="4">
        <v>7.0000000000000007E-2</v>
      </c>
      <c r="E2249" s="4">
        <v>-1.355146043557375E-2</v>
      </c>
      <c r="F2249" s="3">
        <v>2247</v>
      </c>
      <c r="G2249" s="3">
        <v>2</v>
      </c>
      <c r="H2249" s="5">
        <v>1783038656.52</v>
      </c>
      <c r="I2249" s="5">
        <v>3109253656.52</v>
      </c>
      <c r="J2249" s="5">
        <v>1476213000</v>
      </c>
      <c r="K2249" s="5">
        <v>149998000</v>
      </c>
      <c r="L2249" s="5">
        <v>4398288000</v>
      </c>
      <c r="M2249" s="5">
        <v>546649000</v>
      </c>
      <c r="N2249" s="5">
        <v>333816000</v>
      </c>
    </row>
    <row r="2250" spans="1:14" x14ac:dyDescent="0.25">
      <c r="A2250" s="3" t="s">
        <v>2261</v>
      </c>
      <c r="B2250" s="4">
        <v>0.41</v>
      </c>
      <c r="C2250" s="4">
        <v>-0.96</v>
      </c>
      <c r="D2250" s="4">
        <v>-0.56000000000000005</v>
      </c>
      <c r="E2250" s="4">
        <v>-1.3554491666475651E-2</v>
      </c>
      <c r="F2250" s="3">
        <v>2248</v>
      </c>
      <c r="G2250" s="3">
        <v>2</v>
      </c>
      <c r="H2250" s="5">
        <v>55789378.780000001</v>
      </c>
      <c r="I2250" s="5">
        <v>-29110621.219999999</v>
      </c>
      <c r="J2250" s="5">
        <v>26095000</v>
      </c>
      <c r="K2250" s="5">
        <v>110995000</v>
      </c>
      <c r="L2250" s="5">
        <v>1885000</v>
      </c>
      <c r="M2250" s="5">
        <v>-71780000</v>
      </c>
      <c r="N2250" s="5">
        <v>-70515000</v>
      </c>
    </row>
    <row r="2251" spans="1:14" x14ac:dyDescent="0.25">
      <c r="A2251" s="3" t="s">
        <v>2262</v>
      </c>
      <c r="B2251" s="4">
        <v>5.92</v>
      </c>
      <c r="C2251" s="4">
        <v>0.18</v>
      </c>
      <c r="D2251" s="4">
        <v>0.04</v>
      </c>
      <c r="E2251" s="4">
        <v>-1.3555131211266761E-2</v>
      </c>
      <c r="F2251" s="3">
        <v>2249</v>
      </c>
      <c r="G2251" s="3">
        <v>2</v>
      </c>
      <c r="H2251" s="5">
        <v>9217700956.7999992</v>
      </c>
      <c r="I2251" s="5">
        <v>9991700956.7999992</v>
      </c>
      <c r="J2251" s="5">
        <v>2961100000</v>
      </c>
      <c r="K2251" s="5">
        <v>2187100000</v>
      </c>
      <c r="L2251" s="5">
        <v>10691700000</v>
      </c>
      <c r="M2251" s="5">
        <v>1689200000</v>
      </c>
      <c r="N2251" s="5">
        <v>689500000</v>
      </c>
    </row>
    <row r="2252" spans="1:14" x14ac:dyDescent="0.25">
      <c r="A2252" s="3" t="s">
        <v>2263</v>
      </c>
      <c r="B2252" s="4">
        <v>-0.59</v>
      </c>
      <c r="C2252" s="4">
        <v>-1.17</v>
      </c>
      <c r="D2252" s="4">
        <v>-0.63</v>
      </c>
      <c r="E2252" s="4">
        <v>-1.355584003011406E-2</v>
      </c>
      <c r="F2252" s="3">
        <v>2250</v>
      </c>
      <c r="G2252" s="3">
        <v>2</v>
      </c>
      <c r="H2252" s="5">
        <v>37525483.520000003</v>
      </c>
      <c r="I2252" s="5">
        <v>22485823.52</v>
      </c>
      <c r="J2252" s="5">
        <v>9876630</v>
      </c>
      <c r="K2252" s="5">
        <v>24916290</v>
      </c>
      <c r="L2252" s="5">
        <v>16886420</v>
      </c>
      <c r="M2252" s="5">
        <v>-37838310</v>
      </c>
      <c r="N2252" s="5">
        <v>-37801430</v>
      </c>
    </row>
    <row r="2253" spans="1:14" x14ac:dyDescent="0.25">
      <c r="A2253" s="3" t="s">
        <v>2264</v>
      </c>
      <c r="B2253" s="4">
        <v>9.44</v>
      </c>
      <c r="C2253" s="4">
        <v>0.93</v>
      </c>
      <c r="D2253" s="4">
        <v>0.09</v>
      </c>
      <c r="E2253" s="4">
        <v>-1.3557065957666139E-2</v>
      </c>
      <c r="F2253" s="3">
        <v>2251</v>
      </c>
      <c r="G2253" s="3">
        <v>2</v>
      </c>
      <c r="H2253" s="5">
        <v>3416008077.1300001</v>
      </c>
      <c r="I2253" s="5">
        <v>4825622077.1300001</v>
      </c>
      <c r="J2253" s="5">
        <v>1524052000</v>
      </c>
      <c r="K2253" s="5">
        <v>114438000</v>
      </c>
      <c r="L2253" s="5">
        <v>2623520000</v>
      </c>
      <c r="M2253" s="5">
        <v>511345000</v>
      </c>
      <c r="N2253" s="5">
        <v>209897000</v>
      </c>
    </row>
    <row r="2254" spans="1:14" x14ac:dyDescent="0.25">
      <c r="A2254" s="3" t="s">
        <v>2265</v>
      </c>
      <c r="B2254" s="4">
        <v>6.2</v>
      </c>
      <c r="C2254" s="4">
        <v>0.23</v>
      </c>
      <c r="D2254" s="4">
        <v>0.17</v>
      </c>
      <c r="E2254" s="4">
        <v>-1.3558883590205059E-2</v>
      </c>
      <c r="F2254" s="3">
        <v>2252</v>
      </c>
      <c r="G2254" s="3">
        <v>2</v>
      </c>
      <c r="H2254" s="5">
        <v>2748086381.8400002</v>
      </c>
      <c r="I2254" s="5">
        <v>2987858381.8400002</v>
      </c>
      <c r="J2254" s="5">
        <v>381315000</v>
      </c>
      <c r="K2254" s="5">
        <v>141543000</v>
      </c>
      <c r="L2254" s="5">
        <v>2098943000</v>
      </c>
      <c r="M2254" s="5">
        <v>481855000</v>
      </c>
      <c r="N2254" s="5">
        <v>381583000</v>
      </c>
    </row>
    <row r="2255" spans="1:14" x14ac:dyDescent="0.25">
      <c r="A2255" s="3" t="s">
        <v>2266</v>
      </c>
      <c r="B2255" s="4">
        <v>5.41</v>
      </c>
      <c r="C2255" s="4">
        <v>7.0000000000000007E-2</v>
      </c>
      <c r="D2255" s="4">
        <v>0.03</v>
      </c>
      <c r="E2255" s="4">
        <v>-1.355924042445235E-2</v>
      </c>
      <c r="F2255" s="3">
        <v>2253</v>
      </c>
      <c r="G2255" s="3">
        <v>2</v>
      </c>
      <c r="H2255" s="5">
        <v>813010135.39999998</v>
      </c>
      <c r="I2255" s="5">
        <v>979463135.4000001</v>
      </c>
      <c r="J2255" s="5">
        <v>277704000</v>
      </c>
      <c r="K2255" s="5">
        <v>111251000</v>
      </c>
      <c r="L2255" s="5">
        <v>935262000</v>
      </c>
      <c r="M2255" s="5">
        <v>181200000</v>
      </c>
      <c r="N2255" s="5">
        <v>35932000</v>
      </c>
    </row>
    <row r="2256" spans="1:14" x14ac:dyDescent="0.25">
      <c r="A2256" s="3" t="s">
        <v>2267</v>
      </c>
      <c r="B2256" s="4">
        <v>5.65</v>
      </c>
      <c r="C2256" s="4">
        <v>0.12</v>
      </c>
      <c r="D2256" s="4">
        <v>0.05</v>
      </c>
      <c r="E2256" s="4">
        <v>-1.355945527295491E-2</v>
      </c>
      <c r="F2256" s="3">
        <v>2254</v>
      </c>
      <c r="G2256" s="3">
        <v>2</v>
      </c>
      <c r="H2256" s="5">
        <v>3750455809.0799999</v>
      </c>
      <c r="I2256" s="5">
        <v>5099055809.0799999</v>
      </c>
      <c r="J2256" s="5">
        <v>2096600000</v>
      </c>
      <c r="K2256" s="5">
        <v>748000000</v>
      </c>
      <c r="L2256" s="5">
        <v>8652900000</v>
      </c>
      <c r="M2256" s="5">
        <v>902600000</v>
      </c>
      <c r="N2256" s="5">
        <v>598500000</v>
      </c>
    </row>
    <row r="2257" spans="1:14" x14ac:dyDescent="0.25">
      <c r="A2257" s="3" t="s">
        <v>2268</v>
      </c>
      <c r="B2257" s="4">
        <v>0.59</v>
      </c>
      <c r="C2257" s="4">
        <v>-0.91</v>
      </c>
      <c r="D2257" s="4">
        <v>-0.76</v>
      </c>
      <c r="E2257" s="4">
        <v>-1.356000986550087E-2</v>
      </c>
      <c r="F2257" s="3">
        <v>2255</v>
      </c>
      <c r="G2257" s="3">
        <v>2</v>
      </c>
      <c r="H2257" s="5">
        <v>36035523.68</v>
      </c>
      <c r="I2257" s="5">
        <v>-79426476.319999993</v>
      </c>
      <c r="J2257" s="5">
        <v>0</v>
      </c>
      <c r="K2257" s="5">
        <v>115462000</v>
      </c>
      <c r="L2257" s="5">
        <v>0</v>
      </c>
      <c r="M2257" s="5">
        <v>-134750000</v>
      </c>
      <c r="N2257" s="5">
        <v>-128514000</v>
      </c>
    </row>
    <row r="2258" spans="1:14" x14ac:dyDescent="0.25">
      <c r="A2258" s="3" t="s">
        <v>2269</v>
      </c>
      <c r="B2258" s="4">
        <v>5.51</v>
      </c>
      <c r="C2258" s="4">
        <v>0.09</v>
      </c>
      <c r="D2258" s="4">
        <v>0.03</v>
      </c>
      <c r="E2258" s="4">
        <v>-1.356334526739421E-2</v>
      </c>
      <c r="F2258" s="3">
        <v>2256</v>
      </c>
      <c r="G2258" s="3">
        <v>2</v>
      </c>
      <c r="H2258" s="5">
        <v>365583393.17000002</v>
      </c>
      <c r="I2258" s="5">
        <v>707783393.17000008</v>
      </c>
      <c r="J2258" s="5">
        <v>390200000</v>
      </c>
      <c r="K2258" s="5">
        <v>48000000</v>
      </c>
      <c r="L2258" s="5">
        <v>2178000000</v>
      </c>
      <c r="M2258" s="5">
        <v>128400000</v>
      </c>
      <c r="N2258" s="5">
        <v>55800000</v>
      </c>
    </row>
    <row r="2259" spans="1:14" x14ac:dyDescent="0.25">
      <c r="A2259" s="3" t="s">
        <v>2270</v>
      </c>
      <c r="B2259" s="4">
        <v>-7.0000000000000007E-2</v>
      </c>
      <c r="C2259" s="4">
        <v>5.49</v>
      </c>
      <c r="D2259" s="4">
        <v>-98.81</v>
      </c>
      <c r="E2259" s="4">
        <v>-1.3573719392685681E-2</v>
      </c>
      <c r="F2259" s="3">
        <v>2257</v>
      </c>
      <c r="G2259" s="3">
        <v>2</v>
      </c>
      <c r="H2259" s="5">
        <v>2626.7150000000001</v>
      </c>
      <c r="I2259" s="5">
        <v>2306.7150000000001</v>
      </c>
      <c r="J2259" s="5">
        <v>0</v>
      </c>
      <c r="K2259" s="5">
        <v>320</v>
      </c>
      <c r="L2259" s="5">
        <v>0</v>
      </c>
      <c r="M2259" s="5">
        <v>-31620</v>
      </c>
      <c r="N2259" s="5">
        <v>-31620</v>
      </c>
    </row>
    <row r="2260" spans="1:14" x14ac:dyDescent="0.25">
      <c r="A2260" s="3" t="s">
        <v>2271</v>
      </c>
      <c r="B2260" s="4">
        <v>5.36</v>
      </c>
      <c r="C2260" s="4">
        <v>0.05</v>
      </c>
      <c r="D2260" s="4">
        <v>0.02</v>
      </c>
      <c r="E2260" s="4">
        <v>-1.3588010636573391E-2</v>
      </c>
      <c r="F2260" s="3">
        <v>2258</v>
      </c>
      <c r="G2260" s="3">
        <v>2</v>
      </c>
      <c r="H2260" s="5">
        <v>2055914205.52</v>
      </c>
      <c r="I2260" s="5">
        <v>2559914205.52</v>
      </c>
      <c r="J2260" s="5">
        <v>988000000</v>
      </c>
      <c r="K2260" s="5">
        <v>484000000</v>
      </c>
      <c r="L2260" s="5">
        <v>3403000000</v>
      </c>
      <c r="M2260" s="5">
        <v>478000000</v>
      </c>
      <c r="N2260" s="5">
        <v>79000000</v>
      </c>
    </row>
    <row r="2261" spans="1:14" x14ac:dyDescent="0.25">
      <c r="A2261" s="3" t="s">
        <v>2272</v>
      </c>
      <c r="B2261" s="4">
        <v>5.8</v>
      </c>
      <c r="C2261" s="4">
        <v>0.14000000000000001</v>
      </c>
      <c r="D2261" s="4">
        <v>0.08</v>
      </c>
      <c r="E2261" s="4">
        <v>-1.3588719064649641E-2</v>
      </c>
      <c r="F2261" s="3">
        <v>2259</v>
      </c>
      <c r="G2261" s="3">
        <v>2</v>
      </c>
      <c r="H2261" s="5">
        <v>109532240674.7</v>
      </c>
      <c r="I2261" s="5">
        <v>128249240674.7</v>
      </c>
      <c r="J2261" s="5">
        <v>24324000000</v>
      </c>
      <c r="K2261" s="5">
        <v>5607000000</v>
      </c>
      <c r="L2261" s="5">
        <v>54745000000</v>
      </c>
      <c r="M2261" s="5">
        <v>22105000000</v>
      </c>
      <c r="N2261" s="5">
        <v>9245000000</v>
      </c>
    </row>
    <row r="2262" spans="1:14" x14ac:dyDescent="0.25">
      <c r="A2262" s="3" t="s">
        <v>2273</v>
      </c>
      <c r="B2262" s="4">
        <v>5.88</v>
      </c>
      <c r="C2262" s="4">
        <v>0.16</v>
      </c>
      <c r="D2262" s="4">
        <v>0.01</v>
      </c>
      <c r="E2262" s="4">
        <v>-1.3593948682239881E-2</v>
      </c>
      <c r="F2262" s="3">
        <v>2260</v>
      </c>
      <c r="G2262" s="3">
        <v>2</v>
      </c>
      <c r="H2262" s="5">
        <v>14988216188.959999</v>
      </c>
      <c r="I2262" s="5">
        <v>15830216188.959999</v>
      </c>
      <c r="J2262" s="5">
        <v>4321000000</v>
      </c>
      <c r="K2262" s="5">
        <v>3479000000</v>
      </c>
      <c r="L2262" s="5">
        <v>13714000000</v>
      </c>
      <c r="M2262" s="5">
        <v>2690000000</v>
      </c>
      <c r="N2262" s="5">
        <v>1270000000</v>
      </c>
    </row>
    <row r="2263" spans="1:14" x14ac:dyDescent="0.25">
      <c r="A2263" s="3" t="s">
        <v>2274</v>
      </c>
      <c r="B2263" s="4">
        <v>5.18</v>
      </c>
      <c r="C2263" s="4">
        <v>0.01</v>
      </c>
      <c r="D2263" s="4">
        <v>0</v>
      </c>
      <c r="E2263" s="4">
        <v>-1.359603741523884E-2</v>
      </c>
      <c r="F2263" s="3">
        <v>2261</v>
      </c>
      <c r="G2263" s="3">
        <v>2</v>
      </c>
      <c r="H2263" s="5">
        <v>807309745.79999995</v>
      </c>
      <c r="I2263" s="5">
        <v>4263393745.8000002</v>
      </c>
      <c r="J2263" s="5">
        <v>3609715000</v>
      </c>
      <c r="K2263" s="5">
        <v>153631000</v>
      </c>
      <c r="L2263" s="5">
        <v>1579542000</v>
      </c>
      <c r="M2263" s="5">
        <v>823302000</v>
      </c>
      <c r="N2263" s="5">
        <v>14480000</v>
      </c>
    </row>
    <row r="2264" spans="1:14" x14ac:dyDescent="0.25">
      <c r="A2264" s="3" t="s">
        <v>2275</v>
      </c>
      <c r="B2264" s="4">
        <v>5.62</v>
      </c>
      <c r="C2264" s="4">
        <v>0.1</v>
      </c>
      <c r="D2264" s="4">
        <v>0.06</v>
      </c>
      <c r="E2264" s="4">
        <v>-1.359674584331508E-2</v>
      </c>
      <c r="F2264" s="3">
        <v>2262</v>
      </c>
      <c r="G2264" s="3">
        <v>2</v>
      </c>
      <c r="H2264" s="5">
        <v>4554135433.7299995</v>
      </c>
      <c r="I2264" s="5">
        <v>6321010433.7299995</v>
      </c>
      <c r="J2264" s="5">
        <v>2014178000</v>
      </c>
      <c r="K2264" s="5">
        <v>247303000</v>
      </c>
      <c r="L2264" s="5">
        <v>3057818000</v>
      </c>
      <c r="M2264" s="5">
        <v>1124676000</v>
      </c>
      <c r="N2264" s="5">
        <v>448353000</v>
      </c>
    </row>
    <row r="2265" spans="1:14" x14ac:dyDescent="0.25">
      <c r="A2265" s="3" t="s">
        <v>2276</v>
      </c>
      <c r="B2265" s="4">
        <v>5.62</v>
      </c>
      <c r="C2265" s="4">
        <v>0.1</v>
      </c>
      <c r="D2265" s="4">
        <v>0.05</v>
      </c>
      <c r="E2265" s="4">
        <v>-1.359867486989259E-2</v>
      </c>
      <c r="F2265" s="3">
        <v>2263</v>
      </c>
      <c r="G2265" s="3">
        <v>2</v>
      </c>
      <c r="H2265" s="5">
        <v>683033084.58000004</v>
      </c>
      <c r="I2265" s="5">
        <v>940337084.58000004</v>
      </c>
      <c r="J2265" s="5">
        <v>259507000</v>
      </c>
      <c r="K2265" s="5">
        <v>2203000</v>
      </c>
      <c r="L2265" s="5">
        <v>259022000</v>
      </c>
      <c r="M2265" s="5">
        <v>167462000</v>
      </c>
      <c r="N2265" s="5">
        <v>49286000</v>
      </c>
    </row>
    <row r="2266" spans="1:14" x14ac:dyDescent="0.25">
      <c r="A2266" s="3" t="s">
        <v>2277</v>
      </c>
      <c r="B2266" s="4">
        <v>-2.06</v>
      </c>
      <c r="C2266" s="4">
        <v>-1.51</v>
      </c>
      <c r="D2266" s="4">
        <v>-0.5</v>
      </c>
      <c r="E2266" s="4">
        <v>-1.3603332085627671E-2</v>
      </c>
      <c r="F2266" s="3">
        <v>2264</v>
      </c>
      <c r="G2266" s="3">
        <v>2</v>
      </c>
      <c r="H2266" s="5">
        <v>286475.8492</v>
      </c>
      <c r="I2266" s="5">
        <v>7331465.8491999991</v>
      </c>
      <c r="J2266" s="5">
        <v>8167150</v>
      </c>
      <c r="K2266" s="5">
        <v>1122160</v>
      </c>
      <c r="L2266" s="5">
        <v>14798150</v>
      </c>
      <c r="M2266" s="5">
        <v>-3560870</v>
      </c>
      <c r="N2266" s="5">
        <v>-7399620</v>
      </c>
    </row>
    <row r="2267" spans="1:14" x14ac:dyDescent="0.25">
      <c r="A2267" s="3" t="s">
        <v>2278</v>
      </c>
      <c r="B2267" s="4">
        <v>6.11</v>
      </c>
      <c r="C2267" s="4">
        <v>0.2</v>
      </c>
      <c r="D2267" s="4">
        <v>0.08</v>
      </c>
      <c r="E2267" s="4">
        <v>-1.360722279917229E-2</v>
      </c>
      <c r="F2267" s="3">
        <v>2265</v>
      </c>
      <c r="G2267" s="3">
        <v>2</v>
      </c>
      <c r="H2267" s="5">
        <v>3209155067.04</v>
      </c>
      <c r="I2267" s="5">
        <v>5592392067.04</v>
      </c>
      <c r="J2267" s="5">
        <v>3076451000</v>
      </c>
      <c r="K2267" s="5">
        <v>693214000</v>
      </c>
      <c r="L2267" s="5">
        <v>3101971000</v>
      </c>
      <c r="M2267" s="5">
        <v>915994000</v>
      </c>
      <c r="N2267" s="5">
        <v>599818000</v>
      </c>
    </row>
    <row r="2268" spans="1:14" x14ac:dyDescent="0.25">
      <c r="A2268" s="3" t="s">
        <v>2279</v>
      </c>
      <c r="B2268" s="4">
        <v>9.5399999999999991</v>
      </c>
      <c r="C2268" s="4">
        <v>0.93</v>
      </c>
      <c r="D2268" s="4">
        <v>0.13</v>
      </c>
      <c r="E2268" s="4">
        <v>-1.3611241908326891E-2</v>
      </c>
      <c r="F2268" s="3">
        <v>2266</v>
      </c>
      <c r="G2268" s="3">
        <v>2</v>
      </c>
      <c r="H2268" s="5">
        <v>10505897191.83</v>
      </c>
      <c r="I2268" s="5">
        <v>13618897191.83</v>
      </c>
      <c r="J2268" s="5">
        <v>3998000000</v>
      </c>
      <c r="K2268" s="5">
        <v>885000000</v>
      </c>
      <c r="L2268" s="5">
        <v>11980000000</v>
      </c>
      <c r="M2268" s="5">
        <v>1428000000</v>
      </c>
      <c r="N2268" s="5">
        <v>935000000</v>
      </c>
    </row>
    <row r="2269" spans="1:14" x14ac:dyDescent="0.25">
      <c r="A2269" s="3" t="s">
        <v>2280</v>
      </c>
      <c r="B2269" s="4">
        <v>5.75</v>
      </c>
      <c r="C2269" s="4">
        <v>0.12</v>
      </c>
      <c r="D2269" s="4">
        <v>0.09</v>
      </c>
      <c r="E2269" s="4">
        <v>-1.361363122361566E-2</v>
      </c>
      <c r="F2269" s="3">
        <v>2267</v>
      </c>
      <c r="G2269" s="3">
        <v>2</v>
      </c>
      <c r="H2269" s="5">
        <v>299059531.64999998</v>
      </c>
      <c r="I2269" s="5">
        <v>228096531.65000001</v>
      </c>
      <c r="J2269" s="5">
        <v>0</v>
      </c>
      <c r="K2269" s="5">
        <v>70963000</v>
      </c>
      <c r="L2269" s="5">
        <v>290290000</v>
      </c>
      <c r="M2269" s="5">
        <v>39661000</v>
      </c>
      <c r="N2269" s="5">
        <v>30320000</v>
      </c>
    </row>
    <row r="2270" spans="1:14" x14ac:dyDescent="0.25">
      <c r="A2270" s="3" t="s">
        <v>2281</v>
      </c>
      <c r="B2270" s="4">
        <v>5.27</v>
      </c>
      <c r="C2270" s="4">
        <v>0.02</v>
      </c>
      <c r="D2270" s="4">
        <v>0</v>
      </c>
      <c r="E2270" s="4">
        <v>-1.362284665949807E-2</v>
      </c>
      <c r="F2270" s="3">
        <v>2268</v>
      </c>
      <c r="G2270" s="3">
        <v>2</v>
      </c>
      <c r="H2270" s="5">
        <v>519050.5</v>
      </c>
      <c r="I2270" s="5">
        <v>145014050.5</v>
      </c>
      <c r="J2270" s="5">
        <v>145399000</v>
      </c>
      <c r="K2270" s="5">
        <v>904000</v>
      </c>
      <c r="L2270" s="5">
        <v>116625000</v>
      </c>
      <c r="M2270" s="5">
        <v>27514000</v>
      </c>
      <c r="N2270" s="5">
        <v>1097000</v>
      </c>
    </row>
    <row r="2271" spans="1:14" x14ac:dyDescent="0.25">
      <c r="A2271" s="3" t="s">
        <v>2282</v>
      </c>
      <c r="B2271" s="4">
        <v>4.25</v>
      </c>
      <c r="C2271" s="4">
        <v>-0.2</v>
      </c>
      <c r="D2271" s="4">
        <v>-7.0000000000000007E-2</v>
      </c>
      <c r="E2271" s="4">
        <v>-1.3640710218756791E-2</v>
      </c>
      <c r="F2271" s="3">
        <v>2269</v>
      </c>
      <c r="G2271" s="3">
        <v>2</v>
      </c>
      <c r="H2271" s="5">
        <v>953191134.40999997</v>
      </c>
      <c r="I2271" s="5">
        <v>2047391134.4100001</v>
      </c>
      <c r="J2271" s="5">
        <v>1109000000</v>
      </c>
      <c r="K2271" s="5">
        <v>14800000</v>
      </c>
      <c r="L2271" s="5">
        <v>2190900000</v>
      </c>
      <c r="M2271" s="5">
        <v>481600000</v>
      </c>
      <c r="N2271" s="5">
        <v>-215100000</v>
      </c>
    </row>
    <row r="2272" spans="1:14" x14ac:dyDescent="0.25">
      <c r="A2272" s="3" t="s">
        <v>2283</v>
      </c>
      <c r="B2272" s="4">
        <v>-1.82</v>
      </c>
      <c r="C2272" s="4">
        <v>-1.47</v>
      </c>
      <c r="D2272" s="4">
        <v>-0.53</v>
      </c>
      <c r="E2272" s="4">
        <v>-1.3642085674032221E-2</v>
      </c>
      <c r="F2272" s="3">
        <v>2270</v>
      </c>
      <c r="G2272" s="3">
        <v>2</v>
      </c>
      <c r="H2272" s="5">
        <v>8159827.0244000005</v>
      </c>
      <c r="I2272" s="5">
        <v>7116827.0244000005</v>
      </c>
      <c r="J2272" s="5">
        <v>924000</v>
      </c>
      <c r="K2272" s="5">
        <v>1967000</v>
      </c>
      <c r="L2272" s="5">
        <v>7760000</v>
      </c>
      <c r="M2272" s="5">
        <v>-3921000</v>
      </c>
      <c r="N2272" s="5">
        <v>-4374000</v>
      </c>
    </row>
    <row r="2273" spans="1:14" x14ac:dyDescent="0.25">
      <c r="A2273" s="3" t="s">
        <v>2284</v>
      </c>
      <c r="B2273" s="4">
        <v>-10.51</v>
      </c>
      <c r="C2273" s="4">
        <v>-3.24</v>
      </c>
      <c r="D2273" s="4">
        <v>-1.9</v>
      </c>
      <c r="E2273" s="4">
        <v>-1.3642111005949279E-2</v>
      </c>
      <c r="F2273" s="3">
        <v>2271</v>
      </c>
      <c r="G2273" s="3">
        <v>2</v>
      </c>
      <c r="H2273" s="5">
        <v>112718129.48</v>
      </c>
      <c r="I2273" s="5">
        <v>109604129.48</v>
      </c>
      <c r="J2273" s="5">
        <v>0</v>
      </c>
      <c r="K2273" s="5">
        <v>3114000</v>
      </c>
      <c r="L2273" s="5">
        <v>0</v>
      </c>
      <c r="M2273" s="5">
        <v>-10432000</v>
      </c>
      <c r="N2273" s="5">
        <v>-11443000</v>
      </c>
    </row>
    <row r="2274" spans="1:14" x14ac:dyDescent="0.25">
      <c r="A2274" s="3" t="s">
        <v>2285</v>
      </c>
      <c r="B2274" s="4">
        <v>0.13</v>
      </c>
      <c r="C2274" s="4">
        <v>-1.03</v>
      </c>
      <c r="D2274" s="4">
        <v>-0.87</v>
      </c>
      <c r="E2274" s="4">
        <v>-1.3643248979961361E-2</v>
      </c>
      <c r="F2274" s="3">
        <v>2272</v>
      </c>
      <c r="G2274" s="3">
        <v>2</v>
      </c>
      <c r="H2274" s="5">
        <v>200259.85500000001</v>
      </c>
      <c r="I2274" s="5">
        <v>-26830.14499999999</v>
      </c>
      <c r="J2274" s="5">
        <v>0</v>
      </c>
      <c r="K2274" s="5">
        <v>227090</v>
      </c>
      <c r="L2274" s="5">
        <v>0</v>
      </c>
      <c r="M2274" s="5">
        <v>-208090</v>
      </c>
      <c r="N2274" s="5">
        <v>-208310</v>
      </c>
    </row>
    <row r="2275" spans="1:14" x14ac:dyDescent="0.25">
      <c r="A2275" s="3" t="s">
        <v>2286</v>
      </c>
      <c r="B2275" s="4">
        <v>6.85</v>
      </c>
      <c r="C2275" s="4">
        <v>0.35</v>
      </c>
      <c r="D2275" s="4">
        <v>0.02</v>
      </c>
      <c r="E2275" s="4">
        <v>-1.364339407500419E-2</v>
      </c>
      <c r="F2275" s="3">
        <v>2273</v>
      </c>
      <c r="G2275" s="3">
        <v>2</v>
      </c>
      <c r="H2275" s="5">
        <v>2783022217.4400001</v>
      </c>
      <c r="I2275" s="5">
        <v>5307022217.4400005</v>
      </c>
      <c r="J2275" s="5">
        <v>2943000000</v>
      </c>
      <c r="K2275" s="5">
        <v>419000000</v>
      </c>
      <c r="L2275" s="5">
        <v>4317000000</v>
      </c>
      <c r="M2275" s="5">
        <v>775000000</v>
      </c>
      <c r="N2275" s="5">
        <v>91000000</v>
      </c>
    </row>
    <row r="2276" spans="1:14" x14ac:dyDescent="0.25">
      <c r="A2276" s="3" t="s">
        <v>2287</v>
      </c>
      <c r="B2276" s="4">
        <v>5.99</v>
      </c>
      <c r="C2276" s="4">
        <v>0.16</v>
      </c>
      <c r="D2276" s="4">
        <v>0.09</v>
      </c>
      <c r="E2276" s="4">
        <v>-1.364659773228769E-2</v>
      </c>
      <c r="F2276" s="3">
        <v>2274</v>
      </c>
      <c r="G2276" s="3">
        <v>2</v>
      </c>
      <c r="H2276" s="5">
        <v>3916968148.8000002</v>
      </c>
      <c r="I2276" s="5">
        <v>5009454148.8000002</v>
      </c>
      <c r="J2276" s="5">
        <v>1691679000</v>
      </c>
      <c r="K2276" s="5">
        <v>599193000</v>
      </c>
      <c r="L2276" s="5">
        <v>6930086000</v>
      </c>
      <c r="M2276" s="5">
        <v>836219000</v>
      </c>
      <c r="N2276" s="5">
        <v>655018000</v>
      </c>
    </row>
    <row r="2277" spans="1:14" x14ac:dyDescent="0.25">
      <c r="A2277" s="3" t="s">
        <v>2288</v>
      </c>
      <c r="B2277" s="4">
        <v>5.46</v>
      </c>
      <c r="C2277" s="4">
        <v>0.05</v>
      </c>
      <c r="D2277" s="4">
        <v>0.02</v>
      </c>
      <c r="E2277" s="4">
        <v>-1.364990269354416E-2</v>
      </c>
      <c r="F2277" s="3">
        <v>2275</v>
      </c>
      <c r="G2277" s="3">
        <v>2</v>
      </c>
      <c r="H2277" s="5">
        <v>368527637.92000002</v>
      </c>
      <c r="I2277" s="5">
        <v>268558637.92000002</v>
      </c>
      <c r="J2277" s="5">
        <v>483000</v>
      </c>
      <c r="K2277" s="5">
        <v>100452000</v>
      </c>
      <c r="L2277" s="5">
        <v>291256000</v>
      </c>
      <c r="M2277" s="5">
        <v>49227000</v>
      </c>
      <c r="N2277" s="5">
        <v>12504000</v>
      </c>
    </row>
    <row r="2278" spans="1:14" x14ac:dyDescent="0.25">
      <c r="A2278" s="3" t="s">
        <v>2289</v>
      </c>
      <c r="B2278" s="4">
        <v>8.74</v>
      </c>
      <c r="C2278" s="4">
        <v>0.75</v>
      </c>
      <c r="D2278" s="4">
        <v>0.04</v>
      </c>
      <c r="E2278" s="4">
        <v>-1.3653551618018501E-2</v>
      </c>
      <c r="F2278" s="3">
        <v>2276</v>
      </c>
      <c r="G2278" s="3">
        <v>2</v>
      </c>
      <c r="H2278" s="5">
        <v>1730331117.0799999</v>
      </c>
      <c r="I2278" s="5">
        <v>4749284117.0799999</v>
      </c>
      <c r="J2278" s="5">
        <v>3338165000</v>
      </c>
      <c r="K2278" s="5">
        <v>319212000</v>
      </c>
      <c r="L2278" s="5">
        <v>2246492000</v>
      </c>
      <c r="M2278" s="5">
        <v>543689000</v>
      </c>
      <c r="N2278" s="5">
        <v>194357000</v>
      </c>
    </row>
    <row r="2279" spans="1:14" x14ac:dyDescent="0.25">
      <c r="A2279" s="3" t="s">
        <v>2290</v>
      </c>
      <c r="B2279" s="4">
        <v>6.29</v>
      </c>
      <c r="C2279" s="4">
        <v>0.22</v>
      </c>
      <c r="D2279" s="4">
        <v>0.1</v>
      </c>
      <c r="E2279" s="4">
        <v>-1.365698323453576E-2</v>
      </c>
      <c r="F2279" s="3">
        <v>2277</v>
      </c>
      <c r="G2279" s="3">
        <v>2</v>
      </c>
      <c r="H2279" s="5">
        <v>1176790398.8699999</v>
      </c>
      <c r="I2279" s="5">
        <v>1627045398.8699999</v>
      </c>
      <c r="J2279" s="5">
        <v>601864000</v>
      </c>
      <c r="K2279" s="5">
        <v>151609000</v>
      </c>
      <c r="L2279" s="5">
        <v>731967000</v>
      </c>
      <c r="M2279" s="5">
        <v>258518000</v>
      </c>
      <c r="N2279" s="5">
        <v>159519000</v>
      </c>
    </row>
    <row r="2280" spans="1:14" x14ac:dyDescent="0.25">
      <c r="A2280" s="3" t="s">
        <v>2291</v>
      </c>
      <c r="B2280" s="4">
        <v>5.97</v>
      </c>
      <c r="C2280" s="4">
        <v>0.15</v>
      </c>
      <c r="D2280" s="4">
        <v>0.1</v>
      </c>
      <c r="E2280" s="4">
        <v>-1.366118390133049E-2</v>
      </c>
      <c r="F2280" s="3">
        <v>2278</v>
      </c>
      <c r="G2280" s="3">
        <v>2</v>
      </c>
      <c r="H2280" s="5">
        <v>5756981929.6700001</v>
      </c>
      <c r="I2280" s="5">
        <v>7415323929.6700001</v>
      </c>
      <c r="J2280" s="5">
        <v>2145493000</v>
      </c>
      <c r="K2280" s="5">
        <v>487151000</v>
      </c>
      <c r="L2280" s="5">
        <v>8168136000</v>
      </c>
      <c r="M2280" s="5">
        <v>1242448000</v>
      </c>
      <c r="N2280" s="5">
        <v>883309000</v>
      </c>
    </row>
    <row r="2281" spans="1:14" x14ac:dyDescent="0.25">
      <c r="A2281" s="3" t="s">
        <v>2292</v>
      </c>
      <c r="B2281" s="4">
        <v>5.0999999999999996</v>
      </c>
      <c r="C2281" s="4">
        <v>-0.03</v>
      </c>
      <c r="D2281" s="4">
        <v>-0.01</v>
      </c>
      <c r="E2281" s="4">
        <v>-1.366402722429756E-2</v>
      </c>
      <c r="F2281" s="3">
        <v>2279</v>
      </c>
      <c r="G2281" s="3">
        <v>2</v>
      </c>
      <c r="H2281" s="5">
        <v>81646807.019999996</v>
      </c>
      <c r="I2281" s="5">
        <v>219536807.02000001</v>
      </c>
      <c r="J2281" s="5">
        <v>143594000</v>
      </c>
      <c r="K2281" s="5">
        <v>5704000</v>
      </c>
      <c r="L2281" s="5">
        <v>403775000</v>
      </c>
      <c r="M2281" s="5">
        <v>43087000</v>
      </c>
      <c r="N2281" s="5">
        <v>-5360000</v>
      </c>
    </row>
    <row r="2282" spans="1:14" x14ac:dyDescent="0.25">
      <c r="A2282" s="3" t="s">
        <v>2293</v>
      </c>
      <c r="B2282" s="4">
        <v>5.44</v>
      </c>
      <c r="C2282" s="4">
        <v>0.04</v>
      </c>
      <c r="D2282" s="4">
        <v>0.03</v>
      </c>
      <c r="E2282" s="4">
        <v>-1.3664488862586959E-2</v>
      </c>
      <c r="F2282" s="3">
        <v>2280</v>
      </c>
      <c r="G2282" s="3">
        <v>2</v>
      </c>
      <c r="H2282" s="5">
        <v>816019444.24000001</v>
      </c>
      <c r="I2282" s="5">
        <v>798752444.24000001</v>
      </c>
      <c r="J2282" s="5">
        <v>0</v>
      </c>
      <c r="K2282" s="5">
        <v>17267000</v>
      </c>
      <c r="L2282" s="5">
        <v>963708000</v>
      </c>
      <c r="M2282" s="5">
        <v>146802000</v>
      </c>
      <c r="N2282" s="5">
        <v>26922000</v>
      </c>
    </row>
    <row r="2283" spans="1:14" x14ac:dyDescent="0.25">
      <c r="A2283" s="3" t="s">
        <v>2294</v>
      </c>
      <c r="B2283" s="4">
        <v>-4.28</v>
      </c>
      <c r="C2283" s="4">
        <v>-1.99</v>
      </c>
      <c r="D2283" s="4">
        <v>-0.8</v>
      </c>
      <c r="E2283" s="4">
        <v>-1.3674092354895639E-2</v>
      </c>
      <c r="F2283" s="3">
        <v>2281</v>
      </c>
      <c r="G2283" s="3">
        <v>2</v>
      </c>
      <c r="H2283" s="5">
        <v>325042074.72000003</v>
      </c>
      <c r="I2283" s="5">
        <v>303558074.72000003</v>
      </c>
      <c r="J2283" s="5">
        <v>33002000</v>
      </c>
      <c r="K2283" s="5">
        <v>54486000</v>
      </c>
      <c r="L2283" s="5">
        <v>4696000</v>
      </c>
      <c r="M2283" s="5">
        <v>-70995000</v>
      </c>
      <c r="N2283" s="5">
        <v>-96915000</v>
      </c>
    </row>
    <row r="2284" spans="1:14" x14ac:dyDescent="0.25">
      <c r="A2284" s="3" t="s">
        <v>2295</v>
      </c>
      <c r="B2284" s="4">
        <v>5.64</v>
      </c>
      <c r="C2284" s="4">
        <v>0.08</v>
      </c>
      <c r="D2284" s="4">
        <v>0.02</v>
      </c>
      <c r="E2284" s="4">
        <v>-1.3674627575048179E-2</v>
      </c>
      <c r="F2284" s="3">
        <v>2282</v>
      </c>
      <c r="G2284" s="3">
        <v>2</v>
      </c>
      <c r="H2284" s="5">
        <v>92656542</v>
      </c>
      <c r="I2284" s="5">
        <v>51595656542</v>
      </c>
      <c r="J2284" s="5">
        <v>52208000000</v>
      </c>
      <c r="K2284" s="5">
        <v>705000000</v>
      </c>
      <c r="L2284" s="5">
        <v>24419000000</v>
      </c>
      <c r="M2284" s="5">
        <v>9146000000</v>
      </c>
      <c r="N2284" s="5">
        <v>2712000000</v>
      </c>
    </row>
    <row r="2285" spans="1:14" x14ac:dyDescent="0.25">
      <c r="A2285" s="3" t="s">
        <v>2296</v>
      </c>
      <c r="B2285" s="4">
        <v>-7.34</v>
      </c>
      <c r="C2285" s="4">
        <v>-2.66</v>
      </c>
      <c r="D2285" s="4">
        <v>-0.59</v>
      </c>
      <c r="E2285" s="4">
        <v>-1.3675557523431E-2</v>
      </c>
      <c r="F2285" s="3">
        <v>2283</v>
      </c>
      <c r="G2285" s="3">
        <v>2</v>
      </c>
      <c r="H2285" s="5">
        <v>565280366.37</v>
      </c>
      <c r="I2285" s="5">
        <v>590999366.37</v>
      </c>
      <c r="J2285" s="5">
        <v>59504000</v>
      </c>
      <c r="K2285" s="5">
        <v>33785000</v>
      </c>
      <c r="L2285" s="5">
        <v>23612000</v>
      </c>
      <c r="M2285" s="5">
        <v>-80560000</v>
      </c>
      <c r="N2285" s="5">
        <v>-105511000</v>
      </c>
    </row>
    <row r="2286" spans="1:14" x14ac:dyDescent="0.25">
      <c r="A2286" s="3" t="s">
        <v>2297</v>
      </c>
      <c r="B2286" s="4">
        <v>6.03</v>
      </c>
      <c r="C2286" s="4">
        <v>0.16</v>
      </c>
      <c r="D2286" s="4">
        <v>0.06</v>
      </c>
      <c r="E2286" s="4">
        <v>-1.367714163480851E-2</v>
      </c>
      <c r="F2286" s="3">
        <v>2284</v>
      </c>
      <c r="G2286" s="3">
        <v>2</v>
      </c>
      <c r="H2286" s="5">
        <v>6968524082</v>
      </c>
      <c r="I2286" s="5">
        <v>11148524082</v>
      </c>
      <c r="J2286" s="5">
        <v>5017000000</v>
      </c>
      <c r="K2286" s="5">
        <v>837000000</v>
      </c>
      <c r="L2286" s="5">
        <v>9382000000</v>
      </c>
      <c r="M2286" s="5">
        <v>1849000000</v>
      </c>
      <c r="N2286" s="5">
        <v>905000000</v>
      </c>
    </row>
    <row r="2287" spans="1:14" x14ac:dyDescent="0.25">
      <c r="A2287" s="3" t="s">
        <v>2298</v>
      </c>
      <c r="B2287" s="4">
        <v>6.59</v>
      </c>
      <c r="C2287" s="4">
        <v>0.28000000000000003</v>
      </c>
      <c r="D2287" s="4">
        <v>0.05</v>
      </c>
      <c r="E2287" s="4">
        <v>-1.367894289624887E-2</v>
      </c>
      <c r="F2287" s="3">
        <v>2285</v>
      </c>
      <c r="G2287" s="3">
        <v>2</v>
      </c>
      <c r="H2287" s="5">
        <v>212109060</v>
      </c>
      <c r="I2287" s="5">
        <v>194611040</v>
      </c>
      <c r="J2287" s="5">
        <v>11171420</v>
      </c>
      <c r="K2287" s="5">
        <v>28669440</v>
      </c>
      <c r="L2287" s="5">
        <v>155142100</v>
      </c>
      <c r="M2287" s="5">
        <v>29547750</v>
      </c>
      <c r="N2287" s="5">
        <v>18358440</v>
      </c>
    </row>
    <row r="2288" spans="1:14" x14ac:dyDescent="0.25">
      <c r="A2288" s="3" t="s">
        <v>2299</v>
      </c>
      <c r="B2288" s="4">
        <v>5.75</v>
      </c>
      <c r="C2288" s="4">
        <v>0.1</v>
      </c>
      <c r="D2288" s="4">
        <v>0.05</v>
      </c>
      <c r="E2288" s="4">
        <v>-1.3679134543954599E-2</v>
      </c>
      <c r="F2288" s="3">
        <v>2286</v>
      </c>
      <c r="G2288" s="3">
        <v>2</v>
      </c>
      <c r="H2288" s="5">
        <v>737182219.67999995</v>
      </c>
      <c r="I2288" s="5">
        <v>2140903219.6800001</v>
      </c>
      <c r="J2288" s="5">
        <v>1747094000</v>
      </c>
      <c r="K2288" s="5">
        <v>343373000</v>
      </c>
      <c r="L2288" s="5">
        <v>804061000</v>
      </c>
      <c r="M2288" s="5">
        <v>372498000</v>
      </c>
      <c r="N2288" s="5">
        <v>176231000</v>
      </c>
    </row>
    <row r="2289" spans="1:14" x14ac:dyDescent="0.25">
      <c r="A2289" s="3" t="s">
        <v>2300</v>
      </c>
      <c r="B2289" s="4">
        <v>-0.6</v>
      </c>
      <c r="C2289" s="4">
        <v>-1.19</v>
      </c>
      <c r="D2289" s="4">
        <v>-1.01</v>
      </c>
      <c r="E2289" s="4">
        <v>-1.3680741048391121E-2</v>
      </c>
      <c r="F2289" s="3">
        <v>2287</v>
      </c>
      <c r="G2289" s="3">
        <v>2</v>
      </c>
      <c r="H2289" s="5">
        <v>14250680.831700001</v>
      </c>
      <c r="I2289" s="5">
        <v>11442680.831700001</v>
      </c>
      <c r="J2289" s="5">
        <v>0</v>
      </c>
      <c r="K2289" s="5">
        <v>2808000</v>
      </c>
      <c r="L2289" s="5">
        <v>20555000</v>
      </c>
      <c r="M2289" s="5">
        <v>-19101000</v>
      </c>
      <c r="N2289" s="5">
        <v>-48697000</v>
      </c>
    </row>
    <row r="2290" spans="1:14" x14ac:dyDescent="0.25">
      <c r="A2290" s="3" t="s">
        <v>2301</v>
      </c>
      <c r="B2290" s="4">
        <v>0.65</v>
      </c>
      <c r="C2290" s="4">
        <v>-0.95</v>
      </c>
      <c r="D2290" s="4">
        <v>-0.6</v>
      </c>
      <c r="E2290" s="4">
        <v>-1.368185510250107E-2</v>
      </c>
      <c r="F2290" s="3">
        <v>2288</v>
      </c>
      <c r="G2290" s="3">
        <v>2</v>
      </c>
      <c r="H2290" s="5">
        <v>110170489.90000001</v>
      </c>
      <c r="I2290" s="5">
        <v>-114616510.09999999</v>
      </c>
      <c r="J2290" s="5">
        <v>0</v>
      </c>
      <c r="K2290" s="5">
        <v>224787000</v>
      </c>
      <c r="L2290" s="5">
        <v>0</v>
      </c>
      <c r="M2290" s="5">
        <v>-175639000</v>
      </c>
      <c r="N2290" s="5">
        <v>-354277000</v>
      </c>
    </row>
    <row r="2291" spans="1:14" x14ac:dyDescent="0.25">
      <c r="A2291" s="3" t="s">
        <v>2302</v>
      </c>
      <c r="B2291" s="4">
        <v>5.66</v>
      </c>
      <c r="C2291" s="4">
        <v>0.08</v>
      </c>
      <c r="D2291" s="4">
        <v>0.04</v>
      </c>
      <c r="E2291" s="4">
        <v>-1.368314793328732E-2</v>
      </c>
      <c r="F2291" s="3">
        <v>2289</v>
      </c>
      <c r="G2291" s="3">
        <v>2</v>
      </c>
      <c r="H2291" s="5">
        <v>1909727522.5599999</v>
      </c>
      <c r="I2291" s="5">
        <v>3802225522.5599999</v>
      </c>
      <c r="J2291" s="5">
        <v>1968803000</v>
      </c>
      <c r="K2291" s="5">
        <v>76305000</v>
      </c>
      <c r="L2291" s="5">
        <v>3153963000</v>
      </c>
      <c r="M2291" s="5">
        <v>671871000</v>
      </c>
      <c r="N2291" s="5">
        <v>255612000</v>
      </c>
    </row>
    <row r="2292" spans="1:14" x14ac:dyDescent="0.25">
      <c r="A2292" s="3" t="s">
        <v>2303</v>
      </c>
      <c r="B2292" s="4">
        <v>5.43</v>
      </c>
      <c r="C2292" s="4">
        <v>0.03</v>
      </c>
      <c r="D2292" s="4">
        <v>0.01</v>
      </c>
      <c r="E2292" s="4">
        <v>-1.369105131705935E-2</v>
      </c>
      <c r="F2292" s="3">
        <v>2290</v>
      </c>
      <c r="G2292" s="3">
        <v>2</v>
      </c>
      <c r="H2292" s="5">
        <v>4126007133.5999999</v>
      </c>
      <c r="I2292" s="5">
        <v>3522007133.5999999</v>
      </c>
      <c r="J2292" s="5">
        <v>0</v>
      </c>
      <c r="K2292" s="5">
        <v>604000000</v>
      </c>
      <c r="L2292" s="5">
        <v>6703800000</v>
      </c>
      <c r="M2292" s="5">
        <v>648500000</v>
      </c>
      <c r="N2292" s="5">
        <v>61200000</v>
      </c>
    </row>
    <row r="2293" spans="1:14" x14ac:dyDescent="0.25">
      <c r="A2293" s="3" t="s">
        <v>2304</v>
      </c>
      <c r="B2293" s="4">
        <v>5.58</v>
      </c>
      <c r="C2293" s="4">
        <v>0.06</v>
      </c>
      <c r="D2293" s="4">
        <v>0.03</v>
      </c>
      <c r="E2293" s="4">
        <v>-1.369335052831713E-2</v>
      </c>
      <c r="F2293" s="3">
        <v>2291</v>
      </c>
      <c r="G2293" s="3">
        <v>2</v>
      </c>
      <c r="H2293" s="5">
        <v>891184199.91999996</v>
      </c>
      <c r="I2293" s="5">
        <v>1981584199.9200001</v>
      </c>
      <c r="J2293" s="5">
        <v>1299500000</v>
      </c>
      <c r="K2293" s="5">
        <v>209100000</v>
      </c>
      <c r="L2293" s="5">
        <v>2253700000</v>
      </c>
      <c r="M2293" s="5">
        <v>355300000</v>
      </c>
      <c r="N2293" s="5">
        <v>98600000</v>
      </c>
    </row>
    <row r="2294" spans="1:14" x14ac:dyDescent="0.25">
      <c r="A2294" s="3" t="s">
        <v>2305</v>
      </c>
      <c r="B2294" s="4">
        <v>-0.03</v>
      </c>
      <c r="C2294" s="4">
        <v>-1.1000000000000001</v>
      </c>
      <c r="D2294" s="4">
        <v>-0.63</v>
      </c>
      <c r="E2294" s="4">
        <v>-1.370018030004919E-2</v>
      </c>
      <c r="F2294" s="3">
        <v>2292</v>
      </c>
      <c r="G2294" s="3">
        <v>2</v>
      </c>
      <c r="H2294" s="5">
        <v>9347677.6699999999</v>
      </c>
      <c r="I2294" s="5">
        <v>2142677.67</v>
      </c>
      <c r="J2294" s="5">
        <v>0</v>
      </c>
      <c r="K2294" s="5">
        <v>7205000</v>
      </c>
      <c r="L2294" s="5">
        <v>7690000</v>
      </c>
      <c r="M2294" s="5">
        <v>-66436000</v>
      </c>
      <c r="N2294" s="5">
        <v>-63118000</v>
      </c>
    </row>
    <row r="2295" spans="1:14" x14ac:dyDescent="0.25">
      <c r="A2295" s="3" t="s">
        <v>2306</v>
      </c>
      <c r="B2295" s="4">
        <v>7.4</v>
      </c>
      <c r="C2295" s="4">
        <v>0.44</v>
      </c>
      <c r="D2295" s="4">
        <v>0.14000000000000001</v>
      </c>
      <c r="E2295" s="4">
        <v>-1.370060960628326E-2</v>
      </c>
      <c r="F2295" s="3">
        <v>2293</v>
      </c>
      <c r="G2295" s="3">
        <v>2</v>
      </c>
      <c r="H2295" s="5">
        <v>6721551104.1599998</v>
      </c>
      <c r="I2295" s="5">
        <v>8340551104.1599998</v>
      </c>
      <c r="J2295" s="5">
        <v>2400000000</v>
      </c>
      <c r="K2295" s="5">
        <v>781000000</v>
      </c>
      <c r="L2295" s="5">
        <v>3225000000</v>
      </c>
      <c r="M2295" s="5">
        <v>1127000000</v>
      </c>
      <c r="N2295" s="5">
        <v>731000000</v>
      </c>
    </row>
    <row r="2296" spans="1:14" x14ac:dyDescent="0.25">
      <c r="A2296" s="3" t="s">
        <v>2307</v>
      </c>
      <c r="B2296" s="4">
        <v>5.1100000000000003</v>
      </c>
      <c r="C2296" s="4">
        <v>-0.04</v>
      </c>
      <c r="D2296" s="4">
        <v>-0.02</v>
      </c>
      <c r="E2296" s="4">
        <v>-1.3701039063586599E-2</v>
      </c>
      <c r="F2296" s="3">
        <v>2294</v>
      </c>
      <c r="G2296" s="3">
        <v>2</v>
      </c>
      <c r="H2296" s="5">
        <v>597591527.88</v>
      </c>
      <c r="I2296" s="5">
        <v>785527527.88</v>
      </c>
      <c r="J2296" s="5">
        <v>200748000</v>
      </c>
      <c r="K2296" s="5">
        <v>12812000</v>
      </c>
      <c r="L2296" s="5">
        <v>1047511000</v>
      </c>
      <c r="M2296" s="5">
        <v>153779000</v>
      </c>
      <c r="N2296" s="5">
        <v>-29722000</v>
      </c>
    </row>
    <row r="2297" spans="1:14" x14ac:dyDescent="0.25">
      <c r="A2297" s="3" t="s">
        <v>2308</v>
      </c>
      <c r="B2297" s="4">
        <v>5.45</v>
      </c>
      <c r="C2297" s="4">
        <v>0.03</v>
      </c>
      <c r="D2297" s="4">
        <v>0.01</v>
      </c>
      <c r="E2297" s="4">
        <v>-1.3703429728453511E-2</v>
      </c>
      <c r="F2297" s="3">
        <v>2295</v>
      </c>
      <c r="G2297" s="3">
        <v>2</v>
      </c>
      <c r="H2297" s="5">
        <v>1426193702.9100001</v>
      </c>
      <c r="I2297" s="5">
        <v>1924093702.9100001</v>
      </c>
      <c r="J2297" s="5">
        <v>880800000</v>
      </c>
      <c r="K2297" s="5">
        <v>382900000</v>
      </c>
      <c r="L2297" s="5">
        <v>42168000000</v>
      </c>
      <c r="M2297" s="5">
        <v>353100000</v>
      </c>
      <c r="N2297" s="5">
        <v>67400000</v>
      </c>
    </row>
    <row r="2298" spans="1:14" x14ac:dyDescent="0.25">
      <c r="A2298" s="3" t="s">
        <v>2309</v>
      </c>
      <c r="B2298" s="4">
        <v>5.93</v>
      </c>
      <c r="C2298" s="4">
        <v>0.13</v>
      </c>
      <c r="D2298" s="4">
        <v>0.05</v>
      </c>
      <c r="E2298" s="4">
        <v>-1.370385942545862E-2</v>
      </c>
      <c r="F2298" s="3">
        <v>2296</v>
      </c>
      <c r="G2298" s="3">
        <v>2</v>
      </c>
      <c r="H2298" s="5">
        <v>1318961731.8</v>
      </c>
      <c r="I2298" s="5">
        <v>2763761731.8000002</v>
      </c>
      <c r="J2298" s="5">
        <v>1750900000</v>
      </c>
      <c r="K2298" s="5">
        <v>306100000</v>
      </c>
      <c r="L2298" s="5">
        <v>3240200000</v>
      </c>
      <c r="M2298" s="5">
        <v>465700000</v>
      </c>
      <c r="N2298" s="5">
        <v>204100000</v>
      </c>
    </row>
    <row r="2299" spans="1:14" x14ac:dyDescent="0.25">
      <c r="A2299" s="3" t="s">
        <v>2310</v>
      </c>
      <c r="B2299" s="4">
        <v>5.75</v>
      </c>
      <c r="C2299" s="4">
        <v>0.09</v>
      </c>
      <c r="D2299" s="4">
        <v>0.02</v>
      </c>
      <c r="E2299" s="4">
        <v>-1.371381523070157E-2</v>
      </c>
      <c r="F2299" s="3">
        <v>2297</v>
      </c>
      <c r="G2299" s="3">
        <v>2</v>
      </c>
      <c r="H2299" s="5">
        <v>4823634040.6800003</v>
      </c>
      <c r="I2299" s="5">
        <v>8610634040.6800003</v>
      </c>
      <c r="J2299" s="5">
        <v>4988000000</v>
      </c>
      <c r="K2299" s="5">
        <v>1201000000</v>
      </c>
      <c r="L2299" s="5">
        <v>11735000000</v>
      </c>
      <c r="M2299" s="5">
        <v>1498000000</v>
      </c>
      <c r="N2299" s="5">
        <v>395000000</v>
      </c>
    </row>
    <row r="2300" spans="1:14" x14ac:dyDescent="0.25">
      <c r="A2300" s="3" t="s">
        <v>2311</v>
      </c>
      <c r="B2300" s="4">
        <v>-0.11</v>
      </c>
      <c r="C2300" s="4">
        <v>-1.1299999999999999</v>
      </c>
      <c r="D2300" s="4">
        <v>-0.52</v>
      </c>
      <c r="E2300" s="4">
        <v>-1.371612818316338E-2</v>
      </c>
      <c r="F2300" s="3">
        <v>2298</v>
      </c>
      <c r="G2300" s="3">
        <v>2</v>
      </c>
      <c r="H2300" s="5">
        <v>5085388.7999999998</v>
      </c>
      <c r="I2300" s="5">
        <v>843388.79999999981</v>
      </c>
      <c r="J2300" s="5">
        <v>0</v>
      </c>
      <c r="K2300" s="5">
        <v>4242000</v>
      </c>
      <c r="L2300" s="5">
        <v>5045000</v>
      </c>
      <c r="M2300" s="5">
        <v>-7345000</v>
      </c>
      <c r="N2300" s="5">
        <v>-7038000</v>
      </c>
    </row>
    <row r="2301" spans="1:14" x14ac:dyDescent="0.25">
      <c r="A2301" s="3" t="s">
        <v>2312</v>
      </c>
      <c r="B2301" s="4">
        <v>5.77</v>
      </c>
      <c r="C2301" s="4">
        <v>0.09</v>
      </c>
      <c r="D2301" s="4">
        <v>0.03</v>
      </c>
      <c r="E2301" s="4">
        <v>-1.372426461551822E-2</v>
      </c>
      <c r="F2301" s="3">
        <v>2299</v>
      </c>
      <c r="G2301" s="3">
        <v>2</v>
      </c>
      <c r="H2301" s="5">
        <v>68834050</v>
      </c>
      <c r="I2301" s="5">
        <v>141190630</v>
      </c>
      <c r="J2301" s="5">
        <v>74157730</v>
      </c>
      <c r="K2301" s="5">
        <v>1801150</v>
      </c>
      <c r="L2301" s="5">
        <v>64664400</v>
      </c>
      <c r="M2301" s="5">
        <v>24467770</v>
      </c>
      <c r="N2301" s="5">
        <v>6514360</v>
      </c>
    </row>
    <row r="2302" spans="1:14" x14ac:dyDescent="0.25">
      <c r="A2302" s="3" t="s">
        <v>2313</v>
      </c>
      <c r="B2302" s="4">
        <v>5.73</v>
      </c>
      <c r="C2302" s="4">
        <v>0.08</v>
      </c>
      <c r="D2302" s="4">
        <v>0.05</v>
      </c>
      <c r="E2302" s="4">
        <v>-1.372454334658936E-2</v>
      </c>
      <c r="F2302" s="3">
        <v>2300</v>
      </c>
      <c r="G2302" s="3">
        <v>2</v>
      </c>
      <c r="H2302" s="5">
        <v>76629590.400000006</v>
      </c>
      <c r="I2302" s="5">
        <v>52184590.400000013</v>
      </c>
      <c r="J2302" s="5">
        <v>39477000</v>
      </c>
      <c r="K2302" s="5">
        <v>63922000</v>
      </c>
      <c r="L2302" s="5">
        <v>29646000</v>
      </c>
      <c r="M2302" s="5">
        <v>9111000</v>
      </c>
      <c r="N2302" s="5">
        <v>7097000</v>
      </c>
    </row>
    <row r="2303" spans="1:14" x14ac:dyDescent="0.25">
      <c r="A2303" s="3" t="s">
        <v>2314</v>
      </c>
      <c r="B2303" s="4">
        <v>5.58</v>
      </c>
      <c r="C2303" s="4">
        <v>0.05</v>
      </c>
      <c r="D2303" s="4">
        <v>0.01</v>
      </c>
      <c r="E2303" s="4">
        <v>-1.37261021884866E-2</v>
      </c>
      <c r="F2303" s="3">
        <v>2301</v>
      </c>
      <c r="G2303" s="3">
        <v>2</v>
      </c>
      <c r="H2303" s="5">
        <v>2233358322.5300002</v>
      </c>
      <c r="I2303" s="5">
        <v>4899958322.5300007</v>
      </c>
      <c r="J2303" s="5">
        <v>2842200000</v>
      </c>
      <c r="K2303" s="5">
        <v>175600000</v>
      </c>
      <c r="L2303" s="5">
        <v>6540100000</v>
      </c>
      <c r="M2303" s="5">
        <v>878100000</v>
      </c>
      <c r="N2303" s="5">
        <v>108600000</v>
      </c>
    </row>
    <row r="2304" spans="1:14" x14ac:dyDescent="0.25">
      <c r="A2304" s="3" t="s">
        <v>2315</v>
      </c>
      <c r="B2304" s="4">
        <v>6.66</v>
      </c>
      <c r="C2304" s="4">
        <v>0.27</v>
      </c>
      <c r="D2304" s="4">
        <v>0.17</v>
      </c>
      <c r="E2304" s="4">
        <v>-1.372801262421279E-2</v>
      </c>
      <c r="F2304" s="3">
        <v>2302</v>
      </c>
      <c r="G2304" s="3">
        <v>2</v>
      </c>
      <c r="H2304" s="5">
        <v>470015240.27999997</v>
      </c>
      <c r="I2304" s="5">
        <v>386855240.27999997</v>
      </c>
      <c r="J2304" s="5">
        <v>0</v>
      </c>
      <c r="K2304" s="5">
        <v>83160000</v>
      </c>
      <c r="L2304" s="5">
        <v>243179000</v>
      </c>
      <c r="M2304" s="5">
        <v>58049000</v>
      </c>
      <c r="N2304" s="5">
        <v>57082000</v>
      </c>
    </row>
    <row r="2305" spans="1:14" x14ac:dyDescent="0.25">
      <c r="A2305" s="3" t="s">
        <v>2316</v>
      </c>
      <c r="B2305" s="4">
        <v>9.11</v>
      </c>
      <c r="C2305" s="4">
        <v>0.79</v>
      </c>
      <c r="D2305" s="4">
        <v>0.19</v>
      </c>
      <c r="E2305" s="4">
        <v>-1.373804240208994E-2</v>
      </c>
      <c r="F2305" s="3">
        <v>2303</v>
      </c>
      <c r="G2305" s="3">
        <v>2</v>
      </c>
      <c r="H2305" s="5">
        <v>318789913.47000003</v>
      </c>
      <c r="I2305" s="5">
        <v>377259913.47000003</v>
      </c>
      <c r="J2305" s="5">
        <v>62703000</v>
      </c>
      <c r="K2305" s="5">
        <v>4233000</v>
      </c>
      <c r="L2305" s="5">
        <v>143060000</v>
      </c>
      <c r="M2305" s="5">
        <v>41434000</v>
      </c>
      <c r="N2305" s="5">
        <v>24783000</v>
      </c>
    </row>
    <row r="2306" spans="1:14" x14ac:dyDescent="0.25">
      <c r="A2306" s="3" t="s">
        <v>2317</v>
      </c>
      <c r="B2306" s="4">
        <v>5.32</v>
      </c>
      <c r="C2306" s="4">
        <v>-0.01</v>
      </c>
      <c r="D2306" s="4">
        <v>0</v>
      </c>
      <c r="E2306" s="4">
        <v>-1.3740473509026839E-2</v>
      </c>
      <c r="F2306" s="3">
        <v>2304</v>
      </c>
      <c r="G2306" s="3">
        <v>2</v>
      </c>
      <c r="H2306" s="5">
        <v>108429012.02</v>
      </c>
      <c r="I2306" s="5">
        <v>554873012.01999998</v>
      </c>
      <c r="J2306" s="5">
        <v>487365000</v>
      </c>
      <c r="K2306" s="5">
        <v>40921000</v>
      </c>
      <c r="L2306" s="5">
        <v>798894000</v>
      </c>
      <c r="M2306" s="5">
        <v>104240000</v>
      </c>
      <c r="N2306" s="5">
        <v>-2928000</v>
      </c>
    </row>
    <row r="2307" spans="1:14" x14ac:dyDescent="0.25">
      <c r="A2307" s="3" t="s">
        <v>2318</v>
      </c>
      <c r="B2307" s="4">
        <v>7.61</v>
      </c>
      <c r="C2307" s="4">
        <v>0.46</v>
      </c>
      <c r="D2307" s="4">
        <v>0.28000000000000003</v>
      </c>
      <c r="E2307" s="4">
        <v>-1.3745789339807879E-2</v>
      </c>
      <c r="F2307" s="3">
        <v>2305</v>
      </c>
      <c r="G2307" s="3">
        <v>2</v>
      </c>
      <c r="H2307" s="5">
        <v>552799665.08800006</v>
      </c>
      <c r="I2307" s="5">
        <v>537093665.08800006</v>
      </c>
      <c r="J2307" s="5">
        <v>1548000</v>
      </c>
      <c r="K2307" s="5">
        <v>17254000</v>
      </c>
      <c r="L2307" s="5">
        <v>231397000</v>
      </c>
      <c r="M2307" s="5">
        <v>70608000</v>
      </c>
      <c r="N2307" s="5">
        <v>62930000</v>
      </c>
    </row>
    <row r="2308" spans="1:14" x14ac:dyDescent="0.25">
      <c r="A2308" s="3" t="s">
        <v>2319</v>
      </c>
      <c r="B2308" s="4">
        <v>5.76</v>
      </c>
      <c r="C2308" s="4">
        <v>0.08</v>
      </c>
      <c r="D2308" s="4">
        <v>0.03</v>
      </c>
      <c r="E2308" s="4">
        <v>-1.37469690168356E-2</v>
      </c>
      <c r="F2308" s="3">
        <v>2306</v>
      </c>
      <c r="G2308" s="3">
        <v>2</v>
      </c>
      <c r="H2308" s="5">
        <v>1668932095.1199999</v>
      </c>
      <c r="I2308" s="5">
        <v>4676932095.1199999</v>
      </c>
      <c r="J2308" s="5">
        <v>3365300000</v>
      </c>
      <c r="K2308" s="5">
        <v>357300000</v>
      </c>
      <c r="L2308" s="5">
        <v>4246100000</v>
      </c>
      <c r="M2308" s="5">
        <v>811400000</v>
      </c>
      <c r="N2308" s="5">
        <v>341100000</v>
      </c>
    </row>
    <row r="2309" spans="1:14" x14ac:dyDescent="0.25">
      <c r="A2309" s="3" t="s">
        <v>2320</v>
      </c>
      <c r="B2309" s="4">
        <v>10.37</v>
      </c>
      <c r="C2309" s="4">
        <v>1.07</v>
      </c>
      <c r="D2309" s="4">
        <v>-0.03</v>
      </c>
      <c r="E2309" s="4">
        <v>-1.3751299908221999E-2</v>
      </c>
      <c r="F2309" s="3">
        <v>2307</v>
      </c>
      <c r="G2309" s="3">
        <v>2</v>
      </c>
      <c r="H2309" s="5">
        <v>3671587122.21</v>
      </c>
      <c r="I2309" s="5">
        <v>6107138122.21</v>
      </c>
      <c r="J2309" s="5">
        <v>2546103000</v>
      </c>
      <c r="K2309" s="5">
        <v>110552000</v>
      </c>
      <c r="L2309" s="5">
        <v>2793957000</v>
      </c>
      <c r="M2309" s="5">
        <v>589156000</v>
      </c>
      <c r="N2309" s="5">
        <v>-116886000</v>
      </c>
    </row>
    <row r="2310" spans="1:14" x14ac:dyDescent="0.25">
      <c r="A2310" s="3" t="s">
        <v>2321</v>
      </c>
      <c r="B2310" s="4">
        <v>-0.52</v>
      </c>
      <c r="C2310" s="4">
        <v>-1.21</v>
      </c>
      <c r="D2310" s="4">
        <v>-0.82</v>
      </c>
      <c r="E2310" s="4">
        <v>-1.375139040302405E-2</v>
      </c>
      <c r="F2310" s="3">
        <v>2308</v>
      </c>
      <c r="G2310" s="3">
        <v>2</v>
      </c>
      <c r="H2310" s="5">
        <v>143048111.94</v>
      </c>
      <c r="I2310" s="5">
        <v>61099111.939999998</v>
      </c>
      <c r="J2310" s="5">
        <v>0</v>
      </c>
      <c r="K2310" s="5">
        <v>81949000</v>
      </c>
      <c r="L2310" s="5">
        <v>0</v>
      </c>
      <c r="M2310" s="5">
        <v>-117657000</v>
      </c>
      <c r="N2310" s="5">
        <v>-116914000</v>
      </c>
    </row>
    <row r="2311" spans="1:14" x14ac:dyDescent="0.25">
      <c r="A2311" s="3" t="s">
        <v>2322</v>
      </c>
      <c r="B2311" s="4">
        <v>5.91</v>
      </c>
      <c r="C2311" s="4">
        <v>0.11</v>
      </c>
      <c r="D2311" s="4">
        <v>0.03</v>
      </c>
      <c r="E2311" s="4">
        <v>-1.375312628124839E-2</v>
      </c>
      <c r="F2311" s="3">
        <v>2309</v>
      </c>
      <c r="G2311" s="3">
        <v>2</v>
      </c>
      <c r="H2311" s="5">
        <v>553020532.35000002</v>
      </c>
      <c r="I2311" s="5">
        <v>1439920532.3499999</v>
      </c>
      <c r="J2311" s="5">
        <v>930800000</v>
      </c>
      <c r="K2311" s="5">
        <v>43900000</v>
      </c>
      <c r="L2311" s="5">
        <v>2092100000</v>
      </c>
      <c r="M2311" s="5">
        <v>243700000</v>
      </c>
      <c r="N2311" s="5">
        <v>52400000</v>
      </c>
    </row>
    <row r="2312" spans="1:14" x14ac:dyDescent="0.25">
      <c r="A2312" s="3" t="s">
        <v>2323</v>
      </c>
      <c r="B2312" s="4">
        <v>5.77</v>
      </c>
      <c r="C2312" s="4">
        <v>0.08</v>
      </c>
      <c r="D2312" s="4">
        <v>0.02</v>
      </c>
      <c r="E2312" s="4">
        <v>-1.375508724911018E-2</v>
      </c>
      <c r="F2312" s="3">
        <v>2310</v>
      </c>
      <c r="G2312" s="3">
        <v>2</v>
      </c>
      <c r="H2312" s="5">
        <v>867261343.98000002</v>
      </c>
      <c r="I2312" s="5">
        <v>2916261343.98</v>
      </c>
      <c r="J2312" s="5">
        <v>2110600000</v>
      </c>
      <c r="K2312" s="5">
        <v>61600000</v>
      </c>
      <c r="L2312" s="5">
        <v>1010600000</v>
      </c>
      <c r="M2312" s="5">
        <v>505000000</v>
      </c>
      <c r="N2312" s="5">
        <v>82100000</v>
      </c>
    </row>
    <row r="2313" spans="1:14" x14ac:dyDescent="0.25">
      <c r="A2313" s="3" t="s">
        <v>2324</v>
      </c>
      <c r="B2313" s="4">
        <v>-0.44</v>
      </c>
      <c r="C2313" s="4">
        <v>-1.19</v>
      </c>
      <c r="D2313" s="4">
        <v>-0.91</v>
      </c>
      <c r="E2313" s="4">
        <v>-1.3760478073769299E-2</v>
      </c>
      <c r="F2313" s="3">
        <v>2311</v>
      </c>
      <c r="G2313" s="3">
        <v>2</v>
      </c>
      <c r="H2313" s="5">
        <v>67474428.840000004</v>
      </c>
      <c r="I2313" s="5">
        <v>62474428.840000004</v>
      </c>
      <c r="J2313" s="5">
        <v>12567000</v>
      </c>
      <c r="K2313" s="5">
        <v>17567000</v>
      </c>
      <c r="L2313" s="5">
        <v>0</v>
      </c>
      <c r="M2313" s="5">
        <v>-140605000</v>
      </c>
      <c r="N2313" s="5">
        <v>-134850000</v>
      </c>
    </row>
    <row r="2314" spans="1:14" x14ac:dyDescent="0.25">
      <c r="A2314" s="3" t="s">
        <v>2325</v>
      </c>
      <c r="B2314" s="4">
        <v>5.59</v>
      </c>
      <c r="C2314" s="4">
        <v>0.04</v>
      </c>
      <c r="D2314" s="4">
        <v>0</v>
      </c>
      <c r="E2314" s="4">
        <v>-1.3763114027775639E-2</v>
      </c>
      <c r="F2314" s="3">
        <v>2312</v>
      </c>
      <c r="G2314" s="3">
        <v>2</v>
      </c>
      <c r="H2314" s="5">
        <v>97347834.459999993</v>
      </c>
      <c r="I2314" s="5">
        <v>83562834.459999993</v>
      </c>
      <c r="J2314" s="5">
        <v>9890000</v>
      </c>
      <c r="K2314" s="5">
        <v>23675000</v>
      </c>
      <c r="L2314" s="5">
        <v>208380000</v>
      </c>
      <c r="M2314" s="5">
        <v>14940000</v>
      </c>
      <c r="N2314" s="5">
        <v>592000</v>
      </c>
    </row>
    <row r="2315" spans="1:14" x14ac:dyDescent="0.25">
      <c r="A2315" s="3" t="s">
        <v>2326</v>
      </c>
      <c r="B2315" s="4">
        <v>0.26</v>
      </c>
      <c r="C2315" s="4">
        <v>-1.06</v>
      </c>
      <c r="D2315" s="4">
        <v>-0.63</v>
      </c>
      <c r="E2315" s="4">
        <v>-1.376409283720661E-2</v>
      </c>
      <c r="F2315" s="3">
        <v>2313</v>
      </c>
      <c r="G2315" s="3">
        <v>2</v>
      </c>
      <c r="H2315" s="5">
        <v>21297357</v>
      </c>
      <c r="I2315" s="5">
        <v>-16275643</v>
      </c>
      <c r="J2315" s="5">
        <v>0</v>
      </c>
      <c r="K2315" s="5">
        <v>37573000</v>
      </c>
      <c r="L2315" s="5">
        <v>0</v>
      </c>
      <c r="M2315" s="5">
        <v>-62067000</v>
      </c>
      <c r="N2315" s="5">
        <v>-64767000</v>
      </c>
    </row>
    <row r="2316" spans="1:14" x14ac:dyDescent="0.25">
      <c r="A2316" s="3" t="s">
        <v>2327</v>
      </c>
      <c r="B2316" s="4">
        <v>5.69</v>
      </c>
      <c r="C2316" s="4">
        <v>0.06</v>
      </c>
      <c r="D2316" s="4">
        <v>0.01</v>
      </c>
      <c r="E2316" s="4">
        <v>-1.3765289844139991E-2</v>
      </c>
      <c r="F2316" s="3">
        <v>2314</v>
      </c>
      <c r="G2316" s="3">
        <v>2</v>
      </c>
      <c r="H2316" s="5">
        <v>512977651.55000001</v>
      </c>
      <c r="I2316" s="5">
        <v>1354784651.55</v>
      </c>
      <c r="J2316" s="5">
        <v>1103565000</v>
      </c>
      <c r="K2316" s="5">
        <v>261758000</v>
      </c>
      <c r="L2316" s="5">
        <v>8731962000</v>
      </c>
      <c r="M2316" s="5">
        <v>237968000</v>
      </c>
      <c r="N2316" s="5">
        <v>20845000</v>
      </c>
    </row>
    <row r="2317" spans="1:14" x14ac:dyDescent="0.25">
      <c r="A2317" s="3" t="s">
        <v>2328</v>
      </c>
      <c r="B2317" s="4">
        <v>5.57</v>
      </c>
      <c r="C2317" s="4">
        <v>0.03</v>
      </c>
      <c r="D2317" s="4">
        <v>0.02</v>
      </c>
      <c r="E2317" s="4">
        <v>-1.377577117024093E-2</v>
      </c>
      <c r="F2317" s="3">
        <v>2315</v>
      </c>
      <c r="G2317" s="3">
        <v>2</v>
      </c>
      <c r="H2317" s="5">
        <v>844929923.30999994</v>
      </c>
      <c r="I2317" s="5">
        <v>911133923.30999994</v>
      </c>
      <c r="J2317" s="5">
        <v>199177000</v>
      </c>
      <c r="K2317" s="5">
        <v>132973000</v>
      </c>
      <c r="L2317" s="5">
        <v>1643939000</v>
      </c>
      <c r="M2317" s="5">
        <v>163653000</v>
      </c>
      <c r="N2317" s="5">
        <v>23538000</v>
      </c>
    </row>
    <row r="2318" spans="1:14" x14ac:dyDescent="0.25">
      <c r="A2318" s="3" t="s">
        <v>2329</v>
      </c>
      <c r="B2318" s="4">
        <v>5.62</v>
      </c>
      <c r="C2318" s="4">
        <v>0.04</v>
      </c>
      <c r="D2318" s="4">
        <v>0.02</v>
      </c>
      <c r="E2318" s="4">
        <v>-1.3777823591711849E-2</v>
      </c>
      <c r="F2318" s="3">
        <v>2316</v>
      </c>
      <c r="G2318" s="3">
        <v>2</v>
      </c>
      <c r="H2318" s="5">
        <v>1163474000</v>
      </c>
      <c r="I2318" s="5">
        <v>1893774000</v>
      </c>
      <c r="J2318" s="5">
        <v>870700000</v>
      </c>
      <c r="K2318" s="5">
        <v>140400000</v>
      </c>
      <c r="L2318" s="5">
        <v>2767100000</v>
      </c>
      <c r="M2318" s="5">
        <v>336900000</v>
      </c>
      <c r="N2318" s="5">
        <v>66400000</v>
      </c>
    </row>
    <row r="2319" spans="1:14" x14ac:dyDescent="0.25">
      <c r="A2319" s="3" t="s">
        <v>2330</v>
      </c>
      <c r="B2319" s="4">
        <v>6.84</v>
      </c>
      <c r="C2319" s="4">
        <v>0.3</v>
      </c>
      <c r="D2319" s="4">
        <v>0.03</v>
      </c>
      <c r="E2319" s="4">
        <v>-1.3779743877801891E-2</v>
      </c>
      <c r="F2319" s="3">
        <v>2317</v>
      </c>
      <c r="G2319" s="3">
        <v>2</v>
      </c>
      <c r="H2319" s="5">
        <v>12385108.850400001</v>
      </c>
      <c r="I2319" s="5">
        <v>48097108.850400001</v>
      </c>
      <c r="J2319" s="5">
        <v>36398000</v>
      </c>
      <c r="K2319" s="5">
        <v>686000</v>
      </c>
      <c r="L2319" s="5">
        <v>58496000</v>
      </c>
      <c r="M2319" s="5">
        <v>7033000</v>
      </c>
      <c r="N2319" s="5">
        <v>1884000</v>
      </c>
    </row>
    <row r="2320" spans="1:14" x14ac:dyDescent="0.25">
      <c r="A2320" s="3" t="s">
        <v>2331</v>
      </c>
      <c r="B2320" s="4">
        <v>5.87</v>
      </c>
      <c r="C2320" s="4">
        <v>0.09</v>
      </c>
      <c r="D2320" s="4">
        <v>0.06</v>
      </c>
      <c r="E2320" s="4">
        <v>-1.378036959275648E-2</v>
      </c>
      <c r="F2320" s="3">
        <v>2318</v>
      </c>
      <c r="G2320" s="3">
        <v>2</v>
      </c>
      <c r="H2320" s="5">
        <v>249392430.37</v>
      </c>
      <c r="I2320" s="5">
        <v>242858430.37</v>
      </c>
      <c r="J2320" s="5">
        <v>4048000</v>
      </c>
      <c r="K2320" s="5">
        <v>10582000</v>
      </c>
      <c r="L2320" s="5">
        <v>224257000</v>
      </c>
      <c r="M2320" s="5">
        <v>41378000</v>
      </c>
      <c r="N2320" s="5">
        <v>11265000</v>
      </c>
    </row>
    <row r="2321" spans="1:14" x14ac:dyDescent="0.25">
      <c r="A2321" s="3" t="s">
        <v>2332</v>
      </c>
      <c r="B2321" s="4">
        <v>-2.58</v>
      </c>
      <c r="C2321" s="4">
        <v>-1.7</v>
      </c>
      <c r="D2321" s="4">
        <v>-0.25</v>
      </c>
      <c r="E2321" s="4">
        <v>-1.3782246258216699E-2</v>
      </c>
      <c r="F2321" s="3">
        <v>2319</v>
      </c>
      <c r="G2321" s="3">
        <v>2</v>
      </c>
      <c r="H2321" s="5">
        <v>40682124.523450002</v>
      </c>
      <c r="I2321" s="5">
        <v>109753124.52345</v>
      </c>
      <c r="J2321" s="5">
        <v>71639000</v>
      </c>
      <c r="K2321" s="5">
        <v>2568000</v>
      </c>
      <c r="L2321" s="5">
        <v>68921000</v>
      </c>
      <c r="M2321" s="5">
        <v>-42544000</v>
      </c>
      <c r="N2321" s="5">
        <v>-64943000</v>
      </c>
    </row>
    <row r="2322" spans="1:14" x14ac:dyDescent="0.25">
      <c r="A2322" s="3" t="s">
        <v>2333</v>
      </c>
      <c r="B2322" s="4">
        <v>6.26</v>
      </c>
      <c r="C2322" s="4">
        <v>0.17</v>
      </c>
      <c r="D2322" s="4">
        <v>0.09</v>
      </c>
      <c r="E2322" s="4">
        <v>-1.3784812679094319E-2</v>
      </c>
      <c r="F2322" s="3">
        <v>2320</v>
      </c>
      <c r="G2322" s="3">
        <v>2</v>
      </c>
      <c r="H2322" s="5">
        <v>6860490000</v>
      </c>
      <c r="I2322" s="5">
        <v>7694490000</v>
      </c>
      <c r="J2322" s="5">
        <v>1831000000</v>
      </c>
      <c r="K2322" s="5">
        <v>997000000</v>
      </c>
      <c r="L2322" s="5">
        <v>7430000000</v>
      </c>
      <c r="M2322" s="5">
        <v>1230000000</v>
      </c>
      <c r="N2322" s="5">
        <v>647000000</v>
      </c>
    </row>
    <row r="2323" spans="1:14" x14ac:dyDescent="0.25">
      <c r="A2323" s="3" t="s">
        <v>2334</v>
      </c>
      <c r="B2323" s="4">
        <v>5.87</v>
      </c>
      <c r="C2323" s="4">
        <v>0.09</v>
      </c>
      <c r="D2323" s="4">
        <v>0.03</v>
      </c>
      <c r="E2323" s="4">
        <v>-1.3786156672488999E-2</v>
      </c>
      <c r="F2323" s="3">
        <v>2321</v>
      </c>
      <c r="G2323" s="3">
        <v>2</v>
      </c>
      <c r="H2323" s="5">
        <v>663677242.05999994</v>
      </c>
      <c r="I2323" s="5">
        <v>1178842242.0599999</v>
      </c>
      <c r="J2323" s="5">
        <v>598384000</v>
      </c>
      <c r="K2323" s="5">
        <v>83219000</v>
      </c>
      <c r="L2323" s="5">
        <v>1075739000</v>
      </c>
      <c r="M2323" s="5">
        <v>200975000</v>
      </c>
      <c r="N2323" s="5">
        <v>52903000</v>
      </c>
    </row>
    <row r="2324" spans="1:14" x14ac:dyDescent="0.25">
      <c r="A2324" s="3" t="s">
        <v>2335</v>
      </c>
      <c r="B2324" s="4">
        <v>-2.1800000000000002</v>
      </c>
      <c r="C2324" s="4">
        <v>-1.59</v>
      </c>
      <c r="D2324" s="4">
        <v>-0.64</v>
      </c>
      <c r="E2324" s="4">
        <v>-1.3787216845463491E-2</v>
      </c>
      <c r="F2324" s="3">
        <v>2322</v>
      </c>
      <c r="G2324" s="3">
        <v>2</v>
      </c>
      <c r="H2324" s="5">
        <v>508768799.25</v>
      </c>
      <c r="I2324" s="5">
        <v>374470799.25</v>
      </c>
      <c r="J2324" s="5">
        <v>24871000</v>
      </c>
      <c r="K2324" s="5">
        <v>159169000</v>
      </c>
      <c r="L2324" s="5">
        <v>1394964000</v>
      </c>
      <c r="M2324" s="5">
        <v>-171907000</v>
      </c>
      <c r="N2324" s="5">
        <v>-258795000</v>
      </c>
    </row>
    <row r="2325" spans="1:14" x14ac:dyDescent="0.25">
      <c r="A2325" s="3" t="s">
        <v>2336</v>
      </c>
      <c r="B2325" s="4">
        <v>6.3</v>
      </c>
      <c r="C2325" s="4">
        <v>0.18</v>
      </c>
      <c r="D2325" s="4">
        <v>0.05</v>
      </c>
      <c r="E2325" s="4">
        <v>-1.37883920011782E-2</v>
      </c>
      <c r="F2325" s="3">
        <v>2323</v>
      </c>
      <c r="G2325" s="3">
        <v>2</v>
      </c>
      <c r="H2325" s="5">
        <v>167349927658.41</v>
      </c>
      <c r="I2325" s="5">
        <v>307169927658.40997</v>
      </c>
      <c r="J2325" s="5">
        <v>144014000000</v>
      </c>
      <c r="K2325" s="5">
        <v>4194000000</v>
      </c>
      <c r="L2325" s="5">
        <v>134788000000</v>
      </c>
      <c r="M2325" s="5">
        <v>48791000000</v>
      </c>
      <c r="N2325" s="5">
        <v>17506000000</v>
      </c>
    </row>
    <row r="2326" spans="1:14" x14ac:dyDescent="0.25">
      <c r="A2326" s="3" t="s">
        <v>2337</v>
      </c>
      <c r="B2326" s="4">
        <v>6.74</v>
      </c>
      <c r="C2326" s="4">
        <v>0.26</v>
      </c>
      <c r="D2326" s="4">
        <v>0.23</v>
      </c>
      <c r="E2326" s="4">
        <v>-1.3794845717338839E-2</v>
      </c>
      <c r="F2326" s="3">
        <v>2324</v>
      </c>
      <c r="G2326" s="3">
        <v>2</v>
      </c>
      <c r="H2326" s="5">
        <v>918428978.55999994</v>
      </c>
      <c r="I2326" s="5">
        <v>763099978.55999994</v>
      </c>
      <c r="J2326" s="5">
        <v>0</v>
      </c>
      <c r="K2326" s="5">
        <v>155329000</v>
      </c>
      <c r="L2326" s="5">
        <v>394818000</v>
      </c>
      <c r="M2326" s="5">
        <v>113259000</v>
      </c>
      <c r="N2326" s="5">
        <v>181275000</v>
      </c>
    </row>
    <row r="2327" spans="1:14" x14ac:dyDescent="0.25">
      <c r="A2327" s="3" t="s">
        <v>2338</v>
      </c>
      <c r="B2327" s="4">
        <v>-0.88</v>
      </c>
      <c r="C2327" s="4">
        <v>-1.33</v>
      </c>
      <c r="D2327" s="4">
        <v>-0.44</v>
      </c>
      <c r="E2327" s="4">
        <v>-1.380199927215753E-2</v>
      </c>
      <c r="F2327" s="3">
        <v>2325</v>
      </c>
      <c r="G2327" s="3">
        <v>2</v>
      </c>
      <c r="H2327" s="5">
        <v>47539728</v>
      </c>
      <c r="I2327" s="5">
        <v>35993728</v>
      </c>
      <c r="J2327" s="5">
        <v>41124000</v>
      </c>
      <c r="K2327" s="5">
        <v>52670000</v>
      </c>
      <c r="L2327" s="5">
        <v>69300000</v>
      </c>
      <c r="M2327" s="5">
        <v>-40683000</v>
      </c>
      <c r="N2327" s="5">
        <v>-37841000</v>
      </c>
    </row>
    <row r="2328" spans="1:14" x14ac:dyDescent="0.25">
      <c r="A2328" s="3" t="s">
        <v>2339</v>
      </c>
      <c r="B2328" s="4">
        <v>5.86</v>
      </c>
      <c r="C2328" s="4">
        <v>0.08</v>
      </c>
      <c r="D2328" s="4">
        <v>0.05</v>
      </c>
      <c r="E2328" s="4">
        <v>-1.3805003020651369E-2</v>
      </c>
      <c r="F2328" s="3">
        <v>2326</v>
      </c>
      <c r="G2328" s="3">
        <v>2</v>
      </c>
      <c r="H2328" s="5">
        <v>1630174050.3599999</v>
      </c>
      <c r="I2328" s="5">
        <v>1439851050.3599999</v>
      </c>
      <c r="J2328" s="5">
        <v>0</v>
      </c>
      <c r="K2328" s="5">
        <v>190323000</v>
      </c>
      <c r="L2328" s="5">
        <v>4791730000</v>
      </c>
      <c r="M2328" s="5">
        <v>245590000</v>
      </c>
      <c r="N2328" s="5">
        <v>109941000</v>
      </c>
    </row>
    <row r="2329" spans="1:14" x14ac:dyDescent="0.25">
      <c r="A2329" s="3" t="s">
        <v>2340</v>
      </c>
      <c r="B2329" s="4">
        <v>5.52</v>
      </c>
      <c r="C2329" s="4">
        <v>0.01</v>
      </c>
      <c r="D2329" s="4">
        <v>0</v>
      </c>
      <c r="E2329" s="4">
        <v>-1.380647040893947E-2</v>
      </c>
      <c r="F2329" s="3">
        <v>2327</v>
      </c>
      <c r="G2329" s="3">
        <v>2</v>
      </c>
      <c r="H2329" s="5">
        <v>482262542.06</v>
      </c>
      <c r="I2329" s="5">
        <v>2203733542.0599999</v>
      </c>
      <c r="J2329" s="5">
        <v>1781198000</v>
      </c>
      <c r="K2329" s="5">
        <v>59727000</v>
      </c>
      <c r="L2329" s="5">
        <v>2198233000</v>
      </c>
      <c r="M2329" s="5">
        <v>399253000</v>
      </c>
      <c r="N2329" s="5">
        <v>12808000</v>
      </c>
    </row>
    <row r="2330" spans="1:14" x14ac:dyDescent="0.25">
      <c r="A2330" s="3" t="s">
        <v>2341</v>
      </c>
      <c r="B2330" s="4">
        <v>7.09</v>
      </c>
      <c r="C2330" s="4">
        <v>0.33</v>
      </c>
      <c r="D2330" s="4">
        <v>0.24</v>
      </c>
      <c r="E2330" s="4">
        <v>-1.380728364105783E-2</v>
      </c>
      <c r="F2330" s="3">
        <v>2328</v>
      </c>
      <c r="G2330" s="3">
        <v>2</v>
      </c>
      <c r="H2330" s="5">
        <v>1378186375.3</v>
      </c>
      <c r="I2330" s="5">
        <v>1489810375.3</v>
      </c>
      <c r="J2330" s="5">
        <v>142068000</v>
      </c>
      <c r="K2330" s="5">
        <v>30444000</v>
      </c>
      <c r="L2330" s="5">
        <v>263162000</v>
      </c>
      <c r="M2330" s="5">
        <v>210040000</v>
      </c>
      <c r="N2330" s="5">
        <v>183644000</v>
      </c>
    </row>
    <row r="2331" spans="1:14" x14ac:dyDescent="0.25">
      <c r="A2331" s="3" t="s">
        <v>2342</v>
      </c>
      <c r="B2331" s="4">
        <v>6.47</v>
      </c>
      <c r="C2331" s="4">
        <v>0.21</v>
      </c>
      <c r="D2331" s="4">
        <v>0.02</v>
      </c>
      <c r="E2331" s="4">
        <v>-1.3812714756717651E-2</v>
      </c>
      <c r="F2331" s="3">
        <v>2329</v>
      </c>
      <c r="G2331" s="3">
        <v>2</v>
      </c>
      <c r="H2331" s="5">
        <v>6042103323.5200005</v>
      </c>
      <c r="I2331" s="5">
        <v>7427103323.5200005</v>
      </c>
      <c r="J2331" s="5">
        <v>3171000000</v>
      </c>
      <c r="K2331" s="5">
        <v>1786000000</v>
      </c>
      <c r="L2331" s="5">
        <v>15057000000</v>
      </c>
      <c r="M2331" s="5">
        <v>1148000000</v>
      </c>
      <c r="N2331" s="5">
        <v>251000000</v>
      </c>
    </row>
    <row r="2332" spans="1:14" x14ac:dyDescent="0.25">
      <c r="A2332" s="3" t="s">
        <v>2343</v>
      </c>
      <c r="B2332" s="4">
        <v>4.09</v>
      </c>
      <c r="C2332" s="4">
        <v>-0.28999999999999998</v>
      </c>
      <c r="D2332" s="4">
        <v>-0.13</v>
      </c>
      <c r="E2332" s="4">
        <v>-1.3813299550198711E-2</v>
      </c>
      <c r="F2332" s="3">
        <v>2330</v>
      </c>
      <c r="G2332" s="3">
        <v>2</v>
      </c>
      <c r="H2332" s="5">
        <v>8430.4627</v>
      </c>
      <c r="I2332" s="5">
        <v>148890.4627</v>
      </c>
      <c r="J2332" s="5">
        <v>140460</v>
      </c>
      <c r="K2332" s="5">
        <v>0</v>
      </c>
      <c r="L2332" s="5">
        <v>544820</v>
      </c>
      <c r="M2332" s="5">
        <v>36410</v>
      </c>
      <c r="N2332" s="5">
        <v>-61090</v>
      </c>
    </row>
    <row r="2333" spans="1:14" x14ac:dyDescent="0.25">
      <c r="A2333" s="3" t="s">
        <v>2344</v>
      </c>
      <c r="B2333" s="4">
        <v>5.54</v>
      </c>
      <c r="C2333" s="4">
        <v>0.01</v>
      </c>
      <c r="D2333" s="4">
        <v>0.01</v>
      </c>
      <c r="E2333" s="4">
        <v>-1.381691979375612E-2</v>
      </c>
      <c r="F2333" s="3">
        <v>2331</v>
      </c>
      <c r="G2333" s="3">
        <v>2</v>
      </c>
      <c r="H2333" s="5">
        <v>2957953.59</v>
      </c>
      <c r="I2333" s="5">
        <v>4130513.59</v>
      </c>
      <c r="J2333" s="5">
        <v>2701570</v>
      </c>
      <c r="K2333" s="5">
        <v>1529010</v>
      </c>
      <c r="L2333" s="5">
        <v>5147020</v>
      </c>
      <c r="M2333" s="5">
        <v>745840</v>
      </c>
      <c r="N2333" s="5">
        <v>90190</v>
      </c>
    </row>
    <row r="2334" spans="1:14" x14ac:dyDescent="0.25">
      <c r="A2334" s="3" t="s">
        <v>2345</v>
      </c>
      <c r="B2334" s="4">
        <v>6.9</v>
      </c>
      <c r="C2334" s="4">
        <v>0.28999999999999998</v>
      </c>
      <c r="D2334" s="4">
        <v>0.16</v>
      </c>
      <c r="E2334" s="4">
        <v>-1.3820695373491241E-2</v>
      </c>
      <c r="F2334" s="3">
        <v>2332</v>
      </c>
      <c r="G2334" s="3">
        <v>2</v>
      </c>
      <c r="H2334" s="5">
        <v>3891305147.27</v>
      </c>
      <c r="I2334" s="5">
        <v>3544744147.27</v>
      </c>
      <c r="J2334" s="5">
        <v>566253000</v>
      </c>
      <c r="K2334" s="5">
        <v>912814000</v>
      </c>
      <c r="L2334" s="5">
        <v>1533910000</v>
      </c>
      <c r="M2334" s="5">
        <v>513726000</v>
      </c>
      <c r="N2334" s="5">
        <v>312442000</v>
      </c>
    </row>
    <row r="2335" spans="1:14" x14ac:dyDescent="0.25">
      <c r="A2335" s="3" t="s">
        <v>2346</v>
      </c>
      <c r="B2335" s="4">
        <v>5.97</v>
      </c>
      <c r="C2335" s="4">
        <v>0.1</v>
      </c>
      <c r="D2335" s="4">
        <v>0.02</v>
      </c>
      <c r="E2335" s="4">
        <v>-1.3821084149022819E-2</v>
      </c>
      <c r="F2335" s="3">
        <v>2333</v>
      </c>
      <c r="G2335" s="3">
        <v>2</v>
      </c>
      <c r="H2335" s="5">
        <v>733753467.29999995</v>
      </c>
      <c r="I2335" s="5">
        <v>1178745467.3</v>
      </c>
      <c r="J2335" s="5">
        <v>484635000</v>
      </c>
      <c r="K2335" s="5">
        <v>39643000</v>
      </c>
      <c r="L2335" s="5">
        <v>3483684000</v>
      </c>
      <c r="M2335" s="5">
        <v>197326000</v>
      </c>
      <c r="N2335" s="5">
        <v>46379000</v>
      </c>
    </row>
    <row r="2336" spans="1:14" x14ac:dyDescent="0.25">
      <c r="A2336" s="3" t="s">
        <v>2347</v>
      </c>
      <c r="B2336" s="4">
        <v>6.28</v>
      </c>
      <c r="C2336" s="4">
        <v>0.16</v>
      </c>
      <c r="D2336" s="4">
        <v>0.11</v>
      </c>
      <c r="E2336" s="4">
        <v>-1.382222664434792E-2</v>
      </c>
      <c r="F2336" s="3">
        <v>2334</v>
      </c>
      <c r="G2336" s="3">
        <v>2</v>
      </c>
      <c r="H2336" s="5">
        <v>2857054839.5999999</v>
      </c>
      <c r="I2336" s="5">
        <v>3217982839.5999999</v>
      </c>
      <c r="J2336" s="5">
        <v>415146000</v>
      </c>
      <c r="K2336" s="5">
        <v>54218000</v>
      </c>
      <c r="L2336" s="5">
        <v>650971000</v>
      </c>
      <c r="M2336" s="5">
        <v>512243000</v>
      </c>
      <c r="N2336" s="5">
        <v>360106000</v>
      </c>
    </row>
    <row r="2337" spans="1:14" x14ac:dyDescent="0.25">
      <c r="A2337" s="3" t="s">
        <v>2348</v>
      </c>
      <c r="B2337" s="4">
        <v>5.84</v>
      </c>
      <c r="C2337" s="4">
        <v>7.0000000000000007E-2</v>
      </c>
      <c r="D2337" s="4">
        <v>0.04</v>
      </c>
      <c r="E2337" s="4">
        <v>-1.3823447242849181E-2</v>
      </c>
      <c r="F2337" s="3">
        <v>2335</v>
      </c>
      <c r="G2337" s="3">
        <v>2</v>
      </c>
      <c r="H2337" s="5">
        <v>6864954846.3900003</v>
      </c>
      <c r="I2337" s="5">
        <v>8435154846.3899994</v>
      </c>
      <c r="J2337" s="5">
        <v>2236800000</v>
      </c>
      <c r="K2337" s="5">
        <v>666600000</v>
      </c>
      <c r="L2337" s="5">
        <v>10836900000</v>
      </c>
      <c r="M2337" s="5">
        <v>1445200000</v>
      </c>
      <c r="N2337" s="5">
        <v>517700000</v>
      </c>
    </row>
    <row r="2338" spans="1:14" x14ac:dyDescent="0.25">
      <c r="A2338" s="3" t="s">
        <v>2349</v>
      </c>
      <c r="B2338" s="4">
        <v>-1.69</v>
      </c>
      <c r="C2338" s="4">
        <v>-1.51</v>
      </c>
      <c r="D2338" s="4">
        <v>-0.48</v>
      </c>
      <c r="E2338" s="4">
        <v>-1.3828474643264531E-2</v>
      </c>
      <c r="F2338" s="3">
        <v>2336</v>
      </c>
      <c r="G2338" s="3">
        <v>2</v>
      </c>
      <c r="H2338" s="5">
        <v>77436231.359999999</v>
      </c>
      <c r="I2338" s="5">
        <v>40690231.359999999</v>
      </c>
      <c r="J2338" s="5">
        <v>0</v>
      </c>
      <c r="K2338" s="5">
        <v>36746000</v>
      </c>
      <c r="L2338" s="5">
        <v>1017000</v>
      </c>
      <c r="M2338" s="5">
        <v>-24080000</v>
      </c>
      <c r="N2338" s="5">
        <v>-18462000</v>
      </c>
    </row>
    <row r="2339" spans="1:14" x14ac:dyDescent="0.25">
      <c r="A2339" s="3" t="s">
        <v>2350</v>
      </c>
      <c r="B2339" s="4">
        <v>-1.53</v>
      </c>
      <c r="C2339" s="4">
        <v>0.32</v>
      </c>
      <c r="D2339" s="4">
        <v>-27.38</v>
      </c>
      <c r="E2339" s="4">
        <v>-1.3829053344262741E-2</v>
      </c>
      <c r="F2339" s="3">
        <v>2337</v>
      </c>
      <c r="G2339" s="3">
        <v>2</v>
      </c>
      <c r="H2339" s="5">
        <v>2688.2148379999999</v>
      </c>
      <c r="I2339" s="5">
        <v>3049208.214838</v>
      </c>
      <c r="J2339" s="5">
        <v>3119910</v>
      </c>
      <c r="K2339" s="5">
        <v>73390</v>
      </c>
      <c r="L2339" s="5">
        <v>0</v>
      </c>
      <c r="M2339" s="5">
        <v>-1986500</v>
      </c>
      <c r="N2339" s="5">
        <v>-3544620</v>
      </c>
    </row>
    <row r="2340" spans="1:14" x14ac:dyDescent="0.25">
      <c r="A2340" s="3" t="s">
        <v>2351</v>
      </c>
      <c r="B2340" s="4">
        <v>-0.31</v>
      </c>
      <c r="C2340" s="4">
        <v>-1.21</v>
      </c>
      <c r="D2340" s="4">
        <v>-0.56000000000000005</v>
      </c>
      <c r="E2340" s="4">
        <v>-1.383120903164752E-2</v>
      </c>
      <c r="F2340" s="3">
        <v>2338</v>
      </c>
      <c r="G2340" s="3">
        <v>2</v>
      </c>
      <c r="H2340" s="5">
        <v>1014022.73</v>
      </c>
      <c r="I2340" s="5">
        <v>77910022.730000004</v>
      </c>
      <c r="J2340" s="5">
        <v>83290000</v>
      </c>
      <c r="K2340" s="5">
        <v>6394000</v>
      </c>
      <c r="L2340" s="5">
        <v>886000</v>
      </c>
      <c r="M2340" s="5">
        <v>-251776000</v>
      </c>
      <c r="N2340" s="5">
        <v>-302021000</v>
      </c>
    </row>
    <row r="2341" spans="1:14" x14ac:dyDescent="0.25">
      <c r="A2341" s="3" t="s">
        <v>2352</v>
      </c>
      <c r="B2341" s="4">
        <v>5.76</v>
      </c>
      <c r="C2341" s="4">
        <v>0.05</v>
      </c>
      <c r="D2341" s="4">
        <v>0.02</v>
      </c>
      <c r="E2341" s="4">
        <v>-1.383557886445648E-2</v>
      </c>
      <c r="F2341" s="3">
        <v>2339</v>
      </c>
      <c r="G2341" s="3">
        <v>2</v>
      </c>
      <c r="H2341" s="5">
        <v>1001402697.62</v>
      </c>
      <c r="I2341" s="5">
        <v>1997402697.6199999</v>
      </c>
      <c r="J2341" s="5">
        <v>1070000000</v>
      </c>
      <c r="K2341" s="5">
        <v>74000000</v>
      </c>
      <c r="L2341" s="5">
        <v>1016000000</v>
      </c>
      <c r="M2341" s="5">
        <v>347000000</v>
      </c>
      <c r="N2341" s="5">
        <v>70000000</v>
      </c>
    </row>
    <row r="2342" spans="1:14" x14ac:dyDescent="0.25">
      <c r="A2342" s="3" t="s">
        <v>2353</v>
      </c>
      <c r="B2342" s="4">
        <v>5.19</v>
      </c>
      <c r="C2342" s="4">
        <v>-7.0000000000000007E-2</v>
      </c>
      <c r="D2342" s="4">
        <v>-0.04</v>
      </c>
      <c r="E2342" s="4">
        <v>-1.38410915833616E-2</v>
      </c>
      <c r="F2342" s="3">
        <v>2340</v>
      </c>
      <c r="G2342" s="3">
        <v>2</v>
      </c>
      <c r="H2342" s="5">
        <v>126110010.84</v>
      </c>
      <c r="I2342" s="5">
        <v>158157870.84</v>
      </c>
      <c r="J2342" s="5">
        <v>46058250</v>
      </c>
      <c r="K2342" s="5">
        <v>14010390</v>
      </c>
      <c r="L2342" s="5">
        <v>272751970</v>
      </c>
      <c r="M2342" s="5">
        <v>30449010</v>
      </c>
      <c r="N2342" s="5">
        <v>-8529220</v>
      </c>
    </row>
    <row r="2343" spans="1:14" x14ac:dyDescent="0.25">
      <c r="A2343" s="3" t="s">
        <v>2354</v>
      </c>
      <c r="B2343" s="4">
        <v>5.93</v>
      </c>
      <c r="C2343" s="4">
        <v>0.08</v>
      </c>
      <c r="D2343" s="4">
        <v>7.0000000000000007E-2</v>
      </c>
      <c r="E2343" s="4">
        <v>-1.38444694073759E-2</v>
      </c>
      <c r="F2343" s="3">
        <v>2341</v>
      </c>
      <c r="G2343" s="3">
        <v>2</v>
      </c>
      <c r="H2343" s="5">
        <v>720000616.63999999</v>
      </c>
      <c r="I2343" s="5">
        <v>758485616.63999999</v>
      </c>
      <c r="J2343" s="5">
        <v>82175000</v>
      </c>
      <c r="K2343" s="5">
        <v>43690000</v>
      </c>
      <c r="L2343" s="5">
        <v>423016000</v>
      </c>
      <c r="M2343" s="5">
        <v>127926000</v>
      </c>
      <c r="N2343" s="5">
        <v>76401000</v>
      </c>
    </row>
    <row r="2344" spans="1:14" x14ac:dyDescent="0.25">
      <c r="A2344" s="3" t="s">
        <v>2355</v>
      </c>
      <c r="B2344" s="4">
        <v>5.78</v>
      </c>
      <c r="C2344" s="4">
        <v>0.05</v>
      </c>
      <c r="D2344" s="4">
        <v>0.02</v>
      </c>
      <c r="E2344" s="4">
        <v>-1.384795727585064E-2</v>
      </c>
      <c r="F2344" s="3">
        <v>2342</v>
      </c>
      <c r="G2344" s="3">
        <v>2</v>
      </c>
      <c r="H2344" s="5">
        <v>61316764.530000001</v>
      </c>
      <c r="I2344" s="5">
        <v>61826764.530000001</v>
      </c>
      <c r="J2344" s="5">
        <v>21912000</v>
      </c>
      <c r="K2344" s="5">
        <v>21402000</v>
      </c>
      <c r="L2344" s="5">
        <v>188321000</v>
      </c>
      <c r="M2344" s="5">
        <v>10690000</v>
      </c>
      <c r="N2344" s="5">
        <v>3356000</v>
      </c>
    </row>
    <row r="2345" spans="1:14" x14ac:dyDescent="0.25">
      <c r="A2345" s="3" t="s">
        <v>2356</v>
      </c>
      <c r="B2345" s="4">
        <v>6.78</v>
      </c>
      <c r="C2345" s="4">
        <v>0.26</v>
      </c>
      <c r="D2345" s="4">
        <v>0.04</v>
      </c>
      <c r="E2345" s="4">
        <v>-1.3856254045099759E-2</v>
      </c>
      <c r="F2345" s="3">
        <v>2343</v>
      </c>
      <c r="G2345" s="3">
        <v>2</v>
      </c>
      <c r="H2345" s="5">
        <v>3000556673.5500002</v>
      </c>
      <c r="I2345" s="5">
        <v>3750556673.5500002</v>
      </c>
      <c r="J2345" s="5">
        <v>977000000</v>
      </c>
      <c r="K2345" s="5">
        <v>227000000</v>
      </c>
      <c r="L2345" s="5">
        <v>6230000000</v>
      </c>
      <c r="M2345" s="5">
        <v>553000000</v>
      </c>
      <c r="N2345" s="5">
        <v>165000000</v>
      </c>
    </row>
    <row r="2346" spans="1:14" x14ac:dyDescent="0.25">
      <c r="A2346" s="3" t="s">
        <v>2357</v>
      </c>
      <c r="B2346" s="4">
        <v>0.22</v>
      </c>
      <c r="C2346" s="4">
        <v>-1.1000000000000001</v>
      </c>
      <c r="D2346" s="4">
        <v>-0.69</v>
      </c>
      <c r="E2346" s="4">
        <v>-1.386648460194116E-2</v>
      </c>
      <c r="F2346" s="3">
        <v>2344</v>
      </c>
      <c r="G2346" s="3">
        <v>2</v>
      </c>
      <c r="H2346" s="5">
        <v>3608.6468</v>
      </c>
      <c r="I2346" s="5">
        <v>-1707251.3532</v>
      </c>
      <c r="J2346" s="5">
        <v>794590</v>
      </c>
      <c r="K2346" s="5">
        <v>2505450</v>
      </c>
      <c r="L2346" s="5">
        <v>4041020</v>
      </c>
      <c r="M2346" s="5">
        <v>-7742270</v>
      </c>
      <c r="N2346" s="5">
        <v>-12527430</v>
      </c>
    </row>
    <row r="2347" spans="1:14" x14ac:dyDescent="0.25">
      <c r="A2347" s="3" t="s">
        <v>2358</v>
      </c>
      <c r="B2347" s="4">
        <v>6.57</v>
      </c>
      <c r="C2347" s="4">
        <v>0.21</v>
      </c>
      <c r="D2347" s="4">
        <v>0.06</v>
      </c>
      <c r="E2347" s="4">
        <v>-1.3866890707378411E-2</v>
      </c>
      <c r="F2347" s="3">
        <v>2345</v>
      </c>
      <c r="G2347" s="3">
        <v>2</v>
      </c>
      <c r="H2347" s="5">
        <v>2311791638.8699999</v>
      </c>
      <c r="I2347" s="5">
        <v>2296284638.8699999</v>
      </c>
      <c r="J2347" s="5">
        <v>482009000</v>
      </c>
      <c r="K2347" s="5">
        <v>497516000</v>
      </c>
      <c r="L2347" s="5">
        <v>2661161000</v>
      </c>
      <c r="M2347" s="5">
        <v>349270000</v>
      </c>
      <c r="N2347" s="5">
        <v>147468000</v>
      </c>
    </row>
    <row r="2348" spans="1:14" x14ac:dyDescent="0.25">
      <c r="A2348" s="3" t="s">
        <v>2359</v>
      </c>
      <c r="B2348" s="4">
        <v>6.89</v>
      </c>
      <c r="C2348" s="4">
        <v>0.27</v>
      </c>
      <c r="D2348" s="4">
        <v>0.18</v>
      </c>
      <c r="E2348" s="4">
        <v>-1.386843532866807E-2</v>
      </c>
      <c r="F2348" s="3">
        <v>2346</v>
      </c>
      <c r="G2348" s="3">
        <v>2</v>
      </c>
      <c r="H2348" s="5">
        <v>352635333.60000002</v>
      </c>
      <c r="I2348" s="5">
        <v>311010733.60000002</v>
      </c>
      <c r="J2348" s="5">
        <v>0</v>
      </c>
      <c r="K2348" s="5">
        <v>41624600</v>
      </c>
      <c r="L2348" s="5">
        <v>151095130</v>
      </c>
      <c r="M2348" s="5">
        <v>45116270</v>
      </c>
      <c r="N2348" s="5">
        <v>43177730</v>
      </c>
    </row>
    <row r="2349" spans="1:14" x14ac:dyDescent="0.25">
      <c r="A2349" s="3" t="s">
        <v>2360</v>
      </c>
      <c r="B2349" s="4">
        <v>-0.35</v>
      </c>
      <c r="C2349" s="4">
        <v>-1.25</v>
      </c>
      <c r="D2349" s="4">
        <v>-0.28999999999999998</v>
      </c>
      <c r="E2349" s="4">
        <v>-1.386994291932438E-2</v>
      </c>
      <c r="F2349" s="3">
        <v>2347</v>
      </c>
      <c r="G2349" s="3">
        <v>2</v>
      </c>
      <c r="H2349" s="5">
        <v>1200783.2</v>
      </c>
      <c r="I2349" s="5">
        <v>6981703.1999999993</v>
      </c>
      <c r="J2349" s="5">
        <v>14463730</v>
      </c>
      <c r="K2349" s="5">
        <v>8682810</v>
      </c>
      <c r="L2349" s="5">
        <v>42537110</v>
      </c>
      <c r="M2349" s="5">
        <v>-20188500</v>
      </c>
      <c r="N2349" s="5">
        <v>-16107390</v>
      </c>
    </row>
    <row r="2350" spans="1:14" x14ac:dyDescent="0.25">
      <c r="A2350" s="3" t="s">
        <v>2361</v>
      </c>
      <c r="B2350" s="4">
        <v>6.01</v>
      </c>
      <c r="C2350" s="4">
        <v>0.09</v>
      </c>
      <c r="D2350" s="4">
        <v>0.02</v>
      </c>
      <c r="E2350" s="4">
        <v>-1.387473457882559E-2</v>
      </c>
      <c r="F2350" s="3">
        <v>2348</v>
      </c>
      <c r="G2350" s="3">
        <v>2</v>
      </c>
      <c r="H2350" s="5">
        <v>816462606.54999995</v>
      </c>
      <c r="I2350" s="5">
        <v>2312580606.5500002</v>
      </c>
      <c r="J2350" s="5">
        <v>1530517000</v>
      </c>
      <c r="K2350" s="5">
        <v>34399000</v>
      </c>
      <c r="L2350" s="5">
        <v>2121761000</v>
      </c>
      <c r="M2350" s="5">
        <v>384740000</v>
      </c>
      <c r="N2350" s="5">
        <v>52802000</v>
      </c>
    </row>
    <row r="2351" spans="1:14" x14ac:dyDescent="0.25">
      <c r="A2351" s="3" t="s">
        <v>2362</v>
      </c>
      <c r="B2351" s="4">
        <v>5.87</v>
      </c>
      <c r="C2351" s="4">
        <v>0.06</v>
      </c>
      <c r="D2351" s="4">
        <v>0.02</v>
      </c>
      <c r="E2351" s="4">
        <v>-1.3874766520109881E-2</v>
      </c>
      <c r="F2351" s="3">
        <v>2349</v>
      </c>
      <c r="G2351" s="3">
        <v>2</v>
      </c>
      <c r="H2351" s="5">
        <v>16184173515.84</v>
      </c>
      <c r="I2351" s="5">
        <v>30338173515.84</v>
      </c>
      <c r="J2351" s="5">
        <v>16343000000</v>
      </c>
      <c r="K2351" s="5">
        <v>2189000000</v>
      </c>
      <c r="L2351" s="5">
        <v>42964000000</v>
      </c>
      <c r="M2351" s="5">
        <v>5169000000</v>
      </c>
      <c r="N2351" s="5">
        <v>1116000000</v>
      </c>
    </row>
    <row r="2352" spans="1:14" x14ac:dyDescent="0.25">
      <c r="A2352" s="3" t="s">
        <v>2363</v>
      </c>
      <c r="B2352" s="4">
        <v>6.9</v>
      </c>
      <c r="C2352" s="4">
        <v>0.27</v>
      </c>
      <c r="D2352" s="4">
        <v>0.1</v>
      </c>
      <c r="E2352" s="4">
        <v>-1.389005674698519E-2</v>
      </c>
      <c r="F2352" s="3">
        <v>2350</v>
      </c>
      <c r="G2352" s="3">
        <v>2</v>
      </c>
      <c r="H2352" s="5">
        <v>810961702.72721601</v>
      </c>
      <c r="I2352" s="5">
        <v>1407265082.727216</v>
      </c>
      <c r="J2352" s="5">
        <v>645647040</v>
      </c>
      <c r="K2352" s="5">
        <v>49343660</v>
      </c>
      <c r="L2352" s="5">
        <v>393229830</v>
      </c>
      <c r="M2352" s="5">
        <v>204079210</v>
      </c>
      <c r="N2352" s="5">
        <v>108863270</v>
      </c>
    </row>
    <row r="2353" spans="1:14" x14ac:dyDescent="0.25">
      <c r="A2353" s="3" t="s">
        <v>2364</v>
      </c>
      <c r="B2353" s="4">
        <v>6.37</v>
      </c>
      <c r="C2353" s="4">
        <v>0.16</v>
      </c>
      <c r="D2353" s="4">
        <v>0.04</v>
      </c>
      <c r="E2353" s="4">
        <v>-1.389143268166416E-2</v>
      </c>
      <c r="F2353" s="3">
        <v>2351</v>
      </c>
      <c r="G2353" s="3">
        <v>2</v>
      </c>
      <c r="H2353" s="5">
        <v>25183930275</v>
      </c>
      <c r="I2353" s="5">
        <v>25821604275</v>
      </c>
      <c r="J2353" s="5">
        <v>4330341000</v>
      </c>
      <c r="K2353" s="5">
        <v>3692667000</v>
      </c>
      <c r="L2353" s="5">
        <v>16620763000</v>
      </c>
      <c r="M2353" s="5">
        <v>4054921000</v>
      </c>
      <c r="N2353" s="5">
        <v>2747022000</v>
      </c>
    </row>
    <row r="2354" spans="1:14" x14ac:dyDescent="0.25">
      <c r="A2354" s="3" t="s">
        <v>2365</v>
      </c>
      <c r="B2354" s="4">
        <v>5.9</v>
      </c>
      <c r="C2354" s="4">
        <v>0.06</v>
      </c>
      <c r="D2354" s="4">
        <v>0.02</v>
      </c>
      <c r="E2354" s="4">
        <v>-1.389333413720111E-2</v>
      </c>
      <c r="F2354" s="3">
        <v>2352</v>
      </c>
      <c r="G2354" s="3">
        <v>2</v>
      </c>
      <c r="H2354" s="5">
        <v>9601093621.6800003</v>
      </c>
      <c r="I2354" s="5">
        <v>11668093621.68</v>
      </c>
      <c r="J2354" s="5">
        <v>4161000000</v>
      </c>
      <c r="K2354" s="5">
        <v>2094000000</v>
      </c>
      <c r="L2354" s="5">
        <v>14086000000</v>
      </c>
      <c r="M2354" s="5">
        <v>1976000000</v>
      </c>
      <c r="N2354" s="5">
        <v>338000000</v>
      </c>
    </row>
    <row r="2355" spans="1:14" x14ac:dyDescent="0.25">
      <c r="A2355" s="3" t="s">
        <v>2366</v>
      </c>
      <c r="B2355" s="4">
        <v>6.59</v>
      </c>
      <c r="C2355" s="4">
        <v>0.2</v>
      </c>
      <c r="D2355" s="4">
        <v>0.12</v>
      </c>
      <c r="E2355" s="4">
        <v>-1.3896588566321991E-2</v>
      </c>
      <c r="F2355" s="3">
        <v>2353</v>
      </c>
      <c r="G2355" s="3">
        <v>2</v>
      </c>
      <c r="H2355" s="5">
        <v>12881587950</v>
      </c>
      <c r="I2355" s="5">
        <v>14411467950</v>
      </c>
      <c r="J2355" s="5">
        <v>2832919000</v>
      </c>
      <c r="K2355" s="5">
        <v>1303039000</v>
      </c>
      <c r="L2355" s="5">
        <v>10846740000</v>
      </c>
      <c r="M2355" s="5">
        <v>2185229000</v>
      </c>
      <c r="N2355" s="5">
        <v>1571195000</v>
      </c>
    </row>
    <row r="2356" spans="1:14" x14ac:dyDescent="0.25">
      <c r="A2356" s="3" t="s">
        <v>2367</v>
      </c>
      <c r="B2356" s="4">
        <v>-1.1399999999999999</v>
      </c>
      <c r="C2356" s="4">
        <v>-1.4</v>
      </c>
      <c r="D2356" s="4">
        <v>-0.73</v>
      </c>
      <c r="E2356" s="4">
        <v>-1.3899276943882389E-2</v>
      </c>
      <c r="F2356" s="3">
        <v>2354</v>
      </c>
      <c r="G2356" s="3">
        <v>2</v>
      </c>
      <c r="H2356" s="5">
        <v>18236681.010000002</v>
      </c>
      <c r="I2356" s="5">
        <v>11976681.01</v>
      </c>
      <c r="J2356" s="5">
        <v>0</v>
      </c>
      <c r="K2356" s="5">
        <v>6260000</v>
      </c>
      <c r="L2356" s="5">
        <v>15031000</v>
      </c>
      <c r="M2356" s="5">
        <v>-10471000</v>
      </c>
      <c r="N2356" s="5">
        <v>-11136000</v>
      </c>
    </row>
    <row r="2357" spans="1:14" x14ac:dyDescent="0.25">
      <c r="A2357" s="3" t="s">
        <v>2368</v>
      </c>
      <c r="B2357" s="4">
        <v>-0.73</v>
      </c>
      <c r="C2357" s="4">
        <v>-1.31</v>
      </c>
      <c r="D2357" s="4">
        <v>-0.77</v>
      </c>
      <c r="E2357" s="4">
        <v>-1.390070802064247E-2</v>
      </c>
      <c r="F2357" s="3">
        <v>2355</v>
      </c>
      <c r="G2357" s="3">
        <v>2</v>
      </c>
      <c r="H2357" s="5">
        <v>33107173.98</v>
      </c>
      <c r="I2357" s="5">
        <v>27903533.98</v>
      </c>
      <c r="J2357" s="5">
        <v>3694330</v>
      </c>
      <c r="K2357" s="5">
        <v>8897970</v>
      </c>
      <c r="L2357" s="5">
        <v>1322410</v>
      </c>
      <c r="M2357" s="5">
        <v>-38017920</v>
      </c>
      <c r="N2357" s="5">
        <v>-34105310</v>
      </c>
    </row>
    <row r="2358" spans="1:14" x14ac:dyDescent="0.25">
      <c r="A2358" s="3" t="s">
        <v>2369</v>
      </c>
      <c r="B2358" s="4">
        <v>1</v>
      </c>
      <c r="C2358" s="4">
        <v>-0.97</v>
      </c>
      <c r="D2358" s="4">
        <v>-0.42</v>
      </c>
      <c r="E2358" s="4">
        <v>-1.392154203753259E-2</v>
      </c>
      <c r="F2358" s="3">
        <v>2356</v>
      </c>
      <c r="G2358" s="3">
        <v>2</v>
      </c>
      <c r="H2358" s="5">
        <v>37.667580999999998</v>
      </c>
      <c r="I2358" s="5">
        <v>-246962.33241900001</v>
      </c>
      <c r="J2358" s="5">
        <v>60000</v>
      </c>
      <c r="K2358" s="5">
        <v>307000</v>
      </c>
      <c r="L2358" s="5">
        <v>3045000</v>
      </c>
      <c r="M2358" s="5">
        <v>-246000</v>
      </c>
      <c r="N2358" s="5">
        <v>-344000</v>
      </c>
    </row>
    <row r="2359" spans="1:14" x14ac:dyDescent="0.25">
      <c r="A2359" s="3" t="s">
        <v>2370</v>
      </c>
      <c r="B2359" s="4">
        <v>5.52</v>
      </c>
      <c r="C2359" s="4">
        <v>-0.03</v>
      </c>
      <c r="D2359" s="4">
        <v>-0.02</v>
      </c>
      <c r="E2359" s="4">
        <v>-1.392590289015231E-2</v>
      </c>
      <c r="F2359" s="3">
        <v>2357</v>
      </c>
      <c r="G2359" s="3">
        <v>2</v>
      </c>
      <c r="H2359" s="5">
        <v>12433285901.25</v>
      </c>
      <c r="I2359" s="5">
        <v>25745685901.25</v>
      </c>
      <c r="J2359" s="5">
        <v>14047200000</v>
      </c>
      <c r="K2359" s="5">
        <v>734800000</v>
      </c>
      <c r="L2359" s="5">
        <v>14739300000</v>
      </c>
      <c r="M2359" s="5">
        <v>4667900000</v>
      </c>
      <c r="N2359" s="5">
        <v>-634200000</v>
      </c>
    </row>
    <row r="2360" spans="1:14" x14ac:dyDescent="0.25">
      <c r="A2360" s="3" t="s">
        <v>2371</v>
      </c>
      <c r="B2360" s="4">
        <v>-0.77</v>
      </c>
      <c r="C2360" s="4">
        <v>-1.3</v>
      </c>
      <c r="D2360" s="4">
        <v>-1.18</v>
      </c>
      <c r="E2360" s="4">
        <v>-1.3926147680517441E-2</v>
      </c>
      <c r="F2360" s="3">
        <v>2358</v>
      </c>
      <c r="G2360" s="3">
        <v>2</v>
      </c>
      <c r="H2360" s="5">
        <v>3043460.9243999999</v>
      </c>
      <c r="I2360" s="5">
        <v>3041520.9243999999</v>
      </c>
      <c r="J2360" s="5">
        <v>0</v>
      </c>
      <c r="K2360" s="5">
        <v>1940</v>
      </c>
      <c r="L2360" s="5">
        <v>0</v>
      </c>
      <c r="M2360" s="5">
        <v>-3940190</v>
      </c>
      <c r="N2360" s="5">
        <v>-8026460</v>
      </c>
    </row>
    <row r="2361" spans="1:14" x14ac:dyDescent="0.25">
      <c r="A2361" s="3" t="s">
        <v>2372</v>
      </c>
      <c r="B2361" s="4">
        <v>3.85</v>
      </c>
      <c r="C2361" s="4">
        <v>-0.38</v>
      </c>
      <c r="D2361" s="4">
        <v>-0.14000000000000001</v>
      </c>
      <c r="E2361" s="4">
        <v>-1.392673010317648E-2</v>
      </c>
      <c r="F2361" s="3">
        <v>2359</v>
      </c>
      <c r="G2361" s="3">
        <v>2</v>
      </c>
      <c r="H2361" s="5">
        <v>128632931.25</v>
      </c>
      <c r="I2361" s="5">
        <v>185161931.25</v>
      </c>
      <c r="J2361" s="5">
        <v>70818000</v>
      </c>
      <c r="K2361" s="5">
        <v>14289000</v>
      </c>
      <c r="L2361" s="5">
        <v>642851000</v>
      </c>
      <c r="M2361" s="5">
        <v>48039000</v>
      </c>
      <c r="N2361" s="5">
        <v>-94452000</v>
      </c>
    </row>
    <row r="2362" spans="1:14" x14ac:dyDescent="0.25">
      <c r="A2362" s="3" t="s">
        <v>2373</v>
      </c>
      <c r="B2362" s="4">
        <v>-2.93</v>
      </c>
      <c r="C2362" s="4">
        <v>-1.75</v>
      </c>
      <c r="D2362" s="4">
        <v>-1.39</v>
      </c>
      <c r="E2362" s="4">
        <v>-1.3930001123726939E-2</v>
      </c>
      <c r="F2362" s="3">
        <v>2360</v>
      </c>
      <c r="G2362" s="3">
        <v>2</v>
      </c>
      <c r="H2362" s="5">
        <v>48608088.75</v>
      </c>
      <c r="I2362" s="5">
        <v>44422088.75</v>
      </c>
      <c r="J2362" s="5">
        <v>172000</v>
      </c>
      <c r="K2362" s="5">
        <v>4358000</v>
      </c>
      <c r="L2362" s="5">
        <v>7402000</v>
      </c>
      <c r="M2362" s="5">
        <v>-15147000</v>
      </c>
      <c r="N2362" s="5">
        <v>-21495000</v>
      </c>
    </row>
    <row r="2363" spans="1:14" x14ac:dyDescent="0.25">
      <c r="A2363" s="3" t="s">
        <v>2374</v>
      </c>
      <c r="B2363" s="4">
        <v>5.87</v>
      </c>
      <c r="C2363" s="4">
        <v>0.04</v>
      </c>
      <c r="D2363" s="4">
        <v>0.03</v>
      </c>
      <c r="E2363" s="4">
        <v>-1.393062470756129E-2</v>
      </c>
      <c r="F2363" s="3">
        <v>2361</v>
      </c>
      <c r="G2363" s="3">
        <v>2</v>
      </c>
      <c r="H2363" s="5">
        <v>82724964.659999996</v>
      </c>
      <c r="I2363" s="5">
        <v>54982964.659999996</v>
      </c>
      <c r="J2363" s="5">
        <v>0</v>
      </c>
      <c r="K2363" s="5">
        <v>27742000</v>
      </c>
      <c r="L2363" s="5">
        <v>198943000</v>
      </c>
      <c r="M2363" s="5">
        <v>9373000</v>
      </c>
      <c r="N2363" s="5">
        <v>3402000</v>
      </c>
    </row>
    <row r="2364" spans="1:14" x14ac:dyDescent="0.25">
      <c r="A2364" s="3" t="s">
        <v>2375</v>
      </c>
      <c r="B2364" s="4">
        <v>6.02</v>
      </c>
      <c r="C2364" s="4">
        <v>7.0000000000000007E-2</v>
      </c>
      <c r="D2364" s="4">
        <v>0.06</v>
      </c>
      <c r="E2364" s="4">
        <v>-1.3930994892241561E-2</v>
      </c>
      <c r="F2364" s="3">
        <v>2362</v>
      </c>
      <c r="G2364" s="3">
        <v>2</v>
      </c>
      <c r="H2364" s="5">
        <v>265128952.80000001</v>
      </c>
      <c r="I2364" s="5">
        <v>252515952.80000001</v>
      </c>
      <c r="J2364" s="5">
        <v>7600000</v>
      </c>
      <c r="K2364" s="5">
        <v>20213000</v>
      </c>
      <c r="L2364" s="5">
        <v>50131000</v>
      </c>
      <c r="M2364" s="5">
        <v>41965000</v>
      </c>
      <c r="N2364" s="5">
        <v>26115000</v>
      </c>
    </row>
    <row r="2365" spans="1:14" x14ac:dyDescent="0.25">
      <c r="A2365" s="3" t="s">
        <v>2376</v>
      </c>
      <c r="B2365" s="4">
        <v>5.73</v>
      </c>
      <c r="C2365" s="4">
        <v>0.01</v>
      </c>
      <c r="D2365" s="4">
        <v>0</v>
      </c>
      <c r="E2365" s="4">
        <v>-1.39364437285781E-2</v>
      </c>
      <c r="F2365" s="3">
        <v>2363</v>
      </c>
      <c r="G2365" s="3">
        <v>2</v>
      </c>
      <c r="H2365" s="5">
        <v>39415038.200000003</v>
      </c>
      <c r="I2365" s="5">
        <v>152568038.19999999</v>
      </c>
      <c r="J2365" s="5">
        <v>128580000</v>
      </c>
      <c r="K2365" s="5">
        <v>15427000</v>
      </c>
      <c r="L2365" s="5">
        <v>418305000</v>
      </c>
      <c r="M2365" s="5">
        <v>26618000</v>
      </c>
      <c r="N2365" s="5">
        <v>438000</v>
      </c>
    </row>
    <row r="2366" spans="1:14" x14ac:dyDescent="0.25">
      <c r="A2366" s="3" t="s">
        <v>2377</v>
      </c>
      <c r="B2366" s="4">
        <v>6.27</v>
      </c>
      <c r="C2366" s="4">
        <v>0.12</v>
      </c>
      <c r="D2366" s="4">
        <v>0.04</v>
      </c>
      <c r="E2366" s="4">
        <v>-1.3945115052751211E-2</v>
      </c>
      <c r="F2366" s="3">
        <v>2364</v>
      </c>
      <c r="G2366" s="3">
        <v>2</v>
      </c>
      <c r="H2366" s="5">
        <v>34422520768</v>
      </c>
      <c r="I2366" s="5">
        <v>56270520768</v>
      </c>
      <c r="J2366" s="5">
        <v>24840000000</v>
      </c>
      <c r="K2366" s="5">
        <v>2992000000</v>
      </c>
      <c r="L2366" s="5">
        <v>20456000000</v>
      </c>
      <c r="M2366" s="5">
        <v>8974000000</v>
      </c>
      <c r="N2366" s="5">
        <v>3131000000</v>
      </c>
    </row>
    <row r="2367" spans="1:14" x14ac:dyDescent="0.25">
      <c r="A2367" s="3" t="s">
        <v>2378</v>
      </c>
      <c r="B2367" s="4">
        <v>5.85</v>
      </c>
      <c r="C2367" s="4">
        <v>0.03</v>
      </c>
      <c r="D2367" s="4">
        <v>0.02</v>
      </c>
      <c r="E2367" s="4">
        <v>-1.39490689297591E-2</v>
      </c>
      <c r="F2367" s="3">
        <v>2365</v>
      </c>
      <c r="G2367" s="3">
        <v>2</v>
      </c>
      <c r="H2367" s="5">
        <v>10333492.15</v>
      </c>
      <c r="I2367" s="5">
        <v>40859492.149999999</v>
      </c>
      <c r="J2367" s="5">
        <v>33329000</v>
      </c>
      <c r="K2367" s="5">
        <v>2803000</v>
      </c>
      <c r="L2367" s="5">
        <v>83795000</v>
      </c>
      <c r="M2367" s="5">
        <v>6981000</v>
      </c>
      <c r="N2367" s="5">
        <v>1318000</v>
      </c>
    </row>
    <row r="2368" spans="1:14" x14ac:dyDescent="0.25">
      <c r="A2368" s="3" t="s">
        <v>2379</v>
      </c>
      <c r="B2368" s="4">
        <v>6.72</v>
      </c>
      <c r="C2368" s="4">
        <v>0.21</v>
      </c>
      <c r="D2368" s="4">
        <v>0.11</v>
      </c>
      <c r="E2368" s="4">
        <v>-1.395008365994704E-2</v>
      </c>
      <c r="F2368" s="3">
        <v>2366</v>
      </c>
      <c r="G2368" s="3">
        <v>2</v>
      </c>
      <c r="H2368" s="5">
        <v>1228401572.0699999</v>
      </c>
      <c r="I2368" s="5">
        <v>1298901572.0699999</v>
      </c>
      <c r="J2368" s="5">
        <v>127800000</v>
      </c>
      <c r="K2368" s="5">
        <v>57300000</v>
      </c>
      <c r="L2368" s="5">
        <v>781900000</v>
      </c>
      <c r="M2368" s="5">
        <v>193200000</v>
      </c>
      <c r="N2368" s="5">
        <v>92400000</v>
      </c>
    </row>
    <row r="2369" spans="1:14" x14ac:dyDescent="0.25">
      <c r="A2369" s="3" t="s">
        <v>2380</v>
      </c>
      <c r="B2369" s="4">
        <v>-3.18</v>
      </c>
      <c r="C2369" s="4">
        <v>-1.85</v>
      </c>
      <c r="D2369" s="4">
        <v>-0.8</v>
      </c>
      <c r="E2369" s="4">
        <v>-1.395039448337174E-2</v>
      </c>
      <c r="F2369" s="3">
        <v>2367</v>
      </c>
      <c r="G2369" s="3">
        <v>2</v>
      </c>
      <c r="H2369" s="5">
        <v>211503933.19999999</v>
      </c>
      <c r="I2369" s="5">
        <v>203534933.19999999</v>
      </c>
      <c r="J2369" s="5">
        <v>14292000</v>
      </c>
      <c r="K2369" s="5">
        <v>22261000</v>
      </c>
      <c r="L2369" s="5">
        <v>2638000</v>
      </c>
      <c r="M2369" s="5">
        <v>-63993000</v>
      </c>
      <c r="N2369" s="5">
        <v>-61024000</v>
      </c>
    </row>
    <row r="2370" spans="1:14" x14ac:dyDescent="0.25">
      <c r="A2370" s="3" t="s">
        <v>2381</v>
      </c>
      <c r="B2370" s="4">
        <v>6.74</v>
      </c>
      <c r="C2370" s="4">
        <v>0.21</v>
      </c>
      <c r="D2370" s="4">
        <v>0.14000000000000001</v>
      </c>
      <c r="E2370" s="4">
        <v>-1.3956674991608679E-2</v>
      </c>
      <c r="F2370" s="3">
        <v>2368</v>
      </c>
      <c r="G2370" s="3">
        <v>2</v>
      </c>
      <c r="H2370" s="5">
        <v>36953699.789999999</v>
      </c>
      <c r="I2370" s="5">
        <v>35143699.789999999</v>
      </c>
      <c r="J2370" s="5">
        <v>0</v>
      </c>
      <c r="K2370" s="5">
        <v>1810000</v>
      </c>
      <c r="L2370" s="5">
        <v>32922000</v>
      </c>
      <c r="M2370" s="5">
        <v>5211000</v>
      </c>
      <c r="N2370" s="5">
        <v>12073000</v>
      </c>
    </row>
    <row r="2371" spans="1:14" x14ac:dyDescent="0.25">
      <c r="A2371" s="3" t="s">
        <v>2382</v>
      </c>
      <c r="B2371" s="4">
        <v>7.5</v>
      </c>
      <c r="C2371" s="4">
        <v>0.37</v>
      </c>
      <c r="D2371" s="4">
        <v>0.15</v>
      </c>
      <c r="E2371" s="4">
        <v>-1.396282788577773E-2</v>
      </c>
      <c r="F2371" s="3">
        <v>2369</v>
      </c>
      <c r="G2371" s="3">
        <v>2</v>
      </c>
      <c r="H2371" s="5">
        <v>210787925176.29001</v>
      </c>
      <c r="I2371" s="5">
        <v>234656925176.29001</v>
      </c>
      <c r="J2371" s="5">
        <v>37111000000</v>
      </c>
      <c r="K2371" s="5">
        <v>13242000000</v>
      </c>
      <c r="L2371" s="5">
        <v>64168000000</v>
      </c>
      <c r="M2371" s="5">
        <v>31279000000</v>
      </c>
      <c r="N2371" s="5">
        <v>17117000000</v>
      </c>
    </row>
    <row r="2372" spans="1:14" x14ac:dyDescent="0.25">
      <c r="A2372" s="3" t="s">
        <v>2383</v>
      </c>
      <c r="B2372" s="4">
        <v>5.81</v>
      </c>
      <c r="C2372" s="4">
        <v>0.02</v>
      </c>
      <c r="D2372" s="4">
        <v>-0.03</v>
      </c>
      <c r="E2372" s="4">
        <v>-1.3962850846872781E-2</v>
      </c>
      <c r="F2372" s="3">
        <v>2370</v>
      </c>
      <c r="G2372" s="3">
        <v>2</v>
      </c>
      <c r="H2372" s="5">
        <v>880.99170000000004</v>
      </c>
      <c r="I2372" s="5">
        <v>38111880.991700001</v>
      </c>
      <c r="J2372" s="5">
        <v>39374000</v>
      </c>
      <c r="K2372" s="5">
        <v>1263000</v>
      </c>
      <c r="L2372" s="5">
        <v>87294000</v>
      </c>
      <c r="M2372" s="5">
        <v>6559000</v>
      </c>
      <c r="N2372" s="5">
        <v>-866000</v>
      </c>
    </row>
    <row r="2373" spans="1:14" x14ac:dyDescent="0.25">
      <c r="A2373" s="3" t="s">
        <v>2384</v>
      </c>
      <c r="B2373" s="4">
        <v>-3.26</v>
      </c>
      <c r="C2373" s="4">
        <v>-1.88</v>
      </c>
      <c r="D2373" s="4">
        <v>-0.72</v>
      </c>
      <c r="E2373" s="4">
        <v>-1.3972129446218449E-2</v>
      </c>
      <c r="F2373" s="3">
        <v>2371</v>
      </c>
      <c r="G2373" s="3">
        <v>2</v>
      </c>
      <c r="H2373" s="5">
        <v>39871537.200000003</v>
      </c>
      <c r="I2373" s="5">
        <v>22215317.199999999</v>
      </c>
      <c r="J2373" s="5">
        <v>0</v>
      </c>
      <c r="K2373" s="5">
        <v>17656220</v>
      </c>
      <c r="L2373" s="5">
        <v>0</v>
      </c>
      <c r="M2373" s="5">
        <v>-6805150</v>
      </c>
      <c r="N2373" s="5">
        <v>-12768550</v>
      </c>
    </row>
    <row r="2374" spans="1:14" x14ac:dyDescent="0.25">
      <c r="A2374" s="3" t="s">
        <v>2385</v>
      </c>
      <c r="B2374" s="4">
        <v>7.26</v>
      </c>
      <c r="C2374" s="4">
        <v>0.32</v>
      </c>
      <c r="D2374" s="4">
        <v>0.05</v>
      </c>
      <c r="E2374" s="4">
        <v>-1.3978045249895221E-2</v>
      </c>
      <c r="F2374" s="3">
        <v>2372</v>
      </c>
      <c r="G2374" s="3">
        <v>2</v>
      </c>
      <c r="H2374" s="5">
        <v>41848129087.800003</v>
      </c>
      <c r="I2374" s="5">
        <v>55794129087.800003</v>
      </c>
      <c r="J2374" s="5">
        <v>17905000000</v>
      </c>
      <c r="K2374" s="5">
        <v>3959000000</v>
      </c>
      <c r="L2374" s="5">
        <v>147123000000</v>
      </c>
      <c r="M2374" s="5">
        <v>7685000000</v>
      </c>
      <c r="N2374" s="5">
        <v>2665000000</v>
      </c>
    </row>
    <row r="2375" spans="1:14" x14ac:dyDescent="0.25">
      <c r="A2375" s="3" t="s">
        <v>2386</v>
      </c>
      <c r="B2375" s="4">
        <v>6.49</v>
      </c>
      <c r="C2375" s="4">
        <v>0.15</v>
      </c>
      <c r="D2375" s="4">
        <v>0.12</v>
      </c>
      <c r="E2375" s="4">
        <v>-1.39791645444235E-2</v>
      </c>
      <c r="F2375" s="3">
        <v>2373</v>
      </c>
      <c r="G2375" s="3">
        <v>2</v>
      </c>
      <c r="H2375" s="5">
        <v>6280409336.6700001</v>
      </c>
      <c r="I2375" s="5">
        <v>6695591336.6700001</v>
      </c>
      <c r="J2375" s="5">
        <v>644667000</v>
      </c>
      <c r="K2375" s="5">
        <v>229485000</v>
      </c>
      <c r="L2375" s="5">
        <v>1207731000</v>
      </c>
      <c r="M2375" s="5">
        <v>1031704000</v>
      </c>
      <c r="N2375" s="5">
        <v>762994000</v>
      </c>
    </row>
    <row r="2376" spans="1:14" x14ac:dyDescent="0.25">
      <c r="A2376" s="3" t="s">
        <v>2387</v>
      </c>
      <c r="B2376" s="4">
        <v>5.85</v>
      </c>
      <c r="C2376" s="4">
        <v>0.02</v>
      </c>
      <c r="D2376" s="4">
        <v>0.01</v>
      </c>
      <c r="E2376" s="4">
        <v>-1.397989156335106E-2</v>
      </c>
      <c r="F2376" s="3">
        <v>2374</v>
      </c>
      <c r="G2376" s="3">
        <v>2</v>
      </c>
      <c r="H2376" s="5">
        <v>335003597.04000002</v>
      </c>
      <c r="I2376" s="5">
        <v>1172804597.04</v>
      </c>
      <c r="J2376" s="5">
        <v>904734000</v>
      </c>
      <c r="K2376" s="5">
        <v>66933000</v>
      </c>
      <c r="L2376" s="5">
        <v>318599000</v>
      </c>
      <c r="M2376" s="5">
        <v>200413000</v>
      </c>
      <c r="N2376" s="5">
        <v>13931000</v>
      </c>
    </row>
    <row r="2377" spans="1:14" x14ac:dyDescent="0.25">
      <c r="A2377" s="3" t="s">
        <v>2388</v>
      </c>
      <c r="B2377" s="4">
        <v>7.51</v>
      </c>
      <c r="C2377" s="4">
        <v>0.37</v>
      </c>
      <c r="D2377" s="4">
        <v>0.09</v>
      </c>
      <c r="E2377" s="4">
        <v>-1.3980591250939841E-2</v>
      </c>
      <c r="F2377" s="3">
        <v>2375</v>
      </c>
      <c r="G2377" s="3">
        <v>2</v>
      </c>
      <c r="H2377" s="5">
        <v>6268544826.3199997</v>
      </c>
      <c r="I2377" s="5">
        <v>9128446826.3199997</v>
      </c>
      <c r="J2377" s="5">
        <v>3176590000</v>
      </c>
      <c r="K2377" s="5">
        <v>316688000</v>
      </c>
      <c r="L2377" s="5">
        <v>3930194000</v>
      </c>
      <c r="M2377" s="5">
        <v>1214916000</v>
      </c>
      <c r="N2377" s="5">
        <v>577952000</v>
      </c>
    </row>
    <row r="2378" spans="1:14" x14ac:dyDescent="0.25">
      <c r="A2378" s="3" t="s">
        <v>2389</v>
      </c>
      <c r="B2378" s="4">
        <v>3.96</v>
      </c>
      <c r="C2378" s="4">
        <v>-0.38</v>
      </c>
      <c r="D2378" s="4">
        <v>-0.1</v>
      </c>
      <c r="E2378" s="4">
        <v>-1.398709525953431E-2</v>
      </c>
      <c r="F2378" s="3">
        <v>2376</v>
      </c>
      <c r="G2378" s="3">
        <v>2</v>
      </c>
      <c r="H2378" s="5">
        <v>314625153.01999998</v>
      </c>
      <c r="I2378" s="5">
        <v>582651153.01999998</v>
      </c>
      <c r="J2378" s="5">
        <v>284337000</v>
      </c>
      <c r="K2378" s="5">
        <v>16311000</v>
      </c>
      <c r="L2378" s="5">
        <v>824156000</v>
      </c>
      <c r="M2378" s="5">
        <v>147068000</v>
      </c>
      <c r="N2378" s="5">
        <v>-74216000</v>
      </c>
    </row>
    <row r="2379" spans="1:14" x14ac:dyDescent="0.25">
      <c r="A2379" s="3" t="s">
        <v>2390</v>
      </c>
      <c r="B2379" s="4">
        <v>8.77</v>
      </c>
      <c r="C2379" s="4">
        <v>0.64</v>
      </c>
      <c r="D2379" s="4">
        <v>0.05</v>
      </c>
      <c r="E2379" s="4">
        <v>-1.398801988569125E-2</v>
      </c>
      <c r="F2379" s="3">
        <v>2377</v>
      </c>
      <c r="G2379" s="3">
        <v>2</v>
      </c>
      <c r="H2379" s="5">
        <v>8472341870.29</v>
      </c>
      <c r="I2379" s="5">
        <v>21382066870.290001</v>
      </c>
      <c r="J2379" s="5">
        <v>13100490000</v>
      </c>
      <c r="K2379" s="5">
        <v>190765000</v>
      </c>
      <c r="L2379" s="5">
        <v>9479651000</v>
      </c>
      <c r="M2379" s="5">
        <v>2439418000</v>
      </c>
      <c r="N2379" s="5">
        <v>910257000</v>
      </c>
    </row>
    <row r="2380" spans="1:14" x14ac:dyDescent="0.25">
      <c r="A2380" s="3" t="s">
        <v>2391</v>
      </c>
      <c r="B2380" s="4">
        <v>-1.42</v>
      </c>
      <c r="C2380" s="4">
        <v>0.84</v>
      </c>
      <c r="D2380" s="4">
        <v>-35.659999999999997</v>
      </c>
      <c r="E2380" s="4">
        <v>-1.3991901048353629E-2</v>
      </c>
      <c r="F2380" s="3">
        <v>2378</v>
      </c>
      <c r="G2380" s="3">
        <v>2</v>
      </c>
      <c r="H2380" s="5">
        <v>12692.832899999999</v>
      </c>
      <c r="I2380" s="5">
        <v>1538022.8329</v>
      </c>
      <c r="J2380" s="5">
        <v>1544370</v>
      </c>
      <c r="K2380" s="5">
        <v>19040</v>
      </c>
      <c r="L2380" s="5">
        <v>60000</v>
      </c>
      <c r="M2380" s="5">
        <v>-1081810</v>
      </c>
      <c r="N2380" s="5">
        <v>-2260000</v>
      </c>
    </row>
    <row r="2381" spans="1:14" x14ac:dyDescent="0.25">
      <c r="A2381" s="3" t="s">
        <v>2392</v>
      </c>
      <c r="B2381" s="4">
        <v>6.4</v>
      </c>
      <c r="C2381" s="4">
        <v>0.13</v>
      </c>
      <c r="D2381" s="4">
        <v>0.06</v>
      </c>
      <c r="E2381" s="4">
        <v>-1.3992823066643749E-2</v>
      </c>
      <c r="F2381" s="3">
        <v>2379</v>
      </c>
      <c r="G2381" s="3">
        <v>2</v>
      </c>
      <c r="H2381" s="5">
        <v>3477189740.8200002</v>
      </c>
      <c r="I2381" s="5">
        <v>2871100740.8200002</v>
      </c>
      <c r="J2381" s="5">
        <v>400875000</v>
      </c>
      <c r="K2381" s="5">
        <v>1006964000</v>
      </c>
      <c r="L2381" s="5">
        <v>2761086000</v>
      </c>
      <c r="M2381" s="5">
        <v>448726000</v>
      </c>
      <c r="N2381" s="5">
        <v>246062000</v>
      </c>
    </row>
    <row r="2382" spans="1:14" x14ac:dyDescent="0.25">
      <c r="A2382" s="3" t="s">
        <v>2393</v>
      </c>
      <c r="B2382" s="4">
        <v>6.59</v>
      </c>
      <c r="C2382" s="4">
        <v>0.17</v>
      </c>
      <c r="D2382" s="4">
        <v>7.0000000000000007E-2</v>
      </c>
      <c r="E2382" s="4">
        <v>-1.399291452025289E-2</v>
      </c>
      <c r="F2382" s="3">
        <v>2380</v>
      </c>
      <c r="G2382" s="3">
        <v>2</v>
      </c>
      <c r="H2382" s="5">
        <v>1841864097.78</v>
      </c>
      <c r="I2382" s="5">
        <v>2180764097.7800002</v>
      </c>
      <c r="J2382" s="5">
        <v>361400000</v>
      </c>
      <c r="K2382" s="5">
        <v>22500000</v>
      </c>
      <c r="L2382" s="5">
        <v>2526400000</v>
      </c>
      <c r="M2382" s="5">
        <v>331000000</v>
      </c>
      <c r="N2382" s="5">
        <v>139500000</v>
      </c>
    </row>
    <row r="2383" spans="1:14" x14ac:dyDescent="0.25">
      <c r="A2383" s="3" t="s">
        <v>2394</v>
      </c>
      <c r="B2383" s="4">
        <v>5.4</v>
      </c>
      <c r="C2383" s="4">
        <v>-0.08</v>
      </c>
      <c r="D2383" s="4">
        <v>-0.02</v>
      </c>
      <c r="E2383" s="4">
        <v>-1.3996100456859679E-2</v>
      </c>
      <c r="F2383" s="3">
        <v>2381</v>
      </c>
      <c r="G2383" s="3">
        <v>2</v>
      </c>
      <c r="H2383" s="5">
        <v>65008326.600000001</v>
      </c>
      <c r="I2383" s="5">
        <v>372610326.60000002</v>
      </c>
      <c r="J2383" s="5">
        <v>335178000</v>
      </c>
      <c r="K2383" s="5">
        <v>27576000</v>
      </c>
      <c r="L2383" s="5">
        <v>673344000</v>
      </c>
      <c r="M2383" s="5">
        <v>68970000</v>
      </c>
      <c r="N2383" s="5">
        <v>-15824000</v>
      </c>
    </row>
    <row r="2384" spans="1:14" x14ac:dyDescent="0.25">
      <c r="A2384" s="3" t="s">
        <v>2395</v>
      </c>
      <c r="B2384" s="4">
        <v>8.6300000000000008</v>
      </c>
      <c r="C2384" s="4">
        <v>0.6</v>
      </c>
      <c r="D2384" s="4">
        <v>0.11</v>
      </c>
      <c r="E2384" s="4">
        <v>-1.400537127452497E-2</v>
      </c>
      <c r="F2384" s="3">
        <v>2382</v>
      </c>
      <c r="G2384" s="3">
        <v>2</v>
      </c>
      <c r="H2384" s="5">
        <v>6856620257.5299997</v>
      </c>
      <c r="I2384" s="5">
        <v>8658020257.5299988</v>
      </c>
      <c r="J2384" s="5">
        <v>1848400000</v>
      </c>
      <c r="K2384" s="5">
        <v>47000000</v>
      </c>
      <c r="L2384" s="5">
        <v>20244300000</v>
      </c>
      <c r="M2384" s="5">
        <v>1003600000</v>
      </c>
      <c r="N2384" s="5">
        <v>502500000</v>
      </c>
    </row>
    <row r="2385" spans="1:14" x14ac:dyDescent="0.25">
      <c r="A2385" s="3" t="s">
        <v>2396</v>
      </c>
      <c r="B2385" s="4">
        <v>4.33</v>
      </c>
      <c r="C2385" s="4">
        <v>-0.32</v>
      </c>
      <c r="D2385" s="4">
        <v>0.09</v>
      </c>
      <c r="E2385" s="4">
        <v>-1.4006082723266811E-2</v>
      </c>
      <c r="F2385" s="3">
        <v>2383</v>
      </c>
      <c r="G2385" s="3">
        <v>2</v>
      </c>
      <c r="H2385" s="5">
        <v>849590827.91999996</v>
      </c>
      <c r="I2385" s="5">
        <v>2694390827.9200001</v>
      </c>
      <c r="J2385" s="5">
        <v>2260100000</v>
      </c>
      <c r="K2385" s="5">
        <v>415300000</v>
      </c>
      <c r="L2385" s="5">
        <v>4993100000</v>
      </c>
      <c r="M2385" s="5">
        <v>621600000</v>
      </c>
      <c r="N2385" s="5">
        <v>254300000</v>
      </c>
    </row>
    <row r="2386" spans="1:14" x14ac:dyDescent="0.25">
      <c r="A2386" s="3" t="s">
        <v>2397</v>
      </c>
      <c r="B2386" s="4">
        <v>0.23</v>
      </c>
      <c r="C2386" s="4">
        <v>-1.1599999999999999</v>
      </c>
      <c r="D2386" s="4">
        <v>-0.49</v>
      </c>
      <c r="E2386" s="4">
        <v>-1.400745491817487E-2</v>
      </c>
      <c r="F2386" s="3">
        <v>2384</v>
      </c>
      <c r="G2386" s="3">
        <v>2</v>
      </c>
      <c r="H2386" s="5">
        <v>9577951.9199999999</v>
      </c>
      <c r="I2386" s="5">
        <v>-17188048.079999998</v>
      </c>
      <c r="J2386" s="5">
        <v>10000000</v>
      </c>
      <c r="K2386" s="5">
        <v>36766000</v>
      </c>
      <c r="L2386" s="5">
        <v>231070000</v>
      </c>
      <c r="M2386" s="5">
        <v>-75196000</v>
      </c>
      <c r="N2386" s="5">
        <v>-136627000</v>
      </c>
    </row>
    <row r="2387" spans="1:14" x14ac:dyDescent="0.25">
      <c r="A2387" s="3" t="s">
        <v>2398</v>
      </c>
      <c r="B2387" s="4">
        <v>6.57</v>
      </c>
      <c r="C2387" s="4">
        <v>0.16</v>
      </c>
      <c r="D2387" s="4">
        <v>7.0000000000000007E-2</v>
      </c>
      <c r="E2387" s="4">
        <v>-1.4009429715873189E-2</v>
      </c>
      <c r="F2387" s="3">
        <v>2385</v>
      </c>
      <c r="G2387" s="3">
        <v>2</v>
      </c>
      <c r="H2387" s="5">
        <v>7907422418.1899996</v>
      </c>
      <c r="I2387" s="5">
        <v>8723222418.1899986</v>
      </c>
      <c r="J2387" s="5">
        <v>1020700000</v>
      </c>
      <c r="K2387" s="5">
        <v>204900000</v>
      </c>
      <c r="L2387" s="5">
        <v>10730200000</v>
      </c>
      <c r="M2387" s="5">
        <v>1328500000</v>
      </c>
      <c r="N2387" s="5">
        <v>681400000</v>
      </c>
    </row>
    <row r="2388" spans="1:14" x14ac:dyDescent="0.25">
      <c r="A2388" s="3" t="s">
        <v>2399</v>
      </c>
      <c r="B2388" s="4">
        <v>6.67</v>
      </c>
      <c r="C2388" s="4">
        <v>0.18</v>
      </c>
      <c r="D2388" s="4">
        <v>7.0000000000000007E-2</v>
      </c>
      <c r="E2388" s="4">
        <v>-1.4013534558815049E-2</v>
      </c>
      <c r="F2388" s="3">
        <v>2386</v>
      </c>
      <c r="G2388" s="3">
        <v>2</v>
      </c>
      <c r="H2388" s="5">
        <v>2555256522.5</v>
      </c>
      <c r="I2388" s="5">
        <v>3586449522.5</v>
      </c>
      <c r="J2388" s="5">
        <v>1036198000</v>
      </c>
      <c r="K2388" s="5">
        <v>5005000</v>
      </c>
      <c r="L2388" s="5">
        <v>5103487000</v>
      </c>
      <c r="M2388" s="5">
        <v>538052000</v>
      </c>
      <c r="N2388" s="5">
        <v>248116000</v>
      </c>
    </row>
    <row r="2389" spans="1:14" x14ac:dyDescent="0.25">
      <c r="A2389" s="3" t="s">
        <v>2400</v>
      </c>
      <c r="B2389" s="4">
        <v>6.05</v>
      </c>
      <c r="C2389" s="4">
        <v>0.05</v>
      </c>
      <c r="D2389" s="4">
        <v>0.02</v>
      </c>
      <c r="E2389" s="4">
        <v>-1.4015065829671731E-2</v>
      </c>
      <c r="F2389" s="3">
        <v>2387</v>
      </c>
      <c r="G2389" s="3">
        <v>2</v>
      </c>
      <c r="H2389" s="5">
        <v>333554436</v>
      </c>
      <c r="I2389" s="5">
        <v>663793436</v>
      </c>
      <c r="J2389" s="5">
        <v>373280000</v>
      </c>
      <c r="K2389" s="5">
        <v>43041000</v>
      </c>
      <c r="L2389" s="5">
        <v>425872000</v>
      </c>
      <c r="M2389" s="5">
        <v>109754000</v>
      </c>
      <c r="N2389" s="5">
        <v>16207000</v>
      </c>
    </row>
    <row r="2390" spans="1:14" x14ac:dyDescent="0.25">
      <c r="A2390" s="3" t="s">
        <v>2401</v>
      </c>
      <c r="B2390" s="4">
        <v>6.3</v>
      </c>
      <c r="C2390" s="4">
        <v>0.1</v>
      </c>
      <c r="D2390" s="4">
        <v>0.05</v>
      </c>
      <c r="E2390" s="4">
        <v>-1.401954085729386E-2</v>
      </c>
      <c r="F2390" s="3">
        <v>2388</v>
      </c>
      <c r="G2390" s="3">
        <v>2</v>
      </c>
      <c r="H2390" s="5">
        <v>1756597657.3599999</v>
      </c>
      <c r="I2390" s="5">
        <v>2394697657.3600001</v>
      </c>
      <c r="J2390" s="5">
        <v>971200000</v>
      </c>
      <c r="K2390" s="5">
        <v>333100000</v>
      </c>
      <c r="L2390" s="5">
        <v>2118500000</v>
      </c>
      <c r="M2390" s="5">
        <v>380400000</v>
      </c>
      <c r="N2390" s="5">
        <v>167100000</v>
      </c>
    </row>
    <row r="2391" spans="1:14" x14ac:dyDescent="0.25">
      <c r="A2391" s="3" t="s">
        <v>2402</v>
      </c>
      <c r="B2391" s="4">
        <v>-0.61</v>
      </c>
      <c r="C2391" s="4">
        <v>-1.31</v>
      </c>
      <c r="D2391" s="4">
        <v>-1.06</v>
      </c>
      <c r="E2391" s="4">
        <v>-1.403092025975507E-2</v>
      </c>
      <c r="F2391" s="3">
        <v>2389</v>
      </c>
      <c r="G2391" s="3">
        <v>2</v>
      </c>
      <c r="H2391" s="5">
        <v>47055906.659999996</v>
      </c>
      <c r="I2391" s="5">
        <v>26133906.66</v>
      </c>
      <c r="J2391" s="5">
        <v>0</v>
      </c>
      <c r="K2391" s="5">
        <v>20922000</v>
      </c>
      <c r="L2391" s="5">
        <v>14000</v>
      </c>
      <c r="M2391" s="5">
        <v>-42635000</v>
      </c>
      <c r="N2391" s="5">
        <v>-42082000</v>
      </c>
    </row>
    <row r="2392" spans="1:14" x14ac:dyDescent="0.25">
      <c r="A2392" s="3" t="s">
        <v>2403</v>
      </c>
      <c r="B2392" s="4">
        <v>6.27</v>
      </c>
      <c r="C2392" s="4">
        <v>0.09</v>
      </c>
      <c r="D2392" s="4">
        <v>0.04</v>
      </c>
      <c r="E2392" s="4">
        <v>-1.403179587379459E-2</v>
      </c>
      <c r="F2392" s="3">
        <v>2390</v>
      </c>
      <c r="G2392" s="3">
        <v>2</v>
      </c>
      <c r="H2392" s="5">
        <v>1705172947.7</v>
      </c>
      <c r="I2392" s="5">
        <v>3479572947.6999998</v>
      </c>
      <c r="J2392" s="5">
        <v>2177400000</v>
      </c>
      <c r="K2392" s="5">
        <v>403000000</v>
      </c>
      <c r="L2392" s="5">
        <v>3099800000</v>
      </c>
      <c r="M2392" s="5">
        <v>554800000</v>
      </c>
      <c r="N2392" s="5">
        <v>227100000</v>
      </c>
    </row>
    <row r="2393" spans="1:14" x14ac:dyDescent="0.25">
      <c r="A2393" s="3" t="s">
        <v>2404</v>
      </c>
      <c r="B2393" s="4">
        <v>5.03</v>
      </c>
      <c r="C2393" s="4">
        <v>-0.17</v>
      </c>
      <c r="D2393" s="4">
        <v>-0.05</v>
      </c>
      <c r="E2393" s="4">
        <v>-1.403292938893045E-2</v>
      </c>
      <c r="F2393" s="3">
        <v>2391</v>
      </c>
      <c r="G2393" s="3">
        <v>2</v>
      </c>
      <c r="H2393" s="5">
        <v>336207776.08999997</v>
      </c>
      <c r="I2393" s="5">
        <v>1096707776.0899999</v>
      </c>
      <c r="J2393" s="5">
        <v>834600000</v>
      </c>
      <c r="K2393" s="5">
        <v>74100000</v>
      </c>
      <c r="L2393" s="5">
        <v>1666200000</v>
      </c>
      <c r="M2393" s="5">
        <v>218100000</v>
      </c>
      <c r="N2393" s="5">
        <v>-101600000</v>
      </c>
    </row>
    <row r="2394" spans="1:14" x14ac:dyDescent="0.25">
      <c r="A2394" s="3" t="s">
        <v>2405</v>
      </c>
      <c r="B2394" s="4">
        <v>6.07</v>
      </c>
      <c r="C2394" s="4">
        <v>0.05</v>
      </c>
      <c r="D2394" s="4">
        <v>-0.02</v>
      </c>
      <c r="E2394" s="4">
        <v>-1.4035160347375911E-2</v>
      </c>
      <c r="F2394" s="3">
        <v>2392</v>
      </c>
      <c r="G2394" s="3">
        <v>2</v>
      </c>
      <c r="H2394" s="5">
        <v>120458590</v>
      </c>
      <c r="I2394" s="5">
        <v>665108590</v>
      </c>
      <c r="J2394" s="5">
        <v>546600000</v>
      </c>
      <c r="K2394" s="5">
        <v>1950000</v>
      </c>
      <c r="L2394" s="5">
        <v>1682296000</v>
      </c>
      <c r="M2394" s="5">
        <v>109507000</v>
      </c>
      <c r="N2394" s="5">
        <v>-20334000</v>
      </c>
    </row>
    <row r="2395" spans="1:14" x14ac:dyDescent="0.25">
      <c r="A2395" s="3" t="s">
        <v>2406</v>
      </c>
      <c r="B2395" s="4">
        <v>5.7</v>
      </c>
      <c r="C2395" s="4">
        <v>-0.03</v>
      </c>
      <c r="D2395" s="4">
        <v>-0.01</v>
      </c>
      <c r="E2395" s="4">
        <v>-1.40353795661222E-2</v>
      </c>
      <c r="F2395" s="3">
        <v>2393</v>
      </c>
      <c r="G2395" s="3">
        <v>2</v>
      </c>
      <c r="H2395" s="5">
        <v>505693585.64999998</v>
      </c>
      <c r="I2395" s="5">
        <v>3213693585.6500001</v>
      </c>
      <c r="J2395" s="5">
        <v>2859000000</v>
      </c>
      <c r="K2395" s="5">
        <v>151000000</v>
      </c>
      <c r="L2395" s="5">
        <v>3074000000</v>
      </c>
      <c r="M2395" s="5">
        <v>564000000</v>
      </c>
      <c r="N2395" s="5">
        <v>-48000000</v>
      </c>
    </row>
    <row r="2396" spans="1:14" x14ac:dyDescent="0.25">
      <c r="A2396" s="3" t="s">
        <v>2407</v>
      </c>
      <c r="B2396" s="4">
        <v>-4.4000000000000004</v>
      </c>
      <c r="C2396" s="4">
        <v>-2.17</v>
      </c>
      <c r="D2396" s="4">
        <v>-0.38</v>
      </c>
      <c r="E2396" s="4">
        <v>-1.4038887696535709E-2</v>
      </c>
      <c r="F2396" s="3">
        <v>2394</v>
      </c>
      <c r="G2396" s="3">
        <v>2</v>
      </c>
      <c r="H2396" s="5">
        <v>4674700827.8400002</v>
      </c>
      <c r="I2396" s="5">
        <v>4484690827.8400002</v>
      </c>
      <c r="J2396" s="5">
        <v>286260000</v>
      </c>
      <c r="K2396" s="5">
        <v>476270000</v>
      </c>
      <c r="L2396" s="5">
        <v>349782000</v>
      </c>
      <c r="M2396" s="5">
        <v>-1020260000</v>
      </c>
      <c r="N2396" s="5">
        <v>-599151000</v>
      </c>
    </row>
    <row r="2397" spans="1:14" x14ac:dyDescent="0.25">
      <c r="A2397" s="3" t="s">
        <v>2408</v>
      </c>
      <c r="B2397" s="4">
        <v>-2.23</v>
      </c>
      <c r="C2397" s="4">
        <v>-1.67</v>
      </c>
      <c r="D2397" s="4">
        <v>-0.91</v>
      </c>
      <c r="E2397" s="4">
        <v>-1.4039503390686421E-2</v>
      </c>
      <c r="F2397" s="3">
        <v>2395</v>
      </c>
      <c r="G2397" s="3">
        <v>2</v>
      </c>
      <c r="H2397" s="5">
        <v>171731455.28</v>
      </c>
      <c r="I2397" s="5">
        <v>130353455.28</v>
      </c>
      <c r="J2397" s="5">
        <v>396000</v>
      </c>
      <c r="K2397" s="5">
        <v>41774000</v>
      </c>
      <c r="L2397" s="5">
        <v>126197000</v>
      </c>
      <c r="M2397" s="5">
        <v>-58515000</v>
      </c>
      <c r="N2397" s="5">
        <v>-198132000</v>
      </c>
    </row>
    <row r="2398" spans="1:14" x14ac:dyDescent="0.25">
      <c r="A2398" s="3" t="s">
        <v>2409</v>
      </c>
      <c r="B2398" s="4">
        <v>6.33</v>
      </c>
      <c r="C2398" s="4">
        <v>0.1</v>
      </c>
      <c r="D2398" s="4">
        <v>0.04</v>
      </c>
      <c r="E2398" s="4">
        <v>-1.40400375009626E-2</v>
      </c>
      <c r="F2398" s="3">
        <v>2396</v>
      </c>
      <c r="G2398" s="3">
        <v>2</v>
      </c>
      <c r="H2398" s="5">
        <v>1370047563.05</v>
      </c>
      <c r="I2398" s="5">
        <v>2257247563.0500002</v>
      </c>
      <c r="J2398" s="5">
        <v>1007800000</v>
      </c>
      <c r="K2398" s="5">
        <v>120600000</v>
      </c>
      <c r="L2398" s="5">
        <v>2700400000</v>
      </c>
      <c r="M2398" s="5">
        <v>356400000</v>
      </c>
      <c r="N2398" s="5">
        <v>125900000</v>
      </c>
    </row>
    <row r="2399" spans="1:14" x14ac:dyDescent="0.25">
      <c r="A2399" s="3" t="s">
        <v>2410</v>
      </c>
      <c r="B2399" s="4">
        <v>8.43</v>
      </c>
      <c r="C2399" s="4">
        <v>0.56000000000000005</v>
      </c>
      <c r="D2399" s="4">
        <v>-0.13</v>
      </c>
      <c r="E2399" s="4">
        <v>-1.4043458226501399E-2</v>
      </c>
      <c r="F2399" s="3">
        <v>2397</v>
      </c>
      <c r="G2399" s="3">
        <v>2</v>
      </c>
      <c r="H2399" s="5">
        <v>49974079.25</v>
      </c>
      <c r="I2399" s="5">
        <v>2251774079.25</v>
      </c>
      <c r="J2399" s="5">
        <v>2411600000</v>
      </c>
      <c r="K2399" s="5">
        <v>209800000</v>
      </c>
      <c r="L2399" s="5">
        <v>3513200000</v>
      </c>
      <c r="M2399" s="5">
        <v>267100000</v>
      </c>
      <c r="N2399" s="5">
        <v>-348500000</v>
      </c>
    </row>
    <row r="2400" spans="1:14" x14ac:dyDescent="0.25">
      <c r="A2400" s="3" t="s">
        <v>2411</v>
      </c>
      <c r="B2400" s="4">
        <v>6.15</v>
      </c>
      <c r="C2400" s="4">
        <v>0.06</v>
      </c>
      <c r="D2400" s="4">
        <v>0.03</v>
      </c>
      <c r="E2400" s="4">
        <v>-1.404613525305054E-2</v>
      </c>
      <c r="F2400" s="3">
        <v>2398</v>
      </c>
      <c r="G2400" s="3">
        <v>2</v>
      </c>
      <c r="H2400" s="5">
        <v>376552659.94</v>
      </c>
      <c r="I2400" s="5">
        <v>256518659.94</v>
      </c>
      <c r="J2400" s="5">
        <v>0</v>
      </c>
      <c r="K2400" s="5">
        <v>120034000</v>
      </c>
      <c r="L2400" s="5">
        <v>722899000</v>
      </c>
      <c r="M2400" s="5">
        <v>41682000</v>
      </c>
      <c r="N2400" s="5">
        <v>19956000</v>
      </c>
    </row>
    <row r="2401" spans="1:14" x14ac:dyDescent="0.25">
      <c r="A2401" s="3" t="s">
        <v>2412</v>
      </c>
      <c r="B2401" s="4">
        <v>5.96</v>
      </c>
      <c r="C2401" s="4">
        <v>0.02</v>
      </c>
      <c r="D2401" s="4">
        <v>0.01</v>
      </c>
      <c r="E2401" s="4">
        <v>-1.404797282601891E-2</v>
      </c>
      <c r="F2401" s="3">
        <v>2399</v>
      </c>
      <c r="G2401" s="3">
        <v>2</v>
      </c>
      <c r="H2401" s="5">
        <v>963540000</v>
      </c>
      <c r="I2401" s="5">
        <v>2076340000</v>
      </c>
      <c r="J2401" s="5">
        <v>1402400000</v>
      </c>
      <c r="K2401" s="5">
        <v>289600000</v>
      </c>
      <c r="L2401" s="5">
        <v>3354000000</v>
      </c>
      <c r="M2401" s="5">
        <v>348100000</v>
      </c>
      <c r="N2401" s="5">
        <v>26900000</v>
      </c>
    </row>
    <row r="2402" spans="1:14" x14ac:dyDescent="0.25">
      <c r="A2402" s="3" t="s">
        <v>2413</v>
      </c>
      <c r="B2402" s="4">
        <v>7.54</v>
      </c>
      <c r="C2402" s="4">
        <v>0.35</v>
      </c>
      <c r="D2402" s="4">
        <v>0.08</v>
      </c>
      <c r="E2402" s="4">
        <v>-1.40588751086375E-2</v>
      </c>
      <c r="F2402" s="3">
        <v>2400</v>
      </c>
      <c r="G2402" s="3">
        <v>2</v>
      </c>
      <c r="H2402" s="5">
        <v>78747695438.220001</v>
      </c>
      <c r="I2402" s="5">
        <v>93919695438.220001</v>
      </c>
      <c r="J2402" s="5">
        <v>21284000000</v>
      </c>
      <c r="K2402" s="5">
        <v>6112000000</v>
      </c>
      <c r="L2402" s="5">
        <v>91070000000</v>
      </c>
      <c r="M2402" s="5">
        <v>12458000000</v>
      </c>
      <c r="N2402" s="5">
        <v>5782000000</v>
      </c>
    </row>
    <row r="2403" spans="1:14" x14ac:dyDescent="0.25">
      <c r="A2403" s="3" t="s">
        <v>2414</v>
      </c>
      <c r="B2403" s="4">
        <v>10.58</v>
      </c>
      <c r="C2403" s="4">
        <v>1</v>
      </c>
      <c r="D2403" s="4">
        <v>7.0000000000000007E-2</v>
      </c>
      <c r="E2403" s="4">
        <v>-1.406423821118678E-2</v>
      </c>
      <c r="F2403" s="3">
        <v>2401</v>
      </c>
      <c r="G2403" s="3">
        <v>2</v>
      </c>
      <c r="H2403" s="5">
        <v>35043052078.080002</v>
      </c>
      <c r="I2403" s="5">
        <v>47281052078.080002</v>
      </c>
      <c r="J2403" s="5">
        <v>13309000000</v>
      </c>
      <c r="K2403" s="5">
        <v>1071000000</v>
      </c>
      <c r="L2403" s="5">
        <v>81370000000</v>
      </c>
      <c r="M2403" s="5">
        <v>4468000000</v>
      </c>
      <c r="N2403" s="5">
        <v>1828000000</v>
      </c>
    </row>
    <row r="2404" spans="1:14" x14ac:dyDescent="0.25">
      <c r="A2404" s="3" t="s">
        <v>2415</v>
      </c>
      <c r="B2404" s="4">
        <v>5.84</v>
      </c>
      <c r="C2404" s="4">
        <v>-0.01</v>
      </c>
      <c r="D2404" s="4">
        <v>-0.01</v>
      </c>
      <c r="E2404" s="4">
        <v>-1.4064241231852371E-2</v>
      </c>
      <c r="F2404" s="3">
        <v>2402</v>
      </c>
      <c r="G2404" s="3">
        <v>2</v>
      </c>
      <c r="H2404" s="5">
        <v>367325920.17000002</v>
      </c>
      <c r="I2404" s="5">
        <v>674573920.17000008</v>
      </c>
      <c r="J2404" s="5">
        <v>496778000</v>
      </c>
      <c r="K2404" s="5">
        <v>189530000</v>
      </c>
      <c r="L2404" s="5">
        <v>313042000</v>
      </c>
      <c r="M2404" s="5">
        <v>115477000</v>
      </c>
      <c r="N2404" s="5">
        <v>-10156000</v>
      </c>
    </row>
    <row r="2405" spans="1:14" x14ac:dyDescent="0.25">
      <c r="A2405" s="3" t="s">
        <v>2416</v>
      </c>
      <c r="B2405" s="4">
        <v>5.97</v>
      </c>
      <c r="C2405" s="4">
        <v>0.01</v>
      </c>
      <c r="D2405" s="4">
        <v>0.01</v>
      </c>
      <c r="E2405" s="4">
        <v>-1.4083055638730449E-2</v>
      </c>
      <c r="F2405" s="3">
        <v>2403</v>
      </c>
      <c r="G2405" s="3">
        <v>2</v>
      </c>
      <c r="H2405" s="5">
        <v>216354637.41</v>
      </c>
      <c r="I2405" s="5">
        <v>422201637.41000003</v>
      </c>
      <c r="J2405" s="5">
        <v>238197000</v>
      </c>
      <c r="K2405" s="5">
        <v>32350000</v>
      </c>
      <c r="L2405" s="5">
        <v>295604000</v>
      </c>
      <c r="M2405" s="5">
        <v>70770000</v>
      </c>
      <c r="N2405" s="5">
        <v>3011000</v>
      </c>
    </row>
    <row r="2406" spans="1:14" x14ac:dyDescent="0.25">
      <c r="A2406" s="3" t="s">
        <v>2417</v>
      </c>
      <c r="B2406" s="4">
        <v>0.23</v>
      </c>
      <c r="C2406" s="4">
        <v>-1.1599999999999999</v>
      </c>
      <c r="D2406" s="4">
        <v>-0.89</v>
      </c>
      <c r="E2406" s="4">
        <v>-1.4084615981275099E-2</v>
      </c>
      <c r="F2406" s="3">
        <v>2404</v>
      </c>
      <c r="G2406" s="3">
        <v>2</v>
      </c>
      <c r="H2406" s="5">
        <v>54385402.5</v>
      </c>
      <c r="I2406" s="5">
        <v>-17251597.5</v>
      </c>
      <c r="J2406" s="5">
        <v>0</v>
      </c>
      <c r="K2406" s="5">
        <v>71637000</v>
      </c>
      <c r="L2406" s="5">
        <v>0</v>
      </c>
      <c r="M2406" s="5">
        <v>-74839000</v>
      </c>
      <c r="N2406" s="5">
        <v>-71269000</v>
      </c>
    </row>
    <row r="2407" spans="1:14" x14ac:dyDescent="0.25">
      <c r="A2407" s="3" t="s">
        <v>2418</v>
      </c>
      <c r="B2407" s="4">
        <v>6.3</v>
      </c>
      <c r="C2407" s="4">
        <v>0.08</v>
      </c>
      <c r="D2407" s="4">
        <v>0.01</v>
      </c>
      <c r="E2407" s="4">
        <v>-1.4085044177632801E-2</v>
      </c>
      <c r="F2407" s="3">
        <v>2405</v>
      </c>
      <c r="G2407" s="3">
        <v>2</v>
      </c>
      <c r="H2407" s="5">
        <v>31102.418099999999</v>
      </c>
      <c r="I2407" s="5">
        <v>2645399102.4180999</v>
      </c>
      <c r="J2407" s="5">
        <v>2728180000</v>
      </c>
      <c r="K2407" s="5">
        <v>82812000</v>
      </c>
      <c r="L2407" s="5">
        <v>875561000</v>
      </c>
      <c r="M2407" s="5">
        <v>419950000</v>
      </c>
      <c r="N2407" s="5">
        <v>42006000</v>
      </c>
    </row>
    <row r="2408" spans="1:14" x14ac:dyDescent="0.25">
      <c r="A2408" s="3" t="s">
        <v>2419</v>
      </c>
      <c r="B2408" s="4">
        <v>6.02</v>
      </c>
      <c r="C2408" s="4">
        <v>0.02</v>
      </c>
      <c r="D2408" s="4">
        <v>0.01</v>
      </c>
      <c r="E2408" s="4">
        <v>-1.4085108060201379E-2</v>
      </c>
      <c r="F2408" s="3">
        <v>2406</v>
      </c>
      <c r="G2408" s="3">
        <v>2</v>
      </c>
      <c r="H2408" s="5">
        <v>707105951.15999997</v>
      </c>
      <c r="I2408" s="5">
        <v>771600951.15999985</v>
      </c>
      <c r="J2408" s="5">
        <v>650462000</v>
      </c>
      <c r="K2408" s="5">
        <v>585967000</v>
      </c>
      <c r="L2408" s="5">
        <v>422670000</v>
      </c>
      <c r="M2408" s="5">
        <v>128233000</v>
      </c>
      <c r="N2408" s="5">
        <v>19522000</v>
      </c>
    </row>
    <row r="2409" spans="1:14" x14ac:dyDescent="0.25">
      <c r="A2409" s="3" t="s">
        <v>2420</v>
      </c>
      <c r="B2409" s="4">
        <v>5.74</v>
      </c>
      <c r="C2409" s="4">
        <v>-0.04</v>
      </c>
      <c r="D2409" s="4">
        <v>-0.04</v>
      </c>
      <c r="E2409" s="4">
        <v>-1.409481707565749E-2</v>
      </c>
      <c r="F2409" s="3">
        <v>2407</v>
      </c>
      <c r="G2409" s="3">
        <v>2</v>
      </c>
      <c r="H2409" s="5">
        <v>58269264</v>
      </c>
      <c r="I2409" s="5">
        <v>-787932176</v>
      </c>
      <c r="J2409" s="5">
        <v>5269000</v>
      </c>
      <c r="K2409" s="5">
        <v>851470440</v>
      </c>
      <c r="L2409" s="5">
        <v>290297980</v>
      </c>
      <c r="M2409" s="5">
        <v>-137339140</v>
      </c>
      <c r="N2409" s="5">
        <v>-63322790</v>
      </c>
    </row>
    <row r="2410" spans="1:14" x14ac:dyDescent="0.25">
      <c r="A2410" s="3" t="s">
        <v>2421</v>
      </c>
      <c r="B2410" s="4">
        <v>6.74</v>
      </c>
      <c r="C2410" s="4">
        <v>0.16</v>
      </c>
      <c r="D2410" s="4">
        <v>0.09</v>
      </c>
      <c r="E2410" s="4">
        <v>-1.41107881595685E-2</v>
      </c>
      <c r="F2410" s="3">
        <v>2408</v>
      </c>
      <c r="G2410" s="3">
        <v>2</v>
      </c>
      <c r="H2410" s="5">
        <v>8620961752.2299995</v>
      </c>
      <c r="I2410" s="5">
        <v>9679961752.2299995</v>
      </c>
      <c r="J2410" s="5">
        <v>2002000000</v>
      </c>
      <c r="K2410" s="5">
        <v>943000000</v>
      </c>
      <c r="L2410" s="5">
        <v>14142000000</v>
      </c>
      <c r="M2410" s="5">
        <v>1436000000</v>
      </c>
      <c r="N2410" s="5">
        <v>953000000</v>
      </c>
    </row>
    <row r="2411" spans="1:14" x14ac:dyDescent="0.25">
      <c r="A2411" s="3" t="s">
        <v>2422</v>
      </c>
      <c r="B2411" s="4">
        <v>-2.4900000000000002</v>
      </c>
      <c r="C2411" s="4">
        <v>0.12</v>
      </c>
      <c r="D2411" s="4">
        <v>-28.94</v>
      </c>
      <c r="E2411" s="4">
        <v>-1.4113689883723369E-2</v>
      </c>
      <c r="F2411" s="3">
        <v>2409</v>
      </c>
      <c r="G2411" s="3">
        <v>2</v>
      </c>
      <c r="H2411" s="5">
        <v>328036.84100000001</v>
      </c>
      <c r="I2411" s="5">
        <v>325996.84100000001</v>
      </c>
      <c r="J2411" s="5">
        <v>0</v>
      </c>
      <c r="K2411" s="5">
        <v>2040</v>
      </c>
      <c r="L2411" s="5">
        <v>0</v>
      </c>
      <c r="M2411" s="5">
        <v>-130830</v>
      </c>
      <c r="N2411" s="5">
        <v>-130830</v>
      </c>
    </row>
    <row r="2412" spans="1:14" x14ac:dyDescent="0.25">
      <c r="A2412" s="3" t="s">
        <v>2423</v>
      </c>
      <c r="B2412" s="4">
        <v>8.42</v>
      </c>
      <c r="C2412" s="4">
        <v>0.52</v>
      </c>
      <c r="D2412" s="4">
        <v>0.06</v>
      </c>
      <c r="E2412" s="4">
        <v>-1.411619194388954E-2</v>
      </c>
      <c r="F2412" s="3">
        <v>2410</v>
      </c>
      <c r="G2412" s="3">
        <v>2</v>
      </c>
      <c r="H2412" s="5">
        <v>3311872448.0599999</v>
      </c>
      <c r="I2412" s="5">
        <v>4714572448.0599995</v>
      </c>
      <c r="J2412" s="5">
        <v>2460000000</v>
      </c>
      <c r="K2412" s="5">
        <v>1057300000</v>
      </c>
      <c r="L2412" s="5">
        <v>3049500000</v>
      </c>
      <c r="M2412" s="5">
        <v>559900000</v>
      </c>
      <c r="N2412" s="5">
        <v>309700000</v>
      </c>
    </row>
    <row r="2413" spans="1:14" x14ac:dyDescent="0.25">
      <c r="A2413" s="3" t="s">
        <v>2424</v>
      </c>
      <c r="B2413" s="4">
        <v>6.74</v>
      </c>
      <c r="C2413" s="4">
        <v>0.16</v>
      </c>
      <c r="D2413" s="4">
        <v>0.03</v>
      </c>
      <c r="E2413" s="4">
        <v>-1.412236231903353E-2</v>
      </c>
      <c r="F2413" s="3">
        <v>2411</v>
      </c>
      <c r="G2413" s="3">
        <v>2</v>
      </c>
      <c r="H2413" s="5">
        <v>12846021521.129999</v>
      </c>
      <c r="I2413" s="5">
        <v>16423021521.129999</v>
      </c>
      <c r="J2413" s="5">
        <v>3739800000</v>
      </c>
      <c r="K2413" s="5">
        <v>162800000</v>
      </c>
      <c r="L2413" s="5">
        <v>12887300000</v>
      </c>
      <c r="M2413" s="5">
        <v>2438000000</v>
      </c>
      <c r="N2413" s="5">
        <v>1779100000</v>
      </c>
    </row>
    <row r="2414" spans="1:14" x14ac:dyDescent="0.25">
      <c r="A2414" s="3" t="s">
        <v>2425</v>
      </c>
      <c r="B2414" s="4">
        <v>-4.3600000000000003</v>
      </c>
      <c r="C2414" s="4">
        <v>-2.1800000000000002</v>
      </c>
      <c r="D2414" s="4">
        <v>-0.55000000000000004</v>
      </c>
      <c r="E2414" s="4">
        <v>-1.412533157815607E-2</v>
      </c>
      <c r="F2414" s="3">
        <v>2412</v>
      </c>
      <c r="G2414" s="3">
        <v>2</v>
      </c>
      <c r="H2414" s="5">
        <v>690239352.65999997</v>
      </c>
      <c r="I2414" s="5">
        <v>659801352.65999997</v>
      </c>
      <c r="J2414" s="5">
        <v>73221000</v>
      </c>
      <c r="K2414" s="5">
        <v>103659000</v>
      </c>
      <c r="L2414" s="5">
        <v>33279000</v>
      </c>
      <c r="M2414" s="5">
        <v>-151384000</v>
      </c>
      <c r="N2414" s="5">
        <v>-147791000</v>
      </c>
    </row>
    <row r="2415" spans="1:14" x14ac:dyDescent="0.25">
      <c r="A2415" s="3" t="s">
        <v>2426</v>
      </c>
      <c r="B2415" s="4">
        <v>-1.1599999999999999</v>
      </c>
      <c r="C2415" s="4">
        <v>-1.49</v>
      </c>
      <c r="D2415" s="4">
        <v>-0.62</v>
      </c>
      <c r="E2415" s="4">
        <v>-1.4125721703265801E-2</v>
      </c>
      <c r="F2415" s="3">
        <v>2413</v>
      </c>
      <c r="G2415" s="3">
        <v>2</v>
      </c>
      <c r="H2415" s="5">
        <v>136748796.75</v>
      </c>
      <c r="I2415" s="5">
        <v>83859796.75</v>
      </c>
      <c r="J2415" s="5">
        <v>0</v>
      </c>
      <c r="K2415" s="5">
        <v>52889000</v>
      </c>
      <c r="L2415" s="5">
        <v>47977000</v>
      </c>
      <c r="M2415" s="5">
        <v>-72482000</v>
      </c>
      <c r="N2415" s="5">
        <v>-68566000</v>
      </c>
    </row>
    <row r="2416" spans="1:14" x14ac:dyDescent="0.25">
      <c r="A2416" s="3" t="s">
        <v>2427</v>
      </c>
      <c r="B2416" s="4">
        <v>6.05</v>
      </c>
      <c r="C2416" s="4">
        <v>0.01</v>
      </c>
      <c r="D2416" s="4">
        <v>0</v>
      </c>
      <c r="E2416" s="4">
        <v>-1.413449831088457E-2</v>
      </c>
      <c r="F2416" s="3">
        <v>2414</v>
      </c>
      <c r="G2416" s="3">
        <v>2</v>
      </c>
      <c r="H2416" s="5">
        <v>2299440000</v>
      </c>
      <c r="I2416" s="5">
        <v>9271440000</v>
      </c>
      <c r="J2416" s="5">
        <v>7782000000</v>
      </c>
      <c r="K2416" s="5">
        <v>810000000</v>
      </c>
      <c r="L2416" s="5">
        <v>18878000000</v>
      </c>
      <c r="M2416" s="5">
        <v>1533000000</v>
      </c>
      <c r="N2416" s="5">
        <v>70000000</v>
      </c>
    </row>
    <row r="2417" spans="1:14" x14ac:dyDescent="0.25">
      <c r="A2417" s="3" t="s">
        <v>2428</v>
      </c>
      <c r="B2417" s="4">
        <v>6.99</v>
      </c>
      <c r="C2417" s="4">
        <v>0.2</v>
      </c>
      <c r="D2417" s="4">
        <v>0.16</v>
      </c>
      <c r="E2417" s="4">
        <v>-1.413644068789506E-2</v>
      </c>
      <c r="F2417" s="3">
        <v>2415</v>
      </c>
      <c r="G2417" s="3">
        <v>2</v>
      </c>
      <c r="H2417" s="5">
        <v>22343104060</v>
      </c>
      <c r="I2417" s="5">
        <v>19752404060</v>
      </c>
      <c r="J2417" s="5">
        <v>59100000</v>
      </c>
      <c r="K2417" s="5">
        <v>2649800000</v>
      </c>
      <c r="L2417" s="5">
        <v>7093600000</v>
      </c>
      <c r="M2417" s="5">
        <v>2826000000</v>
      </c>
      <c r="N2417" s="5">
        <v>2100100000</v>
      </c>
    </row>
    <row r="2418" spans="1:14" x14ac:dyDescent="0.25">
      <c r="A2418" s="3" t="s">
        <v>2429</v>
      </c>
      <c r="B2418" s="4">
        <v>6.48</v>
      </c>
      <c r="C2418" s="4">
        <v>0.1</v>
      </c>
      <c r="D2418" s="4">
        <v>0.02</v>
      </c>
      <c r="E2418" s="4">
        <v>-1.4136733639573769E-2</v>
      </c>
      <c r="F2418" s="3">
        <v>2416</v>
      </c>
      <c r="G2418" s="3">
        <v>2</v>
      </c>
      <c r="H2418" s="5">
        <v>64152871807.309998</v>
      </c>
      <c r="I2418" s="5">
        <v>174012871807.31</v>
      </c>
      <c r="J2418" s="5">
        <v>129732000000</v>
      </c>
      <c r="K2418" s="5">
        <v>19872000000</v>
      </c>
      <c r="L2418" s="5">
        <v>187442000000</v>
      </c>
      <c r="M2418" s="5">
        <v>26855000000</v>
      </c>
      <c r="N2418" s="5">
        <v>6008000000</v>
      </c>
    </row>
    <row r="2419" spans="1:14" x14ac:dyDescent="0.25">
      <c r="A2419" s="3" t="s">
        <v>2430</v>
      </c>
      <c r="B2419" s="4">
        <v>6.39</v>
      </c>
      <c r="C2419" s="4">
        <v>0.08</v>
      </c>
      <c r="D2419" s="4">
        <v>0.03</v>
      </c>
      <c r="E2419" s="4">
        <v>-1.413688897575148E-2</v>
      </c>
      <c r="F2419" s="3">
        <v>2417</v>
      </c>
      <c r="G2419" s="3">
        <v>2</v>
      </c>
      <c r="H2419" s="5">
        <v>1658523003.8399999</v>
      </c>
      <c r="I2419" s="5">
        <v>1907656003.8399999</v>
      </c>
      <c r="J2419" s="5">
        <v>810904000</v>
      </c>
      <c r="K2419" s="5">
        <v>561771000</v>
      </c>
      <c r="L2419" s="5">
        <v>11257548000</v>
      </c>
      <c r="M2419" s="5">
        <v>298710000</v>
      </c>
      <c r="N2419" s="5">
        <v>114012000</v>
      </c>
    </row>
    <row r="2420" spans="1:14" x14ac:dyDescent="0.25">
      <c r="A2420" s="3" t="s">
        <v>2431</v>
      </c>
      <c r="B2420" s="4">
        <v>6.71</v>
      </c>
      <c r="C2420" s="4">
        <v>0.14000000000000001</v>
      </c>
      <c r="D2420" s="4">
        <v>0.14000000000000001</v>
      </c>
      <c r="E2420" s="4">
        <v>-1.414036262361865E-2</v>
      </c>
      <c r="F2420" s="3">
        <v>2418</v>
      </c>
      <c r="G2420" s="3">
        <v>2</v>
      </c>
      <c r="H2420" s="5">
        <v>449550529.80000001</v>
      </c>
      <c r="I2420" s="5">
        <v>449537859.80000001</v>
      </c>
      <c r="J2420" s="5">
        <v>0</v>
      </c>
      <c r="K2420" s="5">
        <v>12670</v>
      </c>
      <c r="L2420" s="5">
        <v>71612480</v>
      </c>
      <c r="M2420" s="5">
        <v>66951290</v>
      </c>
      <c r="N2420" s="5">
        <v>66951300</v>
      </c>
    </row>
    <row r="2421" spans="1:14" x14ac:dyDescent="0.25">
      <c r="A2421" s="3" t="s">
        <v>2432</v>
      </c>
      <c r="B2421" s="4">
        <v>-6.74</v>
      </c>
      <c r="C2421" s="4">
        <v>-2.7</v>
      </c>
      <c r="D2421" s="4">
        <v>-0.48</v>
      </c>
      <c r="E2421" s="4">
        <v>-1.414126500096091E-2</v>
      </c>
      <c r="F2421" s="3">
        <v>2419</v>
      </c>
      <c r="G2421" s="3">
        <v>2</v>
      </c>
      <c r="H2421" s="5">
        <v>93696945.760000005</v>
      </c>
      <c r="I2421" s="5">
        <v>241694945.75999999</v>
      </c>
      <c r="J2421" s="5">
        <v>213592000</v>
      </c>
      <c r="K2421" s="5">
        <v>65594000</v>
      </c>
      <c r="L2421" s="5">
        <v>278298000</v>
      </c>
      <c r="M2421" s="5">
        <v>-35867000</v>
      </c>
      <c r="N2421" s="5">
        <v>-189304000</v>
      </c>
    </row>
    <row r="2422" spans="1:14" x14ac:dyDescent="0.25">
      <c r="A2422" s="3" t="s">
        <v>2433</v>
      </c>
      <c r="B2422" s="4">
        <v>7.35</v>
      </c>
      <c r="C2422" s="4">
        <v>0.28000000000000003</v>
      </c>
      <c r="D2422" s="4">
        <v>0.05</v>
      </c>
      <c r="E2422" s="4">
        <v>-1.414932252922675E-2</v>
      </c>
      <c r="F2422" s="3">
        <v>2420</v>
      </c>
      <c r="G2422" s="3">
        <v>2</v>
      </c>
      <c r="H2422" s="5">
        <v>7058825136.5799999</v>
      </c>
      <c r="I2422" s="5">
        <v>11587125136.58</v>
      </c>
      <c r="J2422" s="5">
        <v>4588100000</v>
      </c>
      <c r="K2422" s="5">
        <v>59800000</v>
      </c>
      <c r="L2422" s="5">
        <v>26765400000</v>
      </c>
      <c r="M2422" s="5">
        <v>1577300000</v>
      </c>
      <c r="N2422" s="5">
        <v>692200000</v>
      </c>
    </row>
    <row r="2423" spans="1:14" x14ac:dyDescent="0.25">
      <c r="A2423" s="3" t="s">
        <v>2434</v>
      </c>
      <c r="B2423" s="4">
        <v>7.12</v>
      </c>
      <c r="C2423" s="4">
        <v>0.22</v>
      </c>
      <c r="D2423" s="4">
        <v>0.15</v>
      </c>
      <c r="E2423" s="4">
        <v>-1.416104217450566E-2</v>
      </c>
      <c r="F2423" s="3">
        <v>2421</v>
      </c>
      <c r="G2423" s="3">
        <v>2</v>
      </c>
      <c r="H2423" s="5">
        <v>1803647041.3499999</v>
      </c>
      <c r="I2423" s="5">
        <v>1529912041.3499999</v>
      </c>
      <c r="J2423" s="5">
        <v>179266000</v>
      </c>
      <c r="K2423" s="5">
        <v>453001000</v>
      </c>
      <c r="L2423" s="5">
        <v>714734000</v>
      </c>
      <c r="M2423" s="5">
        <v>214938000</v>
      </c>
      <c r="N2423" s="5">
        <v>145493000</v>
      </c>
    </row>
    <row r="2424" spans="1:14" x14ac:dyDescent="0.25">
      <c r="A2424" s="3" t="s">
        <v>2435</v>
      </c>
      <c r="B2424" s="4">
        <v>5.57</v>
      </c>
      <c r="C2424" s="4">
        <v>-0.1</v>
      </c>
      <c r="D2424" s="4">
        <v>-0.04</v>
      </c>
      <c r="E2424" s="4">
        <v>-1.4162962220893921E-2</v>
      </c>
      <c r="F2424" s="3">
        <v>2422</v>
      </c>
      <c r="G2424" s="3">
        <v>2</v>
      </c>
      <c r="H2424" s="5">
        <v>11859051149.6</v>
      </c>
      <c r="I2424" s="5">
        <v>6445658149.6000004</v>
      </c>
      <c r="J2424" s="5">
        <v>4835989000</v>
      </c>
      <c r="K2424" s="5">
        <v>10249382000</v>
      </c>
      <c r="L2424" s="5">
        <v>26831525000</v>
      </c>
      <c r="M2424" s="5">
        <v>1157196000</v>
      </c>
      <c r="N2424" s="5">
        <v>-1346800000</v>
      </c>
    </row>
    <row r="2425" spans="1:14" x14ac:dyDescent="0.25">
      <c r="A2425" s="3" t="s">
        <v>2436</v>
      </c>
      <c r="B2425" s="4">
        <v>5.87</v>
      </c>
      <c r="C2425" s="4">
        <v>-0.04</v>
      </c>
      <c r="D2425" s="4">
        <v>-0.01</v>
      </c>
      <c r="E2425" s="4">
        <v>-1.4169489669986971E-2</v>
      </c>
      <c r="F2425" s="3">
        <v>2423</v>
      </c>
      <c r="G2425" s="3">
        <v>2</v>
      </c>
      <c r="H2425" s="5">
        <v>198173920</v>
      </c>
      <c r="I2425" s="5">
        <v>644456920</v>
      </c>
      <c r="J2425" s="5">
        <v>491035000</v>
      </c>
      <c r="K2425" s="5">
        <v>44752000</v>
      </c>
      <c r="L2425" s="5">
        <v>3009262000</v>
      </c>
      <c r="M2425" s="5">
        <v>109745000</v>
      </c>
      <c r="N2425" s="5">
        <v>-10549000</v>
      </c>
    </row>
    <row r="2426" spans="1:14" x14ac:dyDescent="0.25">
      <c r="A2426" s="3" t="s">
        <v>2437</v>
      </c>
      <c r="B2426" s="4">
        <v>6.5</v>
      </c>
      <c r="C2426" s="4">
        <v>0.09</v>
      </c>
      <c r="D2426" s="4">
        <v>0.04</v>
      </c>
      <c r="E2426" s="4">
        <v>-1.417414760482737E-2</v>
      </c>
      <c r="F2426" s="3">
        <v>2424</v>
      </c>
      <c r="G2426" s="3">
        <v>2</v>
      </c>
      <c r="H2426" s="5">
        <v>639647613.36000001</v>
      </c>
      <c r="I2426" s="5">
        <v>1044262613.36</v>
      </c>
      <c r="J2426" s="5">
        <v>455288000</v>
      </c>
      <c r="K2426" s="5">
        <v>50673000</v>
      </c>
      <c r="L2426" s="5">
        <v>719152000</v>
      </c>
      <c r="M2426" s="5">
        <v>160680000</v>
      </c>
      <c r="N2426" s="5">
        <v>48188000</v>
      </c>
    </row>
    <row r="2427" spans="1:14" x14ac:dyDescent="0.25">
      <c r="A2427" s="3" t="s">
        <v>2438</v>
      </c>
      <c r="B2427" s="4">
        <v>11.54</v>
      </c>
      <c r="C2427" s="4">
        <v>1.17</v>
      </c>
      <c r="D2427" s="4">
        <v>0.03</v>
      </c>
      <c r="E2427" s="4">
        <v>-1.4174926745170451E-2</v>
      </c>
      <c r="F2427" s="3">
        <v>2425</v>
      </c>
      <c r="G2427" s="3">
        <v>2</v>
      </c>
      <c r="H2427" s="5">
        <v>1992479241.24</v>
      </c>
      <c r="I2427" s="5">
        <v>2693301241.2399998</v>
      </c>
      <c r="J2427" s="5">
        <v>774238000</v>
      </c>
      <c r="K2427" s="5">
        <v>73416000</v>
      </c>
      <c r="L2427" s="5">
        <v>3111492000</v>
      </c>
      <c r="M2427" s="5">
        <v>233404000</v>
      </c>
      <c r="N2427" s="5">
        <v>112874000</v>
      </c>
    </row>
    <row r="2428" spans="1:14" x14ac:dyDescent="0.25">
      <c r="A2428" s="3" t="s">
        <v>2439</v>
      </c>
      <c r="B2428" s="4">
        <v>6.61</v>
      </c>
      <c r="C2428" s="4">
        <v>0.11</v>
      </c>
      <c r="D2428" s="4">
        <v>0.05</v>
      </c>
      <c r="E2428" s="4">
        <v>-1.4182512626888801E-2</v>
      </c>
      <c r="F2428" s="3">
        <v>2426</v>
      </c>
      <c r="G2428" s="3">
        <v>2</v>
      </c>
      <c r="H2428" s="5">
        <v>555339307.82000005</v>
      </c>
      <c r="I2428" s="5">
        <v>908200307.82000005</v>
      </c>
      <c r="J2428" s="5">
        <v>410586000</v>
      </c>
      <c r="K2428" s="5">
        <v>57725000</v>
      </c>
      <c r="L2428" s="5">
        <v>666818000</v>
      </c>
      <c r="M2428" s="5">
        <v>137372000</v>
      </c>
      <c r="N2428" s="5">
        <v>50731000</v>
      </c>
    </row>
    <row r="2429" spans="1:14" x14ac:dyDescent="0.25">
      <c r="A2429" s="3" t="s">
        <v>2440</v>
      </c>
      <c r="B2429" s="4">
        <v>6.57</v>
      </c>
      <c r="C2429" s="4">
        <v>0.1</v>
      </c>
      <c r="D2429" s="4">
        <v>0.04</v>
      </c>
      <c r="E2429" s="4">
        <v>-1.4188578437692461E-2</v>
      </c>
      <c r="F2429" s="3">
        <v>2427</v>
      </c>
      <c r="G2429" s="3">
        <v>2</v>
      </c>
      <c r="H2429" s="5">
        <v>371833609.5</v>
      </c>
      <c r="I2429" s="5">
        <v>543642609.5</v>
      </c>
      <c r="J2429" s="5">
        <v>190126000</v>
      </c>
      <c r="K2429" s="5">
        <v>18317000</v>
      </c>
      <c r="L2429" s="5">
        <v>729640000</v>
      </c>
      <c r="M2429" s="5">
        <v>82786000</v>
      </c>
      <c r="N2429" s="5">
        <v>18958000</v>
      </c>
    </row>
    <row r="2430" spans="1:14" x14ac:dyDescent="0.25">
      <c r="A2430" s="3" t="s">
        <v>2441</v>
      </c>
      <c r="B2430" s="4">
        <v>6.19</v>
      </c>
      <c r="C2430" s="4">
        <v>0.02</v>
      </c>
      <c r="D2430" s="4">
        <v>0.01</v>
      </c>
      <c r="E2430" s="4">
        <v>-1.4190324557051701E-2</v>
      </c>
      <c r="F2430" s="3">
        <v>2428</v>
      </c>
      <c r="G2430" s="3">
        <v>2</v>
      </c>
      <c r="H2430" s="5">
        <v>154634512.47</v>
      </c>
      <c r="I2430" s="5">
        <v>498858512.47000003</v>
      </c>
      <c r="J2430" s="5">
        <v>440843000</v>
      </c>
      <c r="K2430" s="5">
        <v>96619000</v>
      </c>
      <c r="L2430" s="5">
        <v>307685000</v>
      </c>
      <c r="M2430" s="5">
        <v>80570000</v>
      </c>
      <c r="N2430" s="5">
        <v>7123000</v>
      </c>
    </row>
    <row r="2431" spans="1:14" x14ac:dyDescent="0.25">
      <c r="A2431" s="3" t="s">
        <v>2442</v>
      </c>
      <c r="B2431" s="4">
        <v>6.25</v>
      </c>
      <c r="C2431" s="4">
        <v>0.03</v>
      </c>
      <c r="D2431" s="4">
        <v>0.02</v>
      </c>
      <c r="E2431" s="4">
        <v>-1.4196637157642199E-2</v>
      </c>
      <c r="F2431" s="3">
        <v>2429</v>
      </c>
      <c r="G2431" s="3">
        <v>2</v>
      </c>
      <c r="H2431" s="5">
        <v>1148873085.22</v>
      </c>
      <c r="I2431" s="5">
        <v>1292253085.22</v>
      </c>
      <c r="J2431" s="5">
        <v>448344000</v>
      </c>
      <c r="K2431" s="5">
        <v>304964000</v>
      </c>
      <c r="L2431" s="5">
        <v>358711000</v>
      </c>
      <c r="M2431" s="5">
        <v>206720000</v>
      </c>
      <c r="N2431" s="5">
        <v>23392000</v>
      </c>
    </row>
    <row r="2432" spans="1:14" x14ac:dyDescent="0.25">
      <c r="A2432" s="3" t="s">
        <v>2443</v>
      </c>
      <c r="B2432" s="4">
        <v>-2.78</v>
      </c>
      <c r="C2432" s="4">
        <v>-1.88</v>
      </c>
      <c r="D2432" s="4">
        <v>-0.35</v>
      </c>
      <c r="E2432" s="4">
        <v>-1.419783733631045E-2</v>
      </c>
      <c r="F2432" s="3">
        <v>2430</v>
      </c>
      <c r="G2432" s="3">
        <v>2</v>
      </c>
      <c r="H2432" s="5">
        <v>7299713.4210000001</v>
      </c>
      <c r="I2432" s="5">
        <v>6018473.4210000001</v>
      </c>
      <c r="J2432" s="5">
        <v>1171310</v>
      </c>
      <c r="K2432" s="5">
        <v>2452550</v>
      </c>
      <c r="L2432" s="5">
        <v>19482170</v>
      </c>
      <c r="M2432" s="5">
        <v>-2165570</v>
      </c>
      <c r="N2432" s="5">
        <v>-3700130</v>
      </c>
    </row>
    <row r="2433" spans="1:14" x14ac:dyDescent="0.25">
      <c r="A2433" s="3" t="s">
        <v>2444</v>
      </c>
      <c r="B2433" s="4">
        <v>-2.71</v>
      </c>
      <c r="C2433" s="4">
        <v>-1.85</v>
      </c>
      <c r="D2433" s="4">
        <v>-0.62</v>
      </c>
      <c r="E2433" s="4">
        <v>-1.4206564672739281E-2</v>
      </c>
      <c r="F2433" s="3">
        <v>2431</v>
      </c>
      <c r="G2433" s="3">
        <v>2</v>
      </c>
      <c r="H2433" s="5">
        <v>10502108.32</v>
      </c>
      <c r="I2433" s="5">
        <v>11446058.32</v>
      </c>
      <c r="J2433" s="5">
        <v>1102170</v>
      </c>
      <c r="K2433" s="5">
        <v>158220</v>
      </c>
      <c r="L2433" s="5">
        <v>5928530</v>
      </c>
      <c r="M2433" s="5">
        <v>-4228290</v>
      </c>
      <c r="N2433" s="5">
        <v>-4805950</v>
      </c>
    </row>
    <row r="2434" spans="1:14" x14ac:dyDescent="0.25">
      <c r="A2434" s="3" t="s">
        <v>2445</v>
      </c>
      <c r="B2434" s="4">
        <v>6.41</v>
      </c>
      <c r="C2434" s="4">
        <v>0.06</v>
      </c>
      <c r="D2434" s="4">
        <v>0.03</v>
      </c>
      <c r="E2434" s="4">
        <v>-1.420705460117455E-2</v>
      </c>
      <c r="F2434" s="3">
        <v>2432</v>
      </c>
      <c r="G2434" s="3">
        <v>2</v>
      </c>
      <c r="H2434" s="5">
        <v>149787268.96000001</v>
      </c>
      <c r="I2434" s="5">
        <v>217056268.96000001</v>
      </c>
      <c r="J2434" s="5">
        <v>86035000</v>
      </c>
      <c r="K2434" s="5">
        <v>18766000</v>
      </c>
      <c r="L2434" s="5">
        <v>565676000</v>
      </c>
      <c r="M2434" s="5">
        <v>33852000</v>
      </c>
      <c r="N2434" s="5">
        <v>12004000</v>
      </c>
    </row>
    <row r="2435" spans="1:14" x14ac:dyDescent="0.25">
      <c r="A2435" s="3" t="s">
        <v>2446</v>
      </c>
      <c r="B2435" s="4">
        <v>7.13</v>
      </c>
      <c r="C2435" s="4">
        <v>0.21</v>
      </c>
      <c r="D2435" s="4">
        <v>7.0000000000000007E-2</v>
      </c>
      <c r="E2435" s="4">
        <v>-1.421155719983724E-2</v>
      </c>
      <c r="F2435" s="3">
        <v>2433</v>
      </c>
      <c r="G2435" s="3">
        <v>2</v>
      </c>
      <c r="H2435" s="5">
        <v>3603222988.5300002</v>
      </c>
      <c r="I2435" s="5">
        <v>4522387988.5300007</v>
      </c>
      <c r="J2435" s="5">
        <v>1168788000</v>
      </c>
      <c r="K2435" s="5">
        <v>249623000</v>
      </c>
      <c r="L2435" s="5">
        <v>1843267000</v>
      </c>
      <c r="M2435" s="5">
        <v>633867000</v>
      </c>
      <c r="N2435" s="5">
        <v>282674000</v>
      </c>
    </row>
    <row r="2436" spans="1:14" x14ac:dyDescent="0.25">
      <c r="A2436" s="3" t="s">
        <v>2447</v>
      </c>
      <c r="B2436" s="4">
        <v>6.57</v>
      </c>
      <c r="C2436" s="4">
        <v>0.09</v>
      </c>
      <c r="D2436" s="4">
        <v>0.05</v>
      </c>
      <c r="E2436" s="4">
        <v>-1.421554301812941E-2</v>
      </c>
      <c r="F2436" s="3">
        <v>2434</v>
      </c>
      <c r="G2436" s="3">
        <v>2</v>
      </c>
      <c r="H2436" s="5">
        <v>19605471964</v>
      </c>
      <c r="I2436" s="5">
        <v>21109471964</v>
      </c>
      <c r="J2436" s="5">
        <v>3542000000</v>
      </c>
      <c r="K2436" s="5">
        <v>2038000000</v>
      </c>
      <c r="L2436" s="5">
        <v>5458000000</v>
      </c>
      <c r="M2436" s="5">
        <v>3215000000</v>
      </c>
      <c r="N2436" s="5">
        <v>1121000000</v>
      </c>
    </row>
    <row r="2437" spans="1:14" x14ac:dyDescent="0.25">
      <c r="A2437" s="3" t="s">
        <v>2448</v>
      </c>
      <c r="B2437" s="4">
        <v>7.44</v>
      </c>
      <c r="C2437" s="4">
        <v>0.27</v>
      </c>
      <c r="D2437" s="4">
        <v>0.13</v>
      </c>
      <c r="E2437" s="4">
        <v>-1.421848677489485E-2</v>
      </c>
      <c r="F2437" s="3">
        <v>2435</v>
      </c>
      <c r="G2437" s="3">
        <v>2</v>
      </c>
      <c r="H2437" s="5">
        <v>503941688.5</v>
      </c>
      <c r="I2437" s="5">
        <v>490210688.5</v>
      </c>
      <c r="J2437" s="5">
        <v>1619000</v>
      </c>
      <c r="K2437" s="5">
        <v>15350000</v>
      </c>
      <c r="L2437" s="5">
        <v>558273000</v>
      </c>
      <c r="M2437" s="5">
        <v>65872000</v>
      </c>
      <c r="N2437" s="5">
        <v>36864000</v>
      </c>
    </row>
    <row r="2438" spans="1:14" x14ac:dyDescent="0.25">
      <c r="A2438" s="3" t="s">
        <v>2449</v>
      </c>
      <c r="B2438" s="4">
        <v>6.62</v>
      </c>
      <c r="C2438" s="4">
        <v>0.1</v>
      </c>
      <c r="D2438" s="4">
        <v>0.04</v>
      </c>
      <c r="E2438" s="4">
        <v>-1.421952446617784E-2</v>
      </c>
      <c r="F2438" s="3">
        <v>2436</v>
      </c>
      <c r="G2438" s="3">
        <v>2</v>
      </c>
      <c r="H2438" s="5">
        <v>318720508.39999998</v>
      </c>
      <c r="I2438" s="5">
        <v>388989508.39999998</v>
      </c>
      <c r="J2438" s="5">
        <v>72753000</v>
      </c>
      <c r="K2438" s="5">
        <v>2484000</v>
      </c>
      <c r="L2438" s="5">
        <v>473008000</v>
      </c>
      <c r="M2438" s="5">
        <v>58777000</v>
      </c>
      <c r="N2438" s="5">
        <v>25684000</v>
      </c>
    </row>
    <row r="2439" spans="1:14" x14ac:dyDescent="0.25">
      <c r="A2439" s="3" t="s">
        <v>2450</v>
      </c>
      <c r="B2439" s="4">
        <v>7.01</v>
      </c>
      <c r="C2439" s="4">
        <v>0.18</v>
      </c>
      <c r="D2439" s="4">
        <v>0.09</v>
      </c>
      <c r="E2439" s="4">
        <v>-1.4220109499360671E-2</v>
      </c>
      <c r="F2439" s="3">
        <v>2437</v>
      </c>
      <c r="G2439" s="3">
        <v>2</v>
      </c>
      <c r="H2439" s="5">
        <v>2602513976.52</v>
      </c>
      <c r="I2439" s="5">
        <v>2064930976.52</v>
      </c>
      <c r="J2439" s="5">
        <v>0</v>
      </c>
      <c r="K2439" s="5">
        <v>537583000</v>
      </c>
      <c r="L2439" s="5">
        <v>5795837000</v>
      </c>
      <c r="M2439" s="5">
        <v>294744000</v>
      </c>
      <c r="N2439" s="5">
        <v>251598000</v>
      </c>
    </row>
    <row r="2440" spans="1:14" x14ac:dyDescent="0.25">
      <c r="A2440" s="3" t="s">
        <v>2451</v>
      </c>
      <c r="B2440" s="4">
        <v>6.62</v>
      </c>
      <c r="C2440" s="4">
        <v>0.1</v>
      </c>
      <c r="D2440" s="4">
        <v>0.03</v>
      </c>
      <c r="E2440" s="4">
        <v>-1.4221453492755351E-2</v>
      </c>
      <c r="F2440" s="3">
        <v>2438</v>
      </c>
      <c r="G2440" s="3">
        <v>2</v>
      </c>
      <c r="H2440" s="5">
        <v>174116879597.20001</v>
      </c>
      <c r="I2440" s="5">
        <v>296499879597.20001</v>
      </c>
      <c r="J2440" s="5">
        <v>123532000000</v>
      </c>
      <c r="K2440" s="5">
        <v>1149000000</v>
      </c>
      <c r="L2440" s="5">
        <v>122336000000</v>
      </c>
      <c r="M2440" s="5">
        <v>44774000000</v>
      </c>
      <c r="N2440" s="5">
        <v>10948000000</v>
      </c>
    </row>
    <row r="2441" spans="1:14" x14ac:dyDescent="0.25">
      <c r="A2441" s="3" t="s">
        <v>2452</v>
      </c>
      <c r="B2441" s="4">
        <v>7.93</v>
      </c>
      <c r="C2441" s="4">
        <v>0.37</v>
      </c>
      <c r="D2441" s="4">
        <v>0.18</v>
      </c>
      <c r="E2441" s="4">
        <v>-1.4223176651019539E-2</v>
      </c>
      <c r="F2441" s="3">
        <v>2439</v>
      </c>
      <c r="G2441" s="3">
        <v>2</v>
      </c>
      <c r="H2441" s="5">
        <v>672190499.97000003</v>
      </c>
      <c r="I2441" s="5">
        <v>644432499.97000003</v>
      </c>
      <c r="J2441" s="5">
        <v>0</v>
      </c>
      <c r="K2441" s="5">
        <v>27758000</v>
      </c>
      <c r="L2441" s="5">
        <v>496404000</v>
      </c>
      <c r="M2441" s="5">
        <v>81280000</v>
      </c>
      <c r="N2441" s="5">
        <v>51785000</v>
      </c>
    </row>
    <row r="2442" spans="1:14" x14ac:dyDescent="0.25">
      <c r="A2442" s="3" t="s">
        <v>2453</v>
      </c>
      <c r="B2442" s="4">
        <v>6.81</v>
      </c>
      <c r="C2442" s="4">
        <v>0.14000000000000001</v>
      </c>
      <c r="D2442" s="4">
        <v>0.03</v>
      </c>
      <c r="E2442" s="4">
        <v>-1.4223473972941989E-2</v>
      </c>
      <c r="F2442" s="3">
        <v>2440</v>
      </c>
      <c r="G2442" s="3">
        <v>2</v>
      </c>
      <c r="H2442" s="5">
        <v>2942442123.0599999</v>
      </c>
      <c r="I2442" s="5">
        <v>3547320123.0599999</v>
      </c>
      <c r="J2442" s="5">
        <v>864112000</v>
      </c>
      <c r="K2442" s="5">
        <v>259234000</v>
      </c>
      <c r="L2442" s="5">
        <v>8701698000</v>
      </c>
      <c r="M2442" s="5">
        <v>521002000</v>
      </c>
      <c r="N2442" s="5">
        <v>249691000</v>
      </c>
    </row>
    <row r="2443" spans="1:14" x14ac:dyDescent="0.25">
      <c r="A2443" s="3" t="s">
        <v>2454</v>
      </c>
      <c r="B2443" s="4">
        <v>5.96</v>
      </c>
      <c r="C2443" s="4">
        <v>-0.04</v>
      </c>
      <c r="D2443" s="4">
        <v>-0.01</v>
      </c>
      <c r="E2443" s="4">
        <v>-1.4225192521260669E-2</v>
      </c>
      <c r="F2443" s="3">
        <v>2441</v>
      </c>
      <c r="G2443" s="3">
        <v>2</v>
      </c>
      <c r="H2443" s="5">
        <v>2510834995.3400002</v>
      </c>
      <c r="I2443" s="5">
        <v>4627834995.3400002</v>
      </c>
      <c r="J2443" s="5">
        <v>2611000000</v>
      </c>
      <c r="K2443" s="5">
        <v>494000000</v>
      </c>
      <c r="L2443" s="5">
        <v>10284000000</v>
      </c>
      <c r="M2443" s="5">
        <v>776000000</v>
      </c>
      <c r="N2443" s="5">
        <v>-57000000</v>
      </c>
    </row>
    <row r="2444" spans="1:14" x14ac:dyDescent="0.25">
      <c r="A2444" s="3" t="s">
        <v>2455</v>
      </c>
      <c r="B2444" s="4">
        <v>8.01</v>
      </c>
      <c r="C2444" s="4">
        <v>0.38</v>
      </c>
      <c r="D2444" s="4">
        <v>0.27</v>
      </c>
      <c r="E2444" s="4">
        <v>-1.4226435450384149E-2</v>
      </c>
      <c r="F2444" s="3">
        <v>2442</v>
      </c>
      <c r="G2444" s="3">
        <v>2</v>
      </c>
      <c r="H2444" s="5">
        <v>11923384787.73</v>
      </c>
      <c r="I2444" s="5">
        <v>10034196787.73</v>
      </c>
      <c r="J2444" s="5">
        <v>0</v>
      </c>
      <c r="K2444" s="5">
        <v>1889188000</v>
      </c>
      <c r="L2444" s="5">
        <v>4985612000</v>
      </c>
      <c r="M2444" s="5">
        <v>1252735000</v>
      </c>
      <c r="N2444" s="5">
        <v>966091000</v>
      </c>
    </row>
    <row r="2445" spans="1:14" x14ac:dyDescent="0.25">
      <c r="A2445" s="3" t="s">
        <v>2456</v>
      </c>
      <c r="B2445" s="4">
        <v>6.01</v>
      </c>
      <c r="C2445" s="4">
        <v>-0.03</v>
      </c>
      <c r="D2445" s="4">
        <v>-0.01</v>
      </c>
      <c r="E2445" s="4">
        <v>-1.4227244942731599E-2</v>
      </c>
      <c r="F2445" s="3">
        <v>2443</v>
      </c>
      <c r="G2445" s="3">
        <v>2</v>
      </c>
      <c r="H2445" s="5">
        <v>1055812667.34</v>
      </c>
      <c r="I2445" s="5">
        <v>2188712667.3400002</v>
      </c>
      <c r="J2445" s="5">
        <v>1326600000</v>
      </c>
      <c r="K2445" s="5">
        <v>193700000</v>
      </c>
      <c r="L2445" s="5">
        <v>3669900000</v>
      </c>
      <c r="M2445" s="5">
        <v>364100000</v>
      </c>
      <c r="N2445" s="5">
        <v>-36900000</v>
      </c>
    </row>
    <row r="2446" spans="1:14" x14ac:dyDescent="0.25">
      <c r="A2446" s="3" t="s">
        <v>2457</v>
      </c>
      <c r="B2446" s="4">
        <v>8.82</v>
      </c>
      <c r="C2446" s="4">
        <v>0.57999999999999996</v>
      </c>
      <c r="D2446" s="4">
        <v>-0.14000000000000001</v>
      </c>
      <c r="E2446" s="4">
        <v>-1.422897906123601E-2</v>
      </c>
      <c r="F2446" s="3">
        <v>2444</v>
      </c>
      <c r="G2446" s="3">
        <v>2</v>
      </c>
      <c r="H2446" s="5">
        <v>72049042.433200002</v>
      </c>
      <c r="I2446" s="5">
        <v>88886042.433200002</v>
      </c>
      <c r="J2446" s="5">
        <v>28936000</v>
      </c>
      <c r="K2446" s="5">
        <v>12099000</v>
      </c>
      <c r="L2446" s="5">
        <v>142772000</v>
      </c>
      <c r="M2446" s="5">
        <v>10074000</v>
      </c>
      <c r="N2446" s="5">
        <v>-12366000</v>
      </c>
    </row>
    <row r="2447" spans="1:14" x14ac:dyDescent="0.25">
      <c r="A2447" s="3" t="s">
        <v>2458</v>
      </c>
      <c r="B2447" s="4">
        <v>7.36</v>
      </c>
      <c r="C2447" s="4">
        <v>0.25</v>
      </c>
      <c r="D2447" s="4">
        <v>0.1</v>
      </c>
      <c r="E2447" s="4">
        <v>-1.423254742307967E-2</v>
      </c>
      <c r="F2447" s="3">
        <v>2445</v>
      </c>
      <c r="G2447" s="3">
        <v>2</v>
      </c>
      <c r="H2447" s="5">
        <v>12336369616.360001</v>
      </c>
      <c r="I2447" s="5">
        <v>15886858616.360001</v>
      </c>
      <c r="J2447" s="5">
        <v>3704113000</v>
      </c>
      <c r="K2447" s="5">
        <v>153624000</v>
      </c>
      <c r="L2447" s="5">
        <v>16400492000</v>
      </c>
      <c r="M2447" s="5">
        <v>2157178000</v>
      </c>
      <c r="N2447" s="5">
        <v>1077898000</v>
      </c>
    </row>
    <row r="2448" spans="1:14" x14ac:dyDescent="0.25">
      <c r="A2448" s="3" t="s">
        <v>2459</v>
      </c>
      <c r="B2448" s="4">
        <v>8.85</v>
      </c>
      <c r="C2448" s="4">
        <v>0.56999999999999995</v>
      </c>
      <c r="D2448" s="4">
        <v>7.0000000000000007E-2</v>
      </c>
      <c r="E2448" s="4">
        <v>-1.4235930727214069E-2</v>
      </c>
      <c r="F2448" s="3">
        <v>2446</v>
      </c>
      <c r="G2448" s="3">
        <v>2</v>
      </c>
      <c r="H2448" s="5">
        <v>44258726988.879997</v>
      </c>
      <c r="I2448" s="5">
        <v>65055726988.879997</v>
      </c>
      <c r="J2448" s="5">
        <v>23435000000</v>
      </c>
      <c r="K2448" s="5">
        <v>2638000000</v>
      </c>
      <c r="L2448" s="5">
        <v>15703000000</v>
      </c>
      <c r="M2448" s="5">
        <v>7348000000</v>
      </c>
      <c r="N2448" s="5">
        <v>3252000000</v>
      </c>
    </row>
    <row r="2449" spans="1:14" x14ac:dyDescent="0.25">
      <c r="A2449" s="3" t="s">
        <v>2460</v>
      </c>
      <c r="B2449" s="4">
        <v>6.68</v>
      </c>
      <c r="C2449" s="4">
        <v>0.1</v>
      </c>
      <c r="D2449" s="4">
        <v>0.1</v>
      </c>
      <c r="E2449" s="4">
        <v>-1.4245085540895271E-2</v>
      </c>
      <c r="F2449" s="3">
        <v>2447</v>
      </c>
      <c r="G2449" s="3">
        <v>2</v>
      </c>
      <c r="H2449" s="5">
        <v>111053512.56999999</v>
      </c>
      <c r="I2449" s="5">
        <v>82264512.569999993</v>
      </c>
      <c r="J2449" s="5">
        <v>26000</v>
      </c>
      <c r="K2449" s="5">
        <v>28815000</v>
      </c>
      <c r="L2449" s="5">
        <v>49694000</v>
      </c>
      <c r="M2449" s="5">
        <v>12324000</v>
      </c>
      <c r="N2449" s="5">
        <v>12716000</v>
      </c>
    </row>
    <row r="2450" spans="1:14" x14ac:dyDescent="0.25">
      <c r="A2450" s="3" t="s">
        <v>2461</v>
      </c>
      <c r="B2450" s="4">
        <v>6.84</v>
      </c>
      <c r="C2450" s="4">
        <v>0.14000000000000001</v>
      </c>
      <c r="D2450" s="4">
        <v>0.01</v>
      </c>
      <c r="E2450" s="4">
        <v>-1.4245899643188229E-2</v>
      </c>
      <c r="F2450" s="3">
        <v>2448</v>
      </c>
      <c r="G2450" s="3">
        <v>2</v>
      </c>
      <c r="H2450" s="5">
        <v>1803864515</v>
      </c>
      <c r="I2450" s="5">
        <v>5198864515</v>
      </c>
      <c r="J2450" s="5">
        <v>4108000000</v>
      </c>
      <c r="K2450" s="5">
        <v>713000000</v>
      </c>
      <c r="L2450" s="5">
        <v>5782000000</v>
      </c>
      <c r="M2450" s="5">
        <v>760000000</v>
      </c>
      <c r="N2450" s="5">
        <v>86000000</v>
      </c>
    </row>
    <row r="2451" spans="1:14" x14ac:dyDescent="0.25">
      <c r="A2451" s="3" t="s">
        <v>2462</v>
      </c>
      <c r="B2451" s="4">
        <v>-0.24</v>
      </c>
      <c r="C2451" s="4">
        <v>-1.35</v>
      </c>
      <c r="D2451" s="4">
        <v>-0.39</v>
      </c>
      <c r="E2451" s="4">
        <v>-1.424625051791188E-2</v>
      </c>
      <c r="F2451" s="3">
        <v>2449</v>
      </c>
      <c r="G2451" s="3">
        <v>2</v>
      </c>
      <c r="H2451" s="5">
        <v>11495378.1447</v>
      </c>
      <c r="I2451" s="5">
        <v>100971378.1447001</v>
      </c>
      <c r="J2451" s="5">
        <v>546251000</v>
      </c>
      <c r="K2451" s="5">
        <v>456775000</v>
      </c>
      <c r="L2451" s="5">
        <v>784403000</v>
      </c>
      <c r="M2451" s="5">
        <v>-426484000</v>
      </c>
      <c r="N2451" s="5">
        <v>-479921000</v>
      </c>
    </row>
    <row r="2452" spans="1:14" x14ac:dyDescent="0.25">
      <c r="A2452" s="3" t="s">
        <v>2463</v>
      </c>
      <c r="B2452" s="4">
        <v>6.39</v>
      </c>
      <c r="C2452" s="4">
        <v>0.04</v>
      </c>
      <c r="D2452" s="4">
        <v>0.02</v>
      </c>
      <c r="E2452" s="4">
        <v>-1.4254392430386819E-2</v>
      </c>
      <c r="F2452" s="3">
        <v>2450</v>
      </c>
      <c r="G2452" s="3">
        <v>2</v>
      </c>
      <c r="H2452" s="5">
        <v>362559180.89999998</v>
      </c>
      <c r="I2452" s="5">
        <v>531266180.89999998</v>
      </c>
      <c r="J2452" s="5">
        <v>228052000</v>
      </c>
      <c r="K2452" s="5">
        <v>59345000</v>
      </c>
      <c r="L2452" s="5">
        <v>772255000</v>
      </c>
      <c r="M2452" s="5">
        <v>83185000</v>
      </c>
      <c r="N2452" s="5">
        <v>21212000</v>
      </c>
    </row>
    <row r="2453" spans="1:14" x14ac:dyDescent="0.25">
      <c r="A2453" s="3" t="s">
        <v>2464</v>
      </c>
      <c r="B2453" s="4">
        <v>5.43</v>
      </c>
      <c r="C2453" s="4">
        <v>-0.16</v>
      </c>
      <c r="D2453" s="4">
        <v>-7.0000000000000007E-2</v>
      </c>
      <c r="E2453" s="4">
        <v>-1.42554620629541E-2</v>
      </c>
      <c r="F2453" s="3">
        <v>2451</v>
      </c>
      <c r="G2453" s="3">
        <v>2</v>
      </c>
      <c r="H2453" s="5">
        <v>46946130.880000003</v>
      </c>
      <c r="I2453" s="5">
        <v>57123130.880000003</v>
      </c>
      <c r="J2453" s="5">
        <v>36960000</v>
      </c>
      <c r="K2453" s="5">
        <v>26783000</v>
      </c>
      <c r="L2453" s="5">
        <v>394879000</v>
      </c>
      <c r="M2453" s="5">
        <v>10527000</v>
      </c>
      <c r="N2453" s="5">
        <v>-24029000</v>
      </c>
    </row>
    <row r="2454" spans="1:14" x14ac:dyDescent="0.25">
      <c r="A2454" s="3" t="s">
        <v>2465</v>
      </c>
      <c r="B2454" s="4">
        <v>6.73</v>
      </c>
      <c r="C2454" s="4">
        <v>0.11</v>
      </c>
      <c r="D2454" s="4">
        <v>0.05</v>
      </c>
      <c r="E2454" s="4">
        <v>-1.4256783095253731E-2</v>
      </c>
      <c r="F2454" s="3">
        <v>2452</v>
      </c>
      <c r="G2454" s="3">
        <v>2</v>
      </c>
      <c r="H2454" s="5">
        <v>7893991625.04</v>
      </c>
      <c r="I2454" s="5">
        <v>11824991625.040001</v>
      </c>
      <c r="J2454" s="5">
        <v>4165000000</v>
      </c>
      <c r="K2454" s="5">
        <v>234000000</v>
      </c>
      <c r="L2454" s="5">
        <v>14355000000</v>
      </c>
      <c r="M2454" s="5">
        <v>1756000000</v>
      </c>
      <c r="N2454" s="5">
        <v>690000000</v>
      </c>
    </row>
    <row r="2455" spans="1:14" x14ac:dyDescent="0.25">
      <c r="A2455" s="3" t="s">
        <v>2466</v>
      </c>
      <c r="B2455" s="4">
        <v>6.84</v>
      </c>
      <c r="C2455" s="4">
        <v>0.13</v>
      </c>
      <c r="D2455" s="4">
        <v>0.1</v>
      </c>
      <c r="E2455" s="4">
        <v>-1.425743201100514E-2</v>
      </c>
      <c r="F2455" s="3">
        <v>2453</v>
      </c>
      <c r="G2455" s="3">
        <v>2</v>
      </c>
      <c r="H2455" s="5">
        <v>5362902172.3599997</v>
      </c>
      <c r="I2455" s="5">
        <v>4425029172.3599997</v>
      </c>
      <c r="J2455" s="5">
        <v>233955000</v>
      </c>
      <c r="K2455" s="5">
        <v>1171828000</v>
      </c>
      <c r="L2455" s="5">
        <v>6652309000</v>
      </c>
      <c r="M2455" s="5">
        <v>646561000</v>
      </c>
      <c r="N2455" s="5">
        <v>414560000</v>
      </c>
    </row>
    <row r="2456" spans="1:14" x14ac:dyDescent="0.25">
      <c r="A2456" s="3" t="s">
        <v>2467</v>
      </c>
      <c r="B2456" s="4">
        <v>9.3800000000000008</v>
      </c>
      <c r="C2456" s="4">
        <v>0.67</v>
      </c>
      <c r="D2456" s="4">
        <v>0.16</v>
      </c>
      <c r="E2456" s="4">
        <v>-1.4257661319817049E-2</v>
      </c>
      <c r="F2456" s="3">
        <v>2454</v>
      </c>
      <c r="G2456" s="3">
        <v>2</v>
      </c>
      <c r="H2456" s="5">
        <v>3601514920.25</v>
      </c>
      <c r="I2456" s="5">
        <v>3532726920.25</v>
      </c>
      <c r="J2456" s="5">
        <v>199430000</v>
      </c>
      <c r="K2456" s="5">
        <v>268218000</v>
      </c>
      <c r="L2456" s="5">
        <v>1111802000</v>
      </c>
      <c r="M2456" s="5">
        <v>376529000</v>
      </c>
      <c r="N2456" s="5">
        <v>259748000</v>
      </c>
    </row>
    <row r="2457" spans="1:14" x14ac:dyDescent="0.25">
      <c r="A2457" s="3" t="s">
        <v>2468</v>
      </c>
      <c r="B2457" s="4">
        <v>-0.76</v>
      </c>
      <c r="C2457" s="4">
        <v>-1.41</v>
      </c>
      <c r="D2457" s="4">
        <v>-1.26</v>
      </c>
      <c r="E2457" s="4">
        <v>-1.42655987759936E-2</v>
      </c>
      <c r="F2457" s="3">
        <v>2455</v>
      </c>
      <c r="G2457" s="3">
        <v>2</v>
      </c>
      <c r="H2457" s="5">
        <v>10917361.35</v>
      </c>
      <c r="I2457" s="5">
        <v>5481381.3499999996</v>
      </c>
      <c r="J2457" s="5">
        <v>0</v>
      </c>
      <c r="K2457" s="5">
        <v>5435980</v>
      </c>
      <c r="L2457" s="5">
        <v>0</v>
      </c>
      <c r="M2457" s="5">
        <v>-7234660</v>
      </c>
      <c r="N2457" s="5">
        <v>-6993650</v>
      </c>
    </row>
    <row r="2458" spans="1:14" x14ac:dyDescent="0.25">
      <c r="A2458" s="3" t="s">
        <v>2469</v>
      </c>
      <c r="B2458" s="4">
        <v>2.0099999999999998</v>
      </c>
      <c r="C2458" s="4">
        <v>-0.89</v>
      </c>
      <c r="D2458" s="4">
        <v>-0.18</v>
      </c>
      <c r="E2458" s="4">
        <v>-1.426920631896161E-2</v>
      </c>
      <c r="F2458" s="3">
        <v>2456</v>
      </c>
      <c r="G2458" s="3">
        <v>2</v>
      </c>
      <c r="H2458" s="5">
        <v>80</v>
      </c>
      <c r="I2458" s="5">
        <v>-59030</v>
      </c>
      <c r="J2458" s="5">
        <v>0</v>
      </c>
      <c r="K2458" s="5">
        <v>59110</v>
      </c>
      <c r="L2458" s="5">
        <v>258860</v>
      </c>
      <c r="M2458" s="5">
        <v>-29420</v>
      </c>
      <c r="N2458" s="5">
        <v>-18250</v>
      </c>
    </row>
    <row r="2459" spans="1:14" x14ac:dyDescent="0.25">
      <c r="A2459" s="3" t="s">
        <v>2470</v>
      </c>
      <c r="B2459" s="4">
        <v>6.56</v>
      </c>
      <c r="C2459" s="4">
        <v>7.0000000000000007E-2</v>
      </c>
      <c r="D2459" s="4">
        <v>0.03</v>
      </c>
      <c r="E2459" s="4">
        <v>-1.4270999079616259E-2</v>
      </c>
      <c r="F2459" s="3">
        <v>2457</v>
      </c>
      <c r="G2459" s="3">
        <v>2</v>
      </c>
      <c r="H2459" s="5">
        <v>1819362339.1800001</v>
      </c>
      <c r="I2459" s="5">
        <v>2255860339.1799998</v>
      </c>
      <c r="J2459" s="5">
        <v>1190048000</v>
      </c>
      <c r="K2459" s="5">
        <v>753550000</v>
      </c>
      <c r="L2459" s="5">
        <v>3200460000</v>
      </c>
      <c r="M2459" s="5">
        <v>343794000</v>
      </c>
      <c r="N2459" s="5">
        <v>107983000</v>
      </c>
    </row>
    <row r="2460" spans="1:14" x14ac:dyDescent="0.25">
      <c r="A2460" s="3" t="s">
        <v>2471</v>
      </c>
      <c r="B2460" s="4">
        <v>7.26</v>
      </c>
      <c r="C2460" s="4">
        <v>0.22</v>
      </c>
      <c r="D2460" s="4">
        <v>0.01</v>
      </c>
      <c r="E2460" s="4">
        <v>-1.4274697426349819E-2</v>
      </c>
      <c r="F2460" s="3">
        <v>2458</v>
      </c>
      <c r="G2460" s="3">
        <v>2</v>
      </c>
      <c r="H2460" s="5">
        <v>867822952.08000004</v>
      </c>
      <c r="I2460" s="5">
        <v>1125236952.0799999</v>
      </c>
      <c r="J2460" s="5">
        <v>318758000</v>
      </c>
      <c r="K2460" s="5">
        <v>61344000</v>
      </c>
      <c r="L2460" s="5">
        <v>525963000</v>
      </c>
      <c r="M2460" s="5">
        <v>154948000</v>
      </c>
      <c r="N2460" s="5">
        <v>7258000</v>
      </c>
    </row>
    <row r="2461" spans="1:14" x14ac:dyDescent="0.25">
      <c r="A2461" s="3" t="s">
        <v>2472</v>
      </c>
      <c r="B2461" s="4">
        <v>7.22</v>
      </c>
      <c r="C2461" s="4">
        <v>0.21</v>
      </c>
      <c r="D2461" s="4">
        <v>0.03</v>
      </c>
      <c r="E2461" s="4">
        <v>-1.427497615742096E-2</v>
      </c>
      <c r="F2461" s="3">
        <v>2459</v>
      </c>
      <c r="G2461" s="3">
        <v>2</v>
      </c>
      <c r="H2461" s="5">
        <v>26490363.199999999</v>
      </c>
      <c r="I2461" s="5">
        <v>10731266363.200001</v>
      </c>
      <c r="J2461" s="5">
        <v>12825291000</v>
      </c>
      <c r="K2461" s="5">
        <v>2120515000</v>
      </c>
      <c r="L2461" s="5">
        <v>20650916000</v>
      </c>
      <c r="M2461" s="5">
        <v>1486603000</v>
      </c>
      <c r="N2461" s="5">
        <v>753621000</v>
      </c>
    </row>
    <row r="2462" spans="1:14" x14ac:dyDescent="0.25">
      <c r="A2462" s="3" t="s">
        <v>2473</v>
      </c>
      <c r="B2462" s="4">
        <v>-15.97</v>
      </c>
      <c r="C2462" s="4">
        <v>-4.62</v>
      </c>
      <c r="D2462" s="4">
        <v>-2.04</v>
      </c>
      <c r="E2462" s="4">
        <v>-1.4277128835425279E-2</v>
      </c>
      <c r="F2462" s="3">
        <v>2460</v>
      </c>
      <c r="G2462" s="3">
        <v>2</v>
      </c>
      <c r="H2462" s="5">
        <v>523756719.75</v>
      </c>
      <c r="I2462" s="5">
        <v>506041719.75</v>
      </c>
      <c r="J2462" s="5">
        <v>990000</v>
      </c>
      <c r="K2462" s="5">
        <v>18705000</v>
      </c>
      <c r="L2462" s="5">
        <v>293000</v>
      </c>
      <c r="M2462" s="5">
        <v>-31684000</v>
      </c>
      <c r="N2462" s="5">
        <v>-54581000</v>
      </c>
    </row>
    <row r="2463" spans="1:14" x14ac:dyDescent="0.25">
      <c r="A2463" s="3" t="s">
        <v>2474</v>
      </c>
      <c r="B2463" s="4">
        <v>-0.88</v>
      </c>
      <c r="C2463" s="4">
        <v>-1.49</v>
      </c>
      <c r="D2463" s="4">
        <v>-0.51</v>
      </c>
      <c r="E2463" s="4">
        <v>-1.42778001704314E-2</v>
      </c>
      <c r="F2463" s="3">
        <v>2461</v>
      </c>
      <c r="G2463" s="3">
        <v>2</v>
      </c>
      <c r="H2463" s="5">
        <v>26234612.5</v>
      </c>
      <c r="I2463" s="5">
        <v>36680612.5</v>
      </c>
      <c r="J2463" s="5">
        <v>21442000</v>
      </c>
      <c r="K2463" s="5">
        <v>10996000</v>
      </c>
      <c r="L2463" s="5">
        <v>55961000</v>
      </c>
      <c r="M2463" s="5">
        <v>-41629000</v>
      </c>
      <c r="N2463" s="5">
        <v>-50159000</v>
      </c>
    </row>
    <row r="2464" spans="1:14" x14ac:dyDescent="0.25">
      <c r="A2464" s="3" t="s">
        <v>2475</v>
      </c>
      <c r="B2464" s="4">
        <v>13</v>
      </c>
      <c r="C2464" s="4">
        <v>1.47</v>
      </c>
      <c r="D2464" s="4">
        <v>-0.32</v>
      </c>
      <c r="E2464" s="4">
        <v>-1.427925849672272E-2</v>
      </c>
      <c r="F2464" s="3">
        <v>2462</v>
      </c>
      <c r="G2464" s="3">
        <v>2</v>
      </c>
      <c r="H2464" s="5">
        <v>78718828.5</v>
      </c>
      <c r="I2464" s="5">
        <v>499620828.5</v>
      </c>
      <c r="J2464" s="5">
        <v>440310000</v>
      </c>
      <c r="K2464" s="5">
        <v>19408000</v>
      </c>
      <c r="L2464" s="5">
        <v>286087000</v>
      </c>
      <c r="M2464" s="5">
        <v>38445000</v>
      </c>
      <c r="N2464" s="5">
        <v>-146076000</v>
      </c>
    </row>
    <row r="2465" spans="1:14" x14ac:dyDescent="0.25">
      <c r="A2465" s="3" t="s">
        <v>2476</v>
      </c>
      <c r="B2465" s="4">
        <v>-4.22</v>
      </c>
      <c r="C2465" s="4">
        <v>-2.19</v>
      </c>
      <c r="D2465" s="4">
        <v>-0.81</v>
      </c>
      <c r="E2465" s="4">
        <v>-1.4291028755944769E-2</v>
      </c>
      <c r="F2465" s="3">
        <v>2463</v>
      </c>
      <c r="G2465" s="3">
        <v>2</v>
      </c>
      <c r="H2465" s="5">
        <v>190165302.25</v>
      </c>
      <c r="I2465" s="5">
        <v>207291302.25</v>
      </c>
      <c r="J2465" s="5">
        <v>30614000</v>
      </c>
      <c r="K2465" s="5">
        <v>13488000</v>
      </c>
      <c r="L2465" s="5">
        <v>768000</v>
      </c>
      <c r="M2465" s="5">
        <v>-49068000</v>
      </c>
      <c r="N2465" s="5">
        <v>-49317000</v>
      </c>
    </row>
    <row r="2466" spans="1:14" x14ac:dyDescent="0.25">
      <c r="A2466" s="3" t="s">
        <v>2477</v>
      </c>
      <c r="B2466" s="4">
        <v>8.76</v>
      </c>
      <c r="C2466" s="4">
        <v>0.53</v>
      </c>
      <c r="D2466" s="4">
        <v>0.06</v>
      </c>
      <c r="E2466" s="4">
        <v>-1.429773133057571E-2</v>
      </c>
      <c r="F2466" s="3">
        <v>2464</v>
      </c>
      <c r="G2466" s="3">
        <v>2</v>
      </c>
      <c r="H2466" s="5">
        <v>6164198397.4200001</v>
      </c>
      <c r="I2466" s="5">
        <v>9838198397.4200001</v>
      </c>
      <c r="J2466" s="5">
        <v>3870000000</v>
      </c>
      <c r="K2466" s="5">
        <v>196000000</v>
      </c>
      <c r="L2466" s="5">
        <v>3188000000</v>
      </c>
      <c r="M2466" s="5">
        <v>1123000000</v>
      </c>
      <c r="N2466" s="5">
        <v>336000000</v>
      </c>
    </row>
    <row r="2467" spans="1:14" x14ac:dyDescent="0.25">
      <c r="A2467" s="3" t="s">
        <v>2478</v>
      </c>
      <c r="B2467" s="4">
        <v>-4.5999999999999996</v>
      </c>
      <c r="C2467" s="4">
        <v>-2.2999999999999998</v>
      </c>
      <c r="D2467" s="4">
        <v>-0.42</v>
      </c>
      <c r="E2467" s="4">
        <v>-1.429843658009213E-2</v>
      </c>
      <c r="F2467" s="3">
        <v>2465</v>
      </c>
      <c r="G2467" s="3">
        <v>2</v>
      </c>
      <c r="H2467" s="5">
        <v>63447049.18</v>
      </c>
      <c r="I2467" s="5">
        <v>291625049.18000001</v>
      </c>
      <c r="J2467" s="5">
        <v>234875000</v>
      </c>
      <c r="K2467" s="5">
        <v>6697000</v>
      </c>
      <c r="L2467" s="5">
        <v>163943000</v>
      </c>
      <c r="M2467" s="5">
        <v>-63406000</v>
      </c>
      <c r="N2467" s="5">
        <v>-148980000</v>
      </c>
    </row>
    <row r="2468" spans="1:14" x14ac:dyDescent="0.25">
      <c r="A2468" s="3" t="s">
        <v>2479</v>
      </c>
      <c r="B2468" s="4">
        <v>-1.66</v>
      </c>
      <c r="C2468" s="4">
        <v>-1.69</v>
      </c>
      <c r="D2468" s="4">
        <v>-0.14000000000000001</v>
      </c>
      <c r="E2468" s="4">
        <v>-1.43015402829808E-2</v>
      </c>
      <c r="F2468" s="3">
        <v>2466</v>
      </c>
      <c r="G2468" s="3">
        <v>2</v>
      </c>
      <c r="H2468" s="5">
        <v>14847.005999999999</v>
      </c>
      <c r="I2468" s="5">
        <v>368146847.00599998</v>
      </c>
      <c r="J2468" s="5">
        <v>414543000</v>
      </c>
      <c r="K2468" s="5">
        <v>46411000</v>
      </c>
      <c r="L2468" s="5">
        <v>4722099000</v>
      </c>
      <c r="M2468" s="5">
        <v>-221516000</v>
      </c>
      <c r="N2468" s="5">
        <v>-481876000</v>
      </c>
    </row>
    <row r="2469" spans="1:14" x14ac:dyDescent="0.25">
      <c r="A2469" s="3" t="s">
        <v>2480</v>
      </c>
      <c r="B2469" s="4">
        <v>-0.31</v>
      </c>
      <c r="C2469" s="4">
        <v>-1.35</v>
      </c>
      <c r="D2469" s="4">
        <v>-0.93</v>
      </c>
      <c r="E2469" s="4">
        <v>-1.4307093513217651E-2</v>
      </c>
      <c r="F2469" s="3">
        <v>2467</v>
      </c>
      <c r="G2469" s="3">
        <v>2</v>
      </c>
      <c r="H2469" s="5">
        <v>29989904.120000001</v>
      </c>
      <c r="I2469" s="5">
        <v>20252904.120000001</v>
      </c>
      <c r="J2469" s="5">
        <v>0</v>
      </c>
      <c r="K2469" s="5">
        <v>9737000</v>
      </c>
      <c r="L2469" s="5">
        <v>0</v>
      </c>
      <c r="M2469" s="5">
        <v>-64448000</v>
      </c>
      <c r="N2469" s="5">
        <v>-63223000</v>
      </c>
    </row>
    <row r="2470" spans="1:14" x14ac:dyDescent="0.25">
      <c r="A2470" s="3" t="s">
        <v>2481</v>
      </c>
      <c r="B2470" s="4">
        <v>6.48</v>
      </c>
      <c r="C2470" s="4">
        <v>0.04</v>
      </c>
      <c r="D2470" s="4">
        <v>0.02</v>
      </c>
      <c r="E2470" s="4">
        <v>-1.431009528166052E-2</v>
      </c>
      <c r="F2470" s="3">
        <v>2468</v>
      </c>
      <c r="G2470" s="3">
        <v>2</v>
      </c>
      <c r="H2470" s="5">
        <v>1392133255.24</v>
      </c>
      <c r="I2470" s="5">
        <v>1457717255.24</v>
      </c>
      <c r="J2470" s="5">
        <v>85562000</v>
      </c>
      <c r="K2470" s="5">
        <v>19978000</v>
      </c>
      <c r="L2470" s="5">
        <v>1452075000</v>
      </c>
      <c r="M2470" s="5">
        <v>224849000</v>
      </c>
      <c r="N2470" s="5">
        <v>30644000</v>
      </c>
    </row>
    <row r="2471" spans="1:14" x14ac:dyDescent="0.25">
      <c r="A2471" s="3" t="s">
        <v>2482</v>
      </c>
      <c r="B2471" s="4">
        <v>-1.68</v>
      </c>
      <c r="C2471" s="4">
        <v>-1.69</v>
      </c>
      <c r="D2471" s="4">
        <v>-0.26</v>
      </c>
      <c r="E2471" s="4">
        <v>-1.431231019051672E-2</v>
      </c>
      <c r="F2471" s="3">
        <v>2469</v>
      </c>
      <c r="G2471" s="3">
        <v>2</v>
      </c>
      <c r="H2471" s="5">
        <v>215854011.84999999</v>
      </c>
      <c r="I2471" s="5">
        <v>235580011.84999999</v>
      </c>
      <c r="J2471" s="5">
        <v>75425000</v>
      </c>
      <c r="K2471" s="5">
        <v>55699000</v>
      </c>
      <c r="L2471" s="5">
        <v>2557000</v>
      </c>
      <c r="M2471" s="5">
        <v>-140605000</v>
      </c>
      <c r="N2471" s="5">
        <v>-37450000</v>
      </c>
    </row>
    <row r="2472" spans="1:14" x14ac:dyDescent="0.25">
      <c r="A2472" s="3" t="s">
        <v>2483</v>
      </c>
      <c r="B2472" s="4">
        <v>6.72</v>
      </c>
      <c r="C2472" s="4">
        <v>0.09</v>
      </c>
      <c r="D2472" s="4">
        <v>0.02</v>
      </c>
      <c r="E2472" s="4">
        <v>-1.431416818331809E-2</v>
      </c>
      <c r="F2472" s="3">
        <v>2470</v>
      </c>
      <c r="G2472" s="3">
        <v>2</v>
      </c>
      <c r="H2472" s="5">
        <v>429515375.85000002</v>
      </c>
      <c r="I2472" s="5">
        <v>586434375.85000002</v>
      </c>
      <c r="J2472" s="5">
        <v>587794000</v>
      </c>
      <c r="K2472" s="5">
        <v>430875000</v>
      </c>
      <c r="L2472" s="5">
        <v>237926000</v>
      </c>
      <c r="M2472" s="5">
        <v>87261000</v>
      </c>
      <c r="N2472" s="5">
        <v>68297000</v>
      </c>
    </row>
    <row r="2473" spans="1:14" x14ac:dyDescent="0.25">
      <c r="A2473" s="3" t="s">
        <v>2484</v>
      </c>
      <c r="B2473" s="4">
        <v>6.58</v>
      </c>
      <c r="C2473" s="4">
        <v>0.06</v>
      </c>
      <c r="D2473" s="4">
        <v>0.01</v>
      </c>
      <c r="E2473" s="4">
        <v>-1.431612915117988E-2</v>
      </c>
      <c r="F2473" s="3">
        <v>2471</v>
      </c>
      <c r="G2473" s="3">
        <v>2</v>
      </c>
      <c r="H2473" s="5">
        <v>1077441850.71</v>
      </c>
      <c r="I2473" s="5">
        <v>4042500850.71</v>
      </c>
      <c r="J2473" s="5">
        <v>2970708000</v>
      </c>
      <c r="K2473" s="5">
        <v>5649000</v>
      </c>
      <c r="L2473" s="5">
        <v>3469186000</v>
      </c>
      <c r="M2473" s="5">
        <v>613965000</v>
      </c>
      <c r="N2473" s="5">
        <v>39368000</v>
      </c>
    </row>
    <row r="2474" spans="1:14" x14ac:dyDescent="0.25">
      <c r="A2474" s="3" t="s">
        <v>2485</v>
      </c>
      <c r="B2474" s="4">
        <v>-0.93</v>
      </c>
      <c r="C2474" s="4">
        <v>-1.51</v>
      </c>
      <c r="D2474" s="4">
        <v>-0.56999999999999995</v>
      </c>
      <c r="E2474" s="4">
        <v>-1.431621551543997E-2</v>
      </c>
      <c r="F2474" s="3">
        <v>2472</v>
      </c>
      <c r="G2474" s="3">
        <v>2</v>
      </c>
      <c r="H2474" s="5">
        <v>5712504</v>
      </c>
      <c r="I2474" s="5">
        <v>6434504</v>
      </c>
      <c r="J2474" s="5">
        <v>4823000</v>
      </c>
      <c r="K2474" s="5">
        <v>4101000</v>
      </c>
      <c r="L2474" s="5">
        <v>0</v>
      </c>
      <c r="M2474" s="5">
        <v>-6945000</v>
      </c>
      <c r="N2474" s="5">
        <v>-6772000</v>
      </c>
    </row>
    <row r="2475" spans="1:14" x14ac:dyDescent="0.25">
      <c r="A2475" s="3" t="s">
        <v>2486</v>
      </c>
      <c r="B2475" s="4">
        <v>6.64</v>
      </c>
      <c r="C2475" s="4">
        <v>7.0000000000000007E-2</v>
      </c>
      <c r="D2475" s="4">
        <v>0.04</v>
      </c>
      <c r="E2475" s="4">
        <v>-1.431858369861537E-2</v>
      </c>
      <c r="F2475" s="3">
        <v>2473</v>
      </c>
      <c r="G2475" s="3">
        <v>2</v>
      </c>
      <c r="H2475" s="5">
        <v>1109555952.8699999</v>
      </c>
      <c r="I2475" s="5">
        <v>1832262952.8699999</v>
      </c>
      <c r="J2475" s="5">
        <v>853528000</v>
      </c>
      <c r="K2475" s="5">
        <v>130821000</v>
      </c>
      <c r="L2475" s="5">
        <v>566679000</v>
      </c>
      <c r="M2475" s="5">
        <v>275909000</v>
      </c>
      <c r="N2475" s="5">
        <v>85571000</v>
      </c>
    </row>
    <row r="2476" spans="1:14" x14ac:dyDescent="0.25">
      <c r="A2476" s="3" t="s">
        <v>2487</v>
      </c>
      <c r="B2476" s="4">
        <v>16.760000000000002</v>
      </c>
      <c r="C2476" s="4">
        <v>2.23</v>
      </c>
      <c r="D2476" s="4">
        <v>0.15</v>
      </c>
      <c r="E2476" s="4">
        <v>-1.431982145658226E-2</v>
      </c>
      <c r="F2476" s="3">
        <v>2474</v>
      </c>
      <c r="G2476" s="3">
        <v>2</v>
      </c>
      <c r="H2476" s="5">
        <v>372115344114.47998</v>
      </c>
      <c r="I2476" s="5">
        <v>423839344114.47998</v>
      </c>
      <c r="J2476" s="5">
        <v>53383000000</v>
      </c>
      <c r="K2476" s="5">
        <v>1659000000</v>
      </c>
      <c r="L2476" s="5">
        <v>159514000000</v>
      </c>
      <c r="M2476" s="5">
        <v>25287000000</v>
      </c>
      <c r="N2476" s="5">
        <v>14806000000</v>
      </c>
    </row>
    <row r="2477" spans="1:14" x14ac:dyDescent="0.25">
      <c r="A2477" s="3" t="s">
        <v>2488</v>
      </c>
      <c r="B2477" s="4">
        <v>7.64</v>
      </c>
      <c r="C2477" s="4">
        <v>0.28000000000000003</v>
      </c>
      <c r="D2477" s="4">
        <v>0.08</v>
      </c>
      <c r="E2477" s="4">
        <v>-1.432302241470948E-2</v>
      </c>
      <c r="F2477" s="3">
        <v>2475</v>
      </c>
      <c r="G2477" s="3">
        <v>2</v>
      </c>
      <c r="H2477" s="5">
        <v>9216996841.6000004</v>
      </c>
      <c r="I2477" s="5">
        <v>10795996841.6</v>
      </c>
      <c r="J2477" s="5">
        <v>1909000000</v>
      </c>
      <c r="K2477" s="5">
        <v>330000000</v>
      </c>
      <c r="L2477" s="5">
        <v>10390000000</v>
      </c>
      <c r="M2477" s="5">
        <v>1413000000</v>
      </c>
      <c r="N2477" s="5">
        <v>647000000</v>
      </c>
    </row>
    <row r="2478" spans="1:14" x14ac:dyDescent="0.25">
      <c r="A2478" s="3" t="s">
        <v>2489</v>
      </c>
      <c r="B2478" s="4">
        <v>3.1</v>
      </c>
      <c r="C2478" s="4">
        <v>-0.65</v>
      </c>
      <c r="D2478" s="4">
        <v>-0.56999999999999995</v>
      </c>
      <c r="E2478" s="4">
        <v>-1.4325615208118789E-2</v>
      </c>
      <c r="F2478" s="3">
        <v>2476</v>
      </c>
      <c r="G2478" s="3">
        <v>2</v>
      </c>
      <c r="H2478" s="5">
        <v>56.052962999999998</v>
      </c>
      <c r="I2478" s="5">
        <v>-33949943.947036996</v>
      </c>
      <c r="J2478" s="5">
        <v>0</v>
      </c>
      <c r="K2478" s="5">
        <v>33950000</v>
      </c>
      <c r="L2478" s="5">
        <v>0</v>
      </c>
      <c r="M2478" s="5">
        <v>-10949000</v>
      </c>
      <c r="N2478" s="5">
        <v>-54075000</v>
      </c>
    </row>
    <row r="2479" spans="1:14" x14ac:dyDescent="0.25">
      <c r="A2479" s="3" t="s">
        <v>2490</v>
      </c>
      <c r="B2479" s="4">
        <v>7.37</v>
      </c>
      <c r="C2479" s="4">
        <v>0.22</v>
      </c>
      <c r="D2479" s="4">
        <v>0.03</v>
      </c>
      <c r="E2479" s="4">
        <v>-1.4338920635862659E-2</v>
      </c>
      <c r="F2479" s="3">
        <v>2477</v>
      </c>
      <c r="G2479" s="3">
        <v>2</v>
      </c>
      <c r="H2479" s="5">
        <v>921524107.59000003</v>
      </c>
      <c r="I2479" s="5">
        <v>902221107.59000003</v>
      </c>
      <c r="J2479" s="5">
        <v>3060000</v>
      </c>
      <c r="K2479" s="5">
        <v>22363000</v>
      </c>
      <c r="L2479" s="5">
        <v>975463000</v>
      </c>
      <c r="M2479" s="5">
        <v>122363000</v>
      </c>
      <c r="N2479" s="5">
        <v>16070000</v>
      </c>
    </row>
    <row r="2480" spans="1:14" x14ac:dyDescent="0.25">
      <c r="A2480" s="3" t="s">
        <v>2491</v>
      </c>
      <c r="B2480" s="4">
        <v>6.62</v>
      </c>
      <c r="C2480" s="4">
        <v>0.06</v>
      </c>
      <c r="D2480" s="4">
        <v>0.02</v>
      </c>
      <c r="E2480" s="4">
        <v>-1.433895694739068E-2</v>
      </c>
      <c r="F2480" s="3">
        <v>2478</v>
      </c>
      <c r="G2480" s="3">
        <v>2</v>
      </c>
      <c r="H2480" s="5">
        <v>418975654.5</v>
      </c>
      <c r="I2480" s="5">
        <v>401966654.5</v>
      </c>
      <c r="J2480" s="5">
        <v>0</v>
      </c>
      <c r="K2480" s="5">
        <v>17009000</v>
      </c>
      <c r="L2480" s="5">
        <v>441187000</v>
      </c>
      <c r="M2480" s="5">
        <v>60720000</v>
      </c>
      <c r="N2480" s="5">
        <v>43241000</v>
      </c>
    </row>
    <row r="2481" spans="1:14" x14ac:dyDescent="0.25">
      <c r="A2481" s="3" t="s">
        <v>2492</v>
      </c>
      <c r="B2481" s="4">
        <v>6.87</v>
      </c>
      <c r="C2481" s="4">
        <v>0.11</v>
      </c>
      <c r="D2481" s="4">
        <v>7.0000000000000007E-2</v>
      </c>
      <c r="E2481" s="4">
        <v>-1.43395739218578E-2</v>
      </c>
      <c r="F2481" s="3">
        <v>2479</v>
      </c>
      <c r="G2481" s="3">
        <v>2</v>
      </c>
      <c r="H2481" s="5">
        <v>614020160.07000005</v>
      </c>
      <c r="I2481" s="5">
        <v>538532160.07000005</v>
      </c>
      <c r="J2481" s="5">
        <v>690000</v>
      </c>
      <c r="K2481" s="5">
        <v>76178000</v>
      </c>
      <c r="L2481" s="5">
        <v>614649000</v>
      </c>
      <c r="M2481" s="5">
        <v>78418000</v>
      </c>
      <c r="N2481" s="5">
        <v>51596000</v>
      </c>
    </row>
    <row r="2482" spans="1:14" x14ac:dyDescent="0.25">
      <c r="A2482" s="3" t="s">
        <v>2493</v>
      </c>
      <c r="B2482" s="4">
        <v>6.73</v>
      </c>
      <c r="C2482" s="4">
        <v>0.08</v>
      </c>
      <c r="D2482" s="4">
        <v>7.0000000000000007E-2</v>
      </c>
      <c r="E2482" s="4">
        <v>-1.43396058631421E-2</v>
      </c>
      <c r="F2482" s="3">
        <v>2480</v>
      </c>
      <c r="G2482" s="3">
        <v>2</v>
      </c>
      <c r="H2482" s="5">
        <v>1485217675</v>
      </c>
      <c r="I2482" s="5">
        <v>1636837675</v>
      </c>
      <c r="J2482" s="5">
        <v>297865000</v>
      </c>
      <c r="K2482" s="5">
        <v>146245000</v>
      </c>
      <c r="L2482" s="5">
        <v>308517000</v>
      </c>
      <c r="M2482" s="5">
        <v>243389000</v>
      </c>
      <c r="N2482" s="5">
        <v>161661000</v>
      </c>
    </row>
    <row r="2483" spans="1:14" x14ac:dyDescent="0.25">
      <c r="A2483" s="3" t="s">
        <v>2494</v>
      </c>
      <c r="B2483" s="4">
        <v>6.48</v>
      </c>
      <c r="C2483" s="4">
        <v>0.03</v>
      </c>
      <c r="D2483" s="4">
        <v>0.01</v>
      </c>
      <c r="E2483" s="4">
        <v>-1.434091791525248E-2</v>
      </c>
      <c r="F2483" s="3">
        <v>2481</v>
      </c>
      <c r="G2483" s="3">
        <v>2</v>
      </c>
      <c r="H2483" s="5">
        <v>2644524606.8299999</v>
      </c>
      <c r="I2483" s="5">
        <v>14567014606.83</v>
      </c>
      <c r="J2483" s="5">
        <v>13414926000</v>
      </c>
      <c r="K2483" s="5">
        <v>1492436000</v>
      </c>
      <c r="L2483" s="5">
        <v>8259069000</v>
      </c>
      <c r="M2483" s="5">
        <v>2247450000</v>
      </c>
      <c r="N2483" s="5">
        <v>183200000</v>
      </c>
    </row>
    <row r="2484" spans="1:14" x14ac:dyDescent="0.25">
      <c r="A2484" s="3" t="s">
        <v>2495</v>
      </c>
      <c r="B2484" s="4">
        <v>6.86</v>
      </c>
      <c r="C2484" s="4">
        <v>0.11</v>
      </c>
      <c r="D2484" s="4">
        <v>0.03</v>
      </c>
      <c r="E2484" s="4">
        <v>-1.434110082247075E-2</v>
      </c>
      <c r="F2484" s="3">
        <v>2482</v>
      </c>
      <c r="G2484" s="3">
        <v>2</v>
      </c>
      <c r="H2484" s="5">
        <v>57732477928.139999</v>
      </c>
      <c r="I2484" s="5">
        <v>62757477928.139999</v>
      </c>
      <c r="J2484" s="5">
        <v>8948000000</v>
      </c>
      <c r="K2484" s="5">
        <v>3923000000</v>
      </c>
      <c r="L2484" s="5">
        <v>25455000000</v>
      </c>
      <c r="M2484" s="5">
        <v>9150000000</v>
      </c>
      <c r="N2484" s="5">
        <v>1889000000</v>
      </c>
    </row>
    <row r="2485" spans="1:14" x14ac:dyDescent="0.25">
      <c r="A2485" s="3" t="s">
        <v>2496</v>
      </c>
      <c r="B2485" s="4">
        <v>6.95</v>
      </c>
      <c r="C2485" s="4">
        <v>0.12</v>
      </c>
      <c r="D2485" s="4">
        <v>0.11</v>
      </c>
      <c r="E2485" s="4">
        <v>-1.435247785410994E-2</v>
      </c>
      <c r="F2485" s="3">
        <v>2483</v>
      </c>
      <c r="G2485" s="3">
        <v>2</v>
      </c>
      <c r="H2485" s="5">
        <v>35799790</v>
      </c>
      <c r="I2485" s="5">
        <v>29584420</v>
      </c>
      <c r="J2485" s="5">
        <v>0</v>
      </c>
      <c r="K2485" s="5">
        <v>6215370</v>
      </c>
      <c r="L2485" s="5">
        <v>5912260</v>
      </c>
      <c r="M2485" s="5">
        <v>4257920</v>
      </c>
      <c r="N2485" s="5">
        <v>3150970</v>
      </c>
    </row>
    <row r="2486" spans="1:14" x14ac:dyDescent="0.25">
      <c r="A2486" s="3" t="s">
        <v>2497</v>
      </c>
      <c r="B2486" s="4">
        <v>0.74</v>
      </c>
      <c r="C2486" s="4">
        <v>-1.17</v>
      </c>
      <c r="D2486" s="4">
        <v>-0.5</v>
      </c>
      <c r="E2486" s="4">
        <v>-1.435392704231778E-2</v>
      </c>
      <c r="F2486" s="3">
        <v>2484</v>
      </c>
      <c r="G2486" s="3">
        <v>2</v>
      </c>
      <c r="H2486" s="5">
        <v>41802493.939999998</v>
      </c>
      <c r="I2486" s="5">
        <v>-31081506.059999999</v>
      </c>
      <c r="J2486" s="5">
        <v>20000</v>
      </c>
      <c r="K2486" s="5">
        <v>72904000</v>
      </c>
      <c r="L2486" s="5">
        <v>0</v>
      </c>
      <c r="M2486" s="5">
        <v>-41924000</v>
      </c>
      <c r="N2486" s="5">
        <v>-38243000</v>
      </c>
    </row>
    <row r="2487" spans="1:14" x14ac:dyDescent="0.25">
      <c r="A2487" s="3" t="s">
        <v>2498</v>
      </c>
      <c r="B2487" s="4">
        <v>7.16</v>
      </c>
      <c r="C2487" s="4">
        <v>0.17</v>
      </c>
      <c r="D2487" s="4">
        <v>0.02</v>
      </c>
      <c r="E2487" s="4">
        <v>-1.435534437787383E-2</v>
      </c>
      <c r="F2487" s="3">
        <v>2485</v>
      </c>
      <c r="G2487" s="3">
        <v>2</v>
      </c>
      <c r="H2487" s="5">
        <v>1970926020.21</v>
      </c>
      <c r="I2487" s="5">
        <v>1473459020.21</v>
      </c>
      <c r="J2487" s="5">
        <v>0</v>
      </c>
      <c r="K2487" s="5">
        <v>497467000</v>
      </c>
      <c r="L2487" s="5">
        <v>977716000</v>
      </c>
      <c r="M2487" s="5">
        <v>205766000</v>
      </c>
      <c r="N2487" s="5">
        <v>121163000</v>
      </c>
    </row>
    <row r="2488" spans="1:14" x14ac:dyDescent="0.25">
      <c r="A2488" s="3" t="s">
        <v>2499</v>
      </c>
      <c r="B2488" s="4">
        <v>-2.83</v>
      </c>
      <c r="C2488" s="4">
        <v>-1.92</v>
      </c>
      <c r="D2488" s="4">
        <v>-0.73</v>
      </c>
      <c r="E2488" s="4">
        <v>-1.4355768745828119E-2</v>
      </c>
      <c r="F2488" s="3">
        <v>2486</v>
      </c>
      <c r="G2488" s="3">
        <v>2</v>
      </c>
      <c r="H2488" s="5">
        <v>555250781.25999999</v>
      </c>
      <c r="I2488" s="5">
        <v>529517781.25999999</v>
      </c>
      <c r="J2488" s="5">
        <v>105882000</v>
      </c>
      <c r="K2488" s="5">
        <v>131615000</v>
      </c>
      <c r="L2488" s="5">
        <v>0</v>
      </c>
      <c r="M2488" s="5">
        <v>-187054000</v>
      </c>
      <c r="N2488" s="5">
        <v>-183444000</v>
      </c>
    </row>
    <row r="2489" spans="1:14" x14ac:dyDescent="0.25">
      <c r="A2489" s="3" t="s">
        <v>2500</v>
      </c>
      <c r="B2489" s="4">
        <v>6.46</v>
      </c>
      <c r="C2489" s="4">
        <v>0.02</v>
      </c>
      <c r="D2489" s="4">
        <v>0.01</v>
      </c>
      <c r="E2489" s="4">
        <v>-1.4357433110872789E-2</v>
      </c>
      <c r="F2489" s="3">
        <v>2487</v>
      </c>
      <c r="G2489" s="3">
        <v>2</v>
      </c>
      <c r="H2489" s="5">
        <v>1593879644.8800001</v>
      </c>
      <c r="I2489" s="5">
        <v>2203127644.8800001</v>
      </c>
      <c r="J2489" s="5">
        <v>650000000</v>
      </c>
      <c r="K2489" s="5">
        <v>40752000</v>
      </c>
      <c r="L2489" s="5">
        <v>3030258000</v>
      </c>
      <c r="M2489" s="5">
        <v>341248000</v>
      </c>
      <c r="N2489" s="5">
        <v>34233000</v>
      </c>
    </row>
    <row r="2490" spans="1:14" x14ac:dyDescent="0.25">
      <c r="A2490" s="3" t="s">
        <v>2501</v>
      </c>
      <c r="B2490" s="4">
        <v>3.44</v>
      </c>
      <c r="C2490" s="4">
        <v>-0.62</v>
      </c>
      <c r="D2490" s="4">
        <v>-0.11</v>
      </c>
      <c r="E2490" s="4">
        <v>-1.4360632158210779E-2</v>
      </c>
      <c r="F2490" s="3">
        <v>2488</v>
      </c>
      <c r="G2490" s="3">
        <v>2</v>
      </c>
      <c r="H2490" s="5">
        <v>32083675.5</v>
      </c>
      <c r="I2490" s="5">
        <v>474062675.5</v>
      </c>
      <c r="J2490" s="5">
        <v>579069000</v>
      </c>
      <c r="K2490" s="5">
        <v>137090000</v>
      </c>
      <c r="L2490" s="5">
        <v>449674000</v>
      </c>
      <c r="M2490" s="5">
        <v>137875000</v>
      </c>
      <c r="N2490" s="5">
        <v>-105394000</v>
      </c>
    </row>
    <row r="2491" spans="1:14" x14ac:dyDescent="0.25">
      <c r="A2491" s="3" t="s">
        <v>2502</v>
      </c>
      <c r="B2491" s="4">
        <v>6.86</v>
      </c>
      <c r="C2491" s="4">
        <v>0.1</v>
      </c>
      <c r="D2491" s="4">
        <v>0.05</v>
      </c>
      <c r="E2491" s="4">
        <v>-1.4366136376330199E-2</v>
      </c>
      <c r="F2491" s="3">
        <v>2489</v>
      </c>
      <c r="G2491" s="3">
        <v>2</v>
      </c>
      <c r="H2491" s="5">
        <v>1920646000</v>
      </c>
      <c r="I2491" s="5">
        <v>2748946000</v>
      </c>
      <c r="J2491" s="5">
        <v>1033500000</v>
      </c>
      <c r="K2491" s="5">
        <v>205200000</v>
      </c>
      <c r="L2491" s="5">
        <v>4099700000</v>
      </c>
      <c r="M2491" s="5">
        <v>400700000</v>
      </c>
      <c r="N2491" s="5">
        <v>175200000</v>
      </c>
    </row>
    <row r="2492" spans="1:14" x14ac:dyDescent="0.25">
      <c r="A2492" s="3" t="s">
        <v>2503</v>
      </c>
      <c r="B2492" s="4">
        <v>-0.35</v>
      </c>
      <c r="C2492" s="4">
        <v>-1.42</v>
      </c>
      <c r="D2492" s="4">
        <v>-0.33</v>
      </c>
      <c r="E2492" s="4">
        <v>-1.4368850344880189E-2</v>
      </c>
      <c r="F2492" s="3">
        <v>2490</v>
      </c>
      <c r="G2492" s="3">
        <v>2</v>
      </c>
      <c r="H2492" s="5">
        <v>12410640</v>
      </c>
      <c r="I2492" s="5">
        <v>6949260</v>
      </c>
      <c r="J2492" s="5">
        <v>7000000</v>
      </c>
      <c r="K2492" s="5">
        <v>12461380</v>
      </c>
      <c r="L2492" s="5">
        <v>248831460</v>
      </c>
      <c r="M2492" s="5">
        <v>-20028980</v>
      </c>
      <c r="N2492" s="5">
        <v>-33513520</v>
      </c>
    </row>
    <row r="2493" spans="1:14" x14ac:dyDescent="0.25">
      <c r="A2493" s="3" t="s">
        <v>2504</v>
      </c>
      <c r="B2493" s="4">
        <v>0.69</v>
      </c>
      <c r="C2493" s="4">
        <v>-1.1599999999999999</v>
      </c>
      <c r="D2493" s="4">
        <v>-0.89</v>
      </c>
      <c r="E2493" s="4">
        <v>-1.436931944334067E-2</v>
      </c>
      <c r="F2493" s="3">
        <v>2491</v>
      </c>
      <c r="G2493" s="3">
        <v>2</v>
      </c>
      <c r="H2493" s="5">
        <v>151.74456599999999</v>
      </c>
      <c r="I2493" s="5">
        <v>-143798.25543399999</v>
      </c>
      <c r="J2493" s="5">
        <v>52770</v>
      </c>
      <c r="K2493" s="5">
        <v>196720</v>
      </c>
      <c r="L2493" s="5">
        <v>0</v>
      </c>
      <c r="M2493" s="5">
        <v>-207950</v>
      </c>
      <c r="N2493" s="5">
        <v>-216480</v>
      </c>
    </row>
    <row r="2494" spans="1:14" x14ac:dyDescent="0.25">
      <c r="A2494" s="3" t="s">
        <v>2505</v>
      </c>
      <c r="B2494" s="4">
        <v>6.99</v>
      </c>
      <c r="C2494" s="4">
        <v>0.13</v>
      </c>
      <c r="D2494" s="4">
        <v>-0.02</v>
      </c>
      <c r="E2494" s="4">
        <v>-1.437341841539137E-2</v>
      </c>
      <c r="F2494" s="3">
        <v>2492</v>
      </c>
      <c r="G2494" s="3">
        <v>2</v>
      </c>
      <c r="H2494" s="5">
        <v>31492388.100000001</v>
      </c>
      <c r="I2494" s="5">
        <v>700152388.10000002</v>
      </c>
      <c r="J2494" s="5">
        <v>777165000</v>
      </c>
      <c r="K2494" s="5">
        <v>108505000</v>
      </c>
      <c r="L2494" s="5">
        <v>1330121000</v>
      </c>
      <c r="M2494" s="5">
        <v>100094000</v>
      </c>
      <c r="N2494" s="5">
        <v>-23379000</v>
      </c>
    </row>
    <row r="2495" spans="1:14" x14ac:dyDescent="0.25">
      <c r="A2495" s="3" t="s">
        <v>2506</v>
      </c>
      <c r="B2495" s="4">
        <v>6.87</v>
      </c>
      <c r="C2495" s="4">
        <v>0.1</v>
      </c>
      <c r="D2495" s="4">
        <v>0.04</v>
      </c>
      <c r="E2495" s="4">
        <v>-1.4374254608604781E-2</v>
      </c>
      <c r="F2495" s="3">
        <v>2493</v>
      </c>
      <c r="G2495" s="3">
        <v>2</v>
      </c>
      <c r="H2495" s="5">
        <v>31284160970.02</v>
      </c>
      <c r="I2495" s="5">
        <v>34684160970.019997</v>
      </c>
      <c r="J2495" s="5">
        <v>18246000000</v>
      </c>
      <c r="K2495" s="5">
        <v>14846000000</v>
      </c>
      <c r="L2495" s="5">
        <v>30127000000</v>
      </c>
      <c r="M2495" s="5">
        <v>5052000000</v>
      </c>
      <c r="N2495" s="5">
        <v>2579000000</v>
      </c>
    </row>
    <row r="2496" spans="1:14" x14ac:dyDescent="0.25">
      <c r="A2496" s="3" t="s">
        <v>2507</v>
      </c>
      <c r="B2496" s="4">
        <v>9.49</v>
      </c>
      <c r="C2496" s="4">
        <v>0.66</v>
      </c>
      <c r="D2496" s="4">
        <v>0.05</v>
      </c>
      <c r="E2496" s="4">
        <v>-1.4375855481851919E-2</v>
      </c>
      <c r="F2496" s="3">
        <v>2494</v>
      </c>
      <c r="G2496" s="3">
        <v>2</v>
      </c>
      <c r="H2496" s="5">
        <v>5229394103.6000004</v>
      </c>
      <c r="I2496" s="5">
        <v>7983378103.6000004</v>
      </c>
      <c r="J2496" s="5">
        <v>3194274000</v>
      </c>
      <c r="K2496" s="5">
        <v>440290000</v>
      </c>
      <c r="L2496" s="5">
        <v>2964347000</v>
      </c>
      <c r="M2496" s="5">
        <v>841123000</v>
      </c>
      <c r="N2496" s="5">
        <v>280004000</v>
      </c>
    </row>
    <row r="2497" spans="1:14" x14ac:dyDescent="0.25">
      <c r="A2497" s="3" t="s">
        <v>2508</v>
      </c>
      <c r="B2497" s="4">
        <v>6.93</v>
      </c>
      <c r="C2497" s="4">
        <v>0.11</v>
      </c>
      <c r="D2497" s="4">
        <v>0.05</v>
      </c>
      <c r="E2497" s="4">
        <v>-1.438056720919528E-2</v>
      </c>
      <c r="F2497" s="3">
        <v>2495</v>
      </c>
      <c r="G2497" s="3">
        <v>2</v>
      </c>
      <c r="H2497" s="5">
        <v>1130346230.4400001</v>
      </c>
      <c r="I2497" s="5">
        <v>1216413230.4400001</v>
      </c>
      <c r="J2497" s="5">
        <v>220201000</v>
      </c>
      <c r="K2497" s="5">
        <v>134134000</v>
      </c>
      <c r="L2497" s="5">
        <v>1456124000</v>
      </c>
      <c r="M2497" s="5">
        <v>175601000</v>
      </c>
      <c r="N2497" s="5">
        <v>64947000</v>
      </c>
    </row>
    <row r="2498" spans="1:14" x14ac:dyDescent="0.25">
      <c r="A2498" s="3" t="s">
        <v>2509</v>
      </c>
      <c r="B2498" s="4">
        <v>7.39</v>
      </c>
      <c r="C2498" s="4">
        <v>0.21</v>
      </c>
      <c r="D2498" s="4">
        <v>0.02</v>
      </c>
      <c r="E2498" s="4">
        <v>-1.438212168084878E-2</v>
      </c>
      <c r="F2498" s="3">
        <v>2496</v>
      </c>
      <c r="G2498" s="3">
        <v>2</v>
      </c>
      <c r="H2498" s="5">
        <v>5093217503.5</v>
      </c>
      <c r="I2498" s="5">
        <v>8872717503.5</v>
      </c>
      <c r="J2498" s="5">
        <v>4375300000</v>
      </c>
      <c r="K2498" s="5">
        <v>595800000</v>
      </c>
      <c r="L2498" s="5">
        <v>2628100000</v>
      </c>
      <c r="M2498" s="5">
        <v>1200900000</v>
      </c>
      <c r="N2498" s="5">
        <v>309600000</v>
      </c>
    </row>
    <row r="2499" spans="1:14" x14ac:dyDescent="0.25">
      <c r="A2499" s="3" t="s">
        <v>2510</v>
      </c>
      <c r="B2499" s="4">
        <v>6.88</v>
      </c>
      <c r="C2499" s="4">
        <v>0.1</v>
      </c>
      <c r="D2499" s="4">
        <v>0.03</v>
      </c>
      <c r="E2499" s="4">
        <v>-1.438237284087936E-2</v>
      </c>
      <c r="F2499" s="3">
        <v>2497</v>
      </c>
      <c r="G2499" s="3">
        <v>2</v>
      </c>
      <c r="H2499" s="5">
        <v>493980179.5</v>
      </c>
      <c r="I2499" s="5">
        <v>438639179.5</v>
      </c>
      <c r="J2499" s="5">
        <v>86258000</v>
      </c>
      <c r="K2499" s="5">
        <v>141599000</v>
      </c>
      <c r="L2499" s="5">
        <v>897613000</v>
      </c>
      <c r="M2499" s="5">
        <v>63739000</v>
      </c>
      <c r="N2499" s="5">
        <v>23130000</v>
      </c>
    </row>
    <row r="2500" spans="1:14" x14ac:dyDescent="0.25">
      <c r="A2500" s="3" t="s">
        <v>2511</v>
      </c>
      <c r="B2500" s="4">
        <v>0.96</v>
      </c>
      <c r="C2500" s="4">
        <v>-1.1100000000000001</v>
      </c>
      <c r="D2500" s="4">
        <v>-0.85</v>
      </c>
      <c r="E2500" s="4">
        <v>-1.438424385577945E-2</v>
      </c>
      <c r="F2500" s="3">
        <v>2498</v>
      </c>
      <c r="G2500" s="3">
        <v>2</v>
      </c>
      <c r="H2500" s="5">
        <v>15208.5825</v>
      </c>
      <c r="I2500" s="5">
        <v>-3139791.4175</v>
      </c>
      <c r="J2500" s="5">
        <v>0</v>
      </c>
      <c r="K2500" s="5">
        <v>3155000</v>
      </c>
      <c r="L2500" s="5">
        <v>2076000</v>
      </c>
      <c r="M2500" s="5">
        <v>-3273000</v>
      </c>
      <c r="N2500" s="5">
        <v>-3558000</v>
      </c>
    </row>
    <row r="2501" spans="1:14" x14ac:dyDescent="0.25">
      <c r="A2501" s="3" t="s">
        <v>2512</v>
      </c>
      <c r="B2501" s="4">
        <v>7.4</v>
      </c>
      <c r="C2501" s="4">
        <v>0.21</v>
      </c>
      <c r="D2501" s="4">
        <v>0.03</v>
      </c>
      <c r="E2501" s="4">
        <v>-1.438638185996835E-2</v>
      </c>
      <c r="F2501" s="3">
        <v>2499</v>
      </c>
      <c r="G2501" s="3">
        <v>2</v>
      </c>
      <c r="H2501" s="5">
        <v>8268211661.5799999</v>
      </c>
      <c r="I2501" s="5">
        <v>9479458661.5799999</v>
      </c>
      <c r="J2501" s="5">
        <v>1899068000</v>
      </c>
      <c r="K2501" s="5">
        <v>687821000</v>
      </c>
      <c r="L2501" s="5">
        <v>3089143000</v>
      </c>
      <c r="M2501" s="5">
        <v>1280880000</v>
      </c>
      <c r="N2501" s="5">
        <v>470518000</v>
      </c>
    </row>
    <row r="2502" spans="1:14" x14ac:dyDescent="0.25">
      <c r="A2502" s="3" t="s">
        <v>2513</v>
      </c>
      <c r="B2502" s="4">
        <v>7.57</v>
      </c>
      <c r="C2502" s="4">
        <v>0.24</v>
      </c>
      <c r="D2502" s="4">
        <v>0.08</v>
      </c>
      <c r="E2502" s="4">
        <v>-1.4395272402887771E-2</v>
      </c>
      <c r="F2502" s="3">
        <v>2500</v>
      </c>
      <c r="G2502" s="3">
        <v>2</v>
      </c>
      <c r="H2502" s="5">
        <v>5923848000</v>
      </c>
      <c r="I2502" s="5">
        <v>6870291000</v>
      </c>
      <c r="J2502" s="5">
        <v>2334351000</v>
      </c>
      <c r="K2502" s="5">
        <v>1387908000</v>
      </c>
      <c r="L2502" s="5">
        <v>5379546000</v>
      </c>
      <c r="M2502" s="5">
        <v>907404000</v>
      </c>
      <c r="N2502" s="5">
        <v>541817000</v>
      </c>
    </row>
    <row r="2503" spans="1:14" x14ac:dyDescent="0.25">
      <c r="A2503" s="3" t="s">
        <v>2514</v>
      </c>
      <c r="B2503" s="4">
        <v>-4.24</v>
      </c>
      <c r="C2503" s="4">
        <v>-2.1800000000000002</v>
      </c>
      <c r="D2503" s="4">
        <v>-1.57</v>
      </c>
      <c r="E2503" s="4">
        <v>-1.43963627574266E-2</v>
      </c>
      <c r="F2503" s="3">
        <v>2501</v>
      </c>
      <c r="G2503" s="3">
        <v>2</v>
      </c>
      <c r="H2503" s="5">
        <v>7150435.4913999997</v>
      </c>
      <c r="I2503" s="5">
        <v>6959155.4913999997</v>
      </c>
      <c r="J2503" s="5">
        <v>45620</v>
      </c>
      <c r="K2503" s="5">
        <v>236900</v>
      </c>
      <c r="L2503" s="5">
        <v>2330560</v>
      </c>
      <c r="M2503" s="5">
        <v>-1640960</v>
      </c>
      <c r="N2503" s="5">
        <v>-23377490</v>
      </c>
    </row>
    <row r="2504" spans="1:14" x14ac:dyDescent="0.25">
      <c r="A2504" s="3" t="s">
        <v>2515</v>
      </c>
      <c r="B2504" s="4">
        <v>7</v>
      </c>
      <c r="C2504" s="4">
        <v>0.12</v>
      </c>
      <c r="D2504" s="4">
        <v>0.03</v>
      </c>
      <c r="E2504" s="4">
        <v>-1.4398856095215381E-2</v>
      </c>
      <c r="F2504" s="3">
        <v>2502</v>
      </c>
      <c r="G2504" s="3">
        <v>2</v>
      </c>
      <c r="H2504" s="5">
        <v>1076806498.25</v>
      </c>
      <c r="I2504" s="5">
        <v>3781717498.25</v>
      </c>
      <c r="J2504" s="5">
        <v>2839462000</v>
      </c>
      <c r="K2504" s="5">
        <v>134551000</v>
      </c>
      <c r="L2504" s="5">
        <v>904404000</v>
      </c>
      <c r="M2504" s="5">
        <v>540524000</v>
      </c>
      <c r="N2504" s="5">
        <v>130653000</v>
      </c>
    </row>
    <row r="2505" spans="1:14" x14ac:dyDescent="0.25">
      <c r="A2505" s="3" t="s">
        <v>2516</v>
      </c>
      <c r="B2505" s="4">
        <v>6.92</v>
      </c>
      <c r="C2505" s="4">
        <v>0.1</v>
      </c>
      <c r="D2505" s="4">
        <v>0.06</v>
      </c>
      <c r="E2505" s="4">
        <v>-1.440134258393516E-2</v>
      </c>
      <c r="F2505" s="3">
        <v>2503</v>
      </c>
      <c r="G2505" s="3">
        <v>2</v>
      </c>
      <c r="H2505" s="5">
        <v>327726517.25</v>
      </c>
      <c r="I2505" s="5">
        <v>409810517.25</v>
      </c>
      <c r="J2505" s="5">
        <v>82290000</v>
      </c>
      <c r="K2505" s="5">
        <v>206000</v>
      </c>
      <c r="L2505" s="5">
        <v>581604000</v>
      </c>
      <c r="M2505" s="5">
        <v>59221000</v>
      </c>
      <c r="N2505" s="5">
        <v>25968000</v>
      </c>
    </row>
    <row r="2506" spans="1:14" x14ac:dyDescent="0.25">
      <c r="A2506" s="3" t="s">
        <v>2517</v>
      </c>
      <c r="B2506" s="4">
        <v>0.15</v>
      </c>
      <c r="C2506" s="4">
        <v>-1.3</v>
      </c>
      <c r="D2506" s="4">
        <v>-0.75</v>
      </c>
      <c r="E2506" s="4">
        <v>-1.441260646181582E-2</v>
      </c>
      <c r="F2506" s="3">
        <v>2504</v>
      </c>
      <c r="G2506" s="3">
        <v>2</v>
      </c>
      <c r="H2506" s="5">
        <v>5128.3624</v>
      </c>
      <c r="I2506" s="5">
        <v>-2588551.6376</v>
      </c>
      <c r="J2506" s="5">
        <v>3570</v>
      </c>
      <c r="K2506" s="5">
        <v>2597250</v>
      </c>
      <c r="L2506" s="5">
        <v>39746350</v>
      </c>
      <c r="M2506" s="5">
        <v>-17057630</v>
      </c>
      <c r="N2506" s="5">
        <v>-17065610</v>
      </c>
    </row>
    <row r="2507" spans="1:14" x14ac:dyDescent="0.25">
      <c r="A2507" s="3" t="s">
        <v>2518</v>
      </c>
      <c r="B2507" s="4">
        <v>-2.95</v>
      </c>
      <c r="C2507" s="4">
        <v>-2</v>
      </c>
      <c r="D2507" s="4">
        <v>-0.22</v>
      </c>
      <c r="E2507" s="4">
        <v>-1.441426677812605E-2</v>
      </c>
      <c r="F2507" s="3">
        <v>2505</v>
      </c>
      <c r="G2507" s="3">
        <v>2</v>
      </c>
      <c r="H2507" s="5">
        <v>1022537.6</v>
      </c>
      <c r="I2507" s="5">
        <v>9555817.5999999996</v>
      </c>
      <c r="J2507" s="5">
        <v>10347190</v>
      </c>
      <c r="K2507" s="5">
        <v>1813910</v>
      </c>
      <c r="L2507" s="5">
        <v>9506700</v>
      </c>
      <c r="M2507" s="5">
        <v>-3243110</v>
      </c>
      <c r="N2507" s="5">
        <v>-7429580</v>
      </c>
    </row>
    <row r="2508" spans="1:14" x14ac:dyDescent="0.25">
      <c r="A2508" s="3" t="s">
        <v>2519</v>
      </c>
      <c r="B2508" s="4">
        <v>7.86</v>
      </c>
      <c r="C2508" s="4">
        <v>0.28999999999999998</v>
      </c>
      <c r="D2508" s="4">
        <v>0.16</v>
      </c>
      <c r="E2508" s="4">
        <v>-1.441485912041068E-2</v>
      </c>
      <c r="F2508" s="3">
        <v>2506</v>
      </c>
      <c r="G2508" s="3">
        <v>2</v>
      </c>
      <c r="H2508" s="5">
        <v>775849620</v>
      </c>
      <c r="I2508" s="5">
        <v>698606620</v>
      </c>
      <c r="J2508" s="5">
        <v>114000</v>
      </c>
      <c r="K2508" s="5">
        <v>77357000</v>
      </c>
      <c r="L2508" s="5">
        <v>336257000</v>
      </c>
      <c r="M2508" s="5">
        <v>88847000</v>
      </c>
      <c r="N2508" s="5">
        <v>53654000</v>
      </c>
    </row>
    <row r="2509" spans="1:14" x14ac:dyDescent="0.25">
      <c r="A2509" s="3" t="s">
        <v>2520</v>
      </c>
      <c r="B2509" s="4">
        <v>8.86</v>
      </c>
      <c r="C2509" s="4">
        <v>0.52</v>
      </c>
      <c r="D2509" s="4">
        <v>-0.1</v>
      </c>
      <c r="E2509" s="4">
        <v>-1.441938141980104E-2</v>
      </c>
      <c r="F2509" s="3">
        <v>2507</v>
      </c>
      <c r="G2509" s="3">
        <v>2</v>
      </c>
      <c r="H2509" s="5">
        <v>373430640</v>
      </c>
      <c r="I2509" s="5">
        <v>370240640</v>
      </c>
      <c r="J2509" s="5">
        <v>85602000</v>
      </c>
      <c r="K2509" s="5">
        <v>88792000</v>
      </c>
      <c r="L2509" s="5">
        <v>428753000</v>
      </c>
      <c r="M2509" s="5">
        <v>41802000</v>
      </c>
      <c r="N2509" s="5">
        <v>-36272000</v>
      </c>
    </row>
    <row r="2510" spans="1:14" x14ac:dyDescent="0.25">
      <c r="A2510" s="3" t="s">
        <v>2521</v>
      </c>
      <c r="B2510" s="4">
        <v>8.0500000000000007</v>
      </c>
      <c r="C2510" s="4">
        <v>0.33</v>
      </c>
      <c r="D2510" s="4">
        <v>0.14000000000000001</v>
      </c>
      <c r="E2510" s="4">
        <v>-1.4420737653752321E-2</v>
      </c>
      <c r="F2510" s="3">
        <v>2508</v>
      </c>
      <c r="G2510" s="3">
        <v>2</v>
      </c>
      <c r="H2510" s="5">
        <v>576383010</v>
      </c>
      <c r="I2510" s="5">
        <v>608734010</v>
      </c>
      <c r="J2510" s="5">
        <v>32700000</v>
      </c>
      <c r="K2510" s="5">
        <v>349000</v>
      </c>
      <c r="L2510" s="5">
        <v>1405308000</v>
      </c>
      <c r="M2510" s="5">
        <v>75643000</v>
      </c>
      <c r="N2510" s="5">
        <v>50414000</v>
      </c>
    </row>
    <row r="2511" spans="1:14" x14ac:dyDescent="0.25">
      <c r="A2511" s="3" t="s">
        <v>2522</v>
      </c>
      <c r="B2511" s="4">
        <v>6.99</v>
      </c>
      <c r="C2511" s="4">
        <v>0.11</v>
      </c>
      <c r="D2511" s="4">
        <v>0.02</v>
      </c>
      <c r="E2511" s="4">
        <v>-1.4423489523110259E-2</v>
      </c>
      <c r="F2511" s="3">
        <v>2509</v>
      </c>
      <c r="G2511" s="3">
        <v>2</v>
      </c>
      <c r="H2511" s="5">
        <v>173503671.30000001</v>
      </c>
      <c r="I2511" s="5">
        <v>2243673671.3000002</v>
      </c>
      <c r="J2511" s="5">
        <v>2455635000</v>
      </c>
      <c r="K2511" s="5">
        <v>385465000</v>
      </c>
      <c r="L2511" s="5">
        <v>767923000</v>
      </c>
      <c r="M2511" s="5">
        <v>321059000</v>
      </c>
      <c r="N2511" s="5">
        <v>80355000</v>
      </c>
    </row>
    <row r="2512" spans="1:14" x14ac:dyDescent="0.25">
      <c r="A2512" s="3" t="s">
        <v>2523</v>
      </c>
      <c r="B2512" s="4">
        <v>6.85</v>
      </c>
      <c r="C2512" s="4">
        <v>0.08</v>
      </c>
      <c r="D2512" s="4">
        <v>0.01</v>
      </c>
      <c r="E2512" s="4">
        <v>-1.4425450490972059E-2</v>
      </c>
      <c r="F2512" s="3">
        <v>2510</v>
      </c>
      <c r="G2512" s="3">
        <v>2</v>
      </c>
      <c r="H2512" s="5">
        <v>2160731894.7199998</v>
      </c>
      <c r="I2512" s="5">
        <v>3937731894.7199998</v>
      </c>
      <c r="J2512" s="5">
        <v>1918000000</v>
      </c>
      <c r="K2512" s="5">
        <v>141000000</v>
      </c>
      <c r="L2512" s="5">
        <v>7335000000</v>
      </c>
      <c r="M2512" s="5">
        <v>575000000</v>
      </c>
      <c r="N2512" s="5">
        <v>56000000</v>
      </c>
    </row>
    <row r="2513" spans="1:14" x14ac:dyDescent="0.25">
      <c r="A2513" s="3" t="s">
        <v>2524</v>
      </c>
      <c r="B2513" s="4">
        <v>6.91</v>
      </c>
      <c r="C2513" s="4">
        <v>0.09</v>
      </c>
      <c r="D2513" s="4">
        <v>0.05</v>
      </c>
      <c r="E2513" s="4">
        <v>-1.442597601183004E-2</v>
      </c>
      <c r="F2513" s="3">
        <v>2511</v>
      </c>
      <c r="G2513" s="3">
        <v>2</v>
      </c>
      <c r="H2513" s="5">
        <v>39385234321.739998</v>
      </c>
      <c r="I2513" s="5">
        <v>52199234321.739998</v>
      </c>
      <c r="J2513" s="5">
        <v>12975000000</v>
      </c>
      <c r="K2513" s="5">
        <v>161000000</v>
      </c>
      <c r="L2513" s="5">
        <v>11066000000</v>
      </c>
      <c r="M2513" s="5">
        <v>7549000000</v>
      </c>
      <c r="N2513" s="5">
        <v>3338000000</v>
      </c>
    </row>
    <row r="2514" spans="1:14" x14ac:dyDescent="0.25">
      <c r="A2514" s="3" t="s">
        <v>2525</v>
      </c>
      <c r="B2514" s="4">
        <v>7.0000000000000007E-2</v>
      </c>
      <c r="C2514" s="4">
        <v>-1.47</v>
      </c>
      <c r="D2514" s="4">
        <v>1.47</v>
      </c>
      <c r="E2514" s="4">
        <v>-1.442604023527868E-2</v>
      </c>
      <c r="F2514" s="3">
        <v>2512</v>
      </c>
      <c r="G2514" s="3">
        <v>2</v>
      </c>
      <c r="H2514" s="5">
        <v>347.96274199999999</v>
      </c>
      <c r="I2514" s="5">
        <v>-677652.037258</v>
      </c>
      <c r="J2514" s="5">
        <v>524000</v>
      </c>
      <c r="K2514" s="5">
        <v>1202000</v>
      </c>
      <c r="L2514" s="5">
        <v>3472000</v>
      </c>
      <c r="M2514" s="5">
        <v>-10367000</v>
      </c>
      <c r="N2514" s="5">
        <v>9282000</v>
      </c>
    </row>
    <row r="2515" spans="1:14" x14ac:dyDescent="0.25">
      <c r="A2515" s="3" t="s">
        <v>2526</v>
      </c>
      <c r="B2515" s="4">
        <v>0.56000000000000005</v>
      </c>
      <c r="C2515" s="4">
        <v>-1.23</v>
      </c>
      <c r="D2515" s="4">
        <v>-0.59</v>
      </c>
      <c r="E2515" s="4">
        <v>-1.443324422105469E-2</v>
      </c>
      <c r="F2515" s="3">
        <v>2513</v>
      </c>
      <c r="G2515" s="3">
        <v>2</v>
      </c>
      <c r="H2515" s="5">
        <v>587.83502999999996</v>
      </c>
      <c r="I2515" s="5">
        <v>-28360412.164969999</v>
      </c>
      <c r="J2515" s="5">
        <v>8787000</v>
      </c>
      <c r="K2515" s="5">
        <v>37148000</v>
      </c>
      <c r="L2515" s="5">
        <v>1641000</v>
      </c>
      <c r="M2515" s="5">
        <v>-50493000</v>
      </c>
      <c r="N2515" s="5">
        <v>-33196000</v>
      </c>
    </row>
    <row r="2516" spans="1:14" x14ac:dyDescent="0.25">
      <c r="A2516" s="3" t="s">
        <v>2527</v>
      </c>
      <c r="B2516" s="4">
        <v>-2.2999999999999998</v>
      </c>
      <c r="C2516" s="4">
        <v>-1.81</v>
      </c>
      <c r="D2516" s="4">
        <v>-1.1200000000000001</v>
      </c>
      <c r="E2516" s="4">
        <v>-1.4441199007136909E-2</v>
      </c>
      <c r="F2516" s="3">
        <v>2514</v>
      </c>
      <c r="G2516" s="3">
        <v>2</v>
      </c>
      <c r="H2516" s="5">
        <v>149098362.27000001</v>
      </c>
      <c r="I2516" s="5">
        <v>124089362.27</v>
      </c>
      <c r="J2516" s="5">
        <v>0</v>
      </c>
      <c r="K2516" s="5">
        <v>25009000</v>
      </c>
      <c r="L2516" s="5">
        <v>0</v>
      </c>
      <c r="M2516" s="5">
        <v>-53859000</v>
      </c>
      <c r="N2516" s="5">
        <v>-33971000</v>
      </c>
    </row>
    <row r="2517" spans="1:14" x14ac:dyDescent="0.25">
      <c r="A2517" s="3" t="s">
        <v>2528</v>
      </c>
      <c r="B2517" s="4">
        <v>6.6</v>
      </c>
      <c r="C2517" s="4">
        <v>0.02</v>
      </c>
      <c r="D2517" s="4">
        <v>0.02</v>
      </c>
      <c r="E2517" s="4">
        <v>-1.444215296405436E-2</v>
      </c>
      <c r="F2517" s="3">
        <v>2515</v>
      </c>
      <c r="G2517" s="3">
        <v>2</v>
      </c>
      <c r="H2517" s="5">
        <v>105881155.2</v>
      </c>
      <c r="I2517" s="5">
        <v>99361365.200000003</v>
      </c>
      <c r="J2517" s="5">
        <v>0</v>
      </c>
      <c r="K2517" s="5">
        <v>6519790</v>
      </c>
      <c r="L2517" s="5">
        <v>31522780</v>
      </c>
      <c r="M2517" s="5">
        <v>15059640</v>
      </c>
      <c r="N2517" s="5">
        <v>1927800</v>
      </c>
    </row>
    <row r="2518" spans="1:14" x14ac:dyDescent="0.25">
      <c r="A2518" s="3" t="s">
        <v>2529</v>
      </c>
      <c r="B2518" s="4">
        <v>7.18</v>
      </c>
      <c r="C2518" s="4">
        <v>0.14000000000000001</v>
      </c>
      <c r="D2518" s="4">
        <v>7.0000000000000007E-2</v>
      </c>
      <c r="E2518" s="4">
        <v>-1.444475847742383E-2</v>
      </c>
      <c r="F2518" s="3">
        <v>2516</v>
      </c>
      <c r="G2518" s="3">
        <v>2</v>
      </c>
      <c r="H2518" s="5">
        <v>3699980247.5799999</v>
      </c>
      <c r="I2518" s="5">
        <v>5092199247.5799999</v>
      </c>
      <c r="J2518" s="5">
        <v>1620350000</v>
      </c>
      <c r="K2518" s="5">
        <v>228131000</v>
      </c>
      <c r="L2518" s="5">
        <v>7804746000</v>
      </c>
      <c r="M2518" s="5">
        <v>708836000</v>
      </c>
      <c r="N2518" s="5">
        <v>304153000</v>
      </c>
    </row>
    <row r="2519" spans="1:14" x14ac:dyDescent="0.25">
      <c r="A2519" s="3" t="s">
        <v>2530</v>
      </c>
      <c r="B2519" s="4">
        <v>-0.06</v>
      </c>
      <c r="C2519" s="4">
        <v>-1.36</v>
      </c>
      <c r="D2519" s="4">
        <v>-0.7</v>
      </c>
      <c r="E2519" s="4">
        <v>-1.444634965137641E-2</v>
      </c>
      <c r="F2519" s="3">
        <v>2517</v>
      </c>
      <c r="G2519" s="3">
        <v>2</v>
      </c>
      <c r="H2519" s="5">
        <v>97.318303</v>
      </c>
      <c r="I2519" s="5">
        <v>3061097.3183030002</v>
      </c>
      <c r="J2519" s="5">
        <v>25036650</v>
      </c>
      <c r="K2519" s="5">
        <v>21975650</v>
      </c>
      <c r="L2519" s="5">
        <v>12258780</v>
      </c>
      <c r="M2519" s="5">
        <v>-53141330</v>
      </c>
      <c r="N2519" s="5">
        <v>-54559920</v>
      </c>
    </row>
    <row r="2520" spans="1:14" x14ac:dyDescent="0.25">
      <c r="A2520" s="3" t="s">
        <v>2531</v>
      </c>
      <c r="B2520" s="4">
        <v>6.61</v>
      </c>
      <c r="C2520" s="4">
        <v>0.02</v>
      </c>
      <c r="D2520" s="4">
        <v>0.02</v>
      </c>
      <c r="E2520" s="4">
        <v>-1.444834216975144E-2</v>
      </c>
      <c r="F2520" s="3">
        <v>2518</v>
      </c>
      <c r="G2520" s="3">
        <v>2</v>
      </c>
      <c r="H2520" s="5">
        <v>1383113676.7</v>
      </c>
      <c r="I2520" s="5">
        <v>1790173056.7</v>
      </c>
      <c r="J2520" s="5">
        <v>702408330</v>
      </c>
      <c r="K2520" s="5">
        <v>295348950</v>
      </c>
      <c r="L2520" s="5">
        <v>430539100</v>
      </c>
      <c r="M2520" s="5">
        <v>270923250</v>
      </c>
      <c r="N2520" s="5">
        <v>48457780</v>
      </c>
    </row>
    <row r="2521" spans="1:14" x14ac:dyDescent="0.25">
      <c r="A2521" s="3" t="s">
        <v>2532</v>
      </c>
      <c r="B2521" s="4">
        <v>7.15</v>
      </c>
      <c r="C2521" s="4">
        <v>0.13</v>
      </c>
      <c r="D2521" s="4">
        <v>0.08</v>
      </c>
      <c r="E2521" s="4">
        <v>-1.445315544076955E-2</v>
      </c>
      <c r="F2521" s="3">
        <v>2519</v>
      </c>
      <c r="G2521" s="3">
        <v>2</v>
      </c>
      <c r="H2521" s="5">
        <v>2867213007.4499998</v>
      </c>
      <c r="I2521" s="5">
        <v>2335344007.4499998</v>
      </c>
      <c r="J2521" s="5">
        <v>0</v>
      </c>
      <c r="K2521" s="5">
        <v>531869000</v>
      </c>
      <c r="L2521" s="5">
        <v>3368582000</v>
      </c>
      <c r="M2521" s="5">
        <v>326685000</v>
      </c>
      <c r="N2521" s="5">
        <v>223273000</v>
      </c>
    </row>
    <row r="2522" spans="1:14" x14ac:dyDescent="0.25">
      <c r="A2522" s="3" t="s">
        <v>2533</v>
      </c>
      <c r="B2522" s="4">
        <v>6.44</v>
      </c>
      <c r="C2522" s="4">
        <v>-0.02</v>
      </c>
      <c r="D2522" s="4">
        <v>-0.01</v>
      </c>
      <c r="E2522" s="4">
        <v>-1.446448718069147E-2</v>
      </c>
      <c r="F2522" s="3">
        <v>2520</v>
      </c>
      <c r="G2522" s="3">
        <v>2</v>
      </c>
      <c r="H2522" s="5">
        <v>473298964.55000001</v>
      </c>
      <c r="I2522" s="5">
        <v>604548964.54999995</v>
      </c>
      <c r="J2522" s="5">
        <v>172091000</v>
      </c>
      <c r="K2522" s="5">
        <v>40841000</v>
      </c>
      <c r="L2522" s="5">
        <v>735560000</v>
      </c>
      <c r="M2522" s="5">
        <v>93857000</v>
      </c>
      <c r="N2522" s="5">
        <v>-7787000</v>
      </c>
    </row>
    <row r="2523" spans="1:14" x14ac:dyDescent="0.25">
      <c r="A2523" s="3" t="s">
        <v>2534</v>
      </c>
      <c r="B2523" s="4">
        <v>6.01</v>
      </c>
      <c r="C2523" s="4">
        <v>-0.11</v>
      </c>
      <c r="D2523" s="4">
        <v>-0.05</v>
      </c>
      <c r="E2523" s="4">
        <v>-1.4466109905157291E-2</v>
      </c>
      <c r="F2523" s="3">
        <v>2521</v>
      </c>
      <c r="G2523" s="3">
        <v>2</v>
      </c>
      <c r="H2523" s="5">
        <v>1935754316.4100001</v>
      </c>
      <c r="I2523" s="5">
        <v>2029518316.4100001</v>
      </c>
      <c r="J2523" s="5">
        <v>595125000</v>
      </c>
      <c r="K2523" s="5">
        <v>501361000</v>
      </c>
      <c r="L2523" s="5">
        <v>5164310000</v>
      </c>
      <c r="M2523" s="5">
        <v>337950000</v>
      </c>
      <c r="N2523" s="5">
        <v>-201267000</v>
      </c>
    </row>
    <row r="2524" spans="1:14" x14ac:dyDescent="0.25">
      <c r="A2524" s="3" t="s">
        <v>2535</v>
      </c>
      <c r="B2524" s="4">
        <v>6.68</v>
      </c>
      <c r="C2524" s="4">
        <v>0.03</v>
      </c>
      <c r="D2524" s="4">
        <v>0</v>
      </c>
      <c r="E2524" s="4">
        <v>-1.4466631055771541E-2</v>
      </c>
      <c r="F2524" s="3">
        <v>2522</v>
      </c>
      <c r="G2524" s="3">
        <v>2</v>
      </c>
      <c r="H2524" s="5">
        <v>623775359.20000005</v>
      </c>
      <c r="I2524" s="5">
        <v>2770640359.1999998</v>
      </c>
      <c r="J2524" s="5">
        <v>2363548000</v>
      </c>
      <c r="K2524" s="5">
        <v>216683000</v>
      </c>
      <c r="L2524" s="5">
        <v>1704835000</v>
      </c>
      <c r="M2524" s="5">
        <v>414911000</v>
      </c>
      <c r="N2524" s="5">
        <v>22160000</v>
      </c>
    </row>
    <row r="2525" spans="1:14" x14ac:dyDescent="0.25">
      <c r="A2525" s="3" t="s">
        <v>2536</v>
      </c>
      <c r="B2525" s="4">
        <v>6.64</v>
      </c>
      <c r="C2525" s="4">
        <v>0.02</v>
      </c>
      <c r="D2525" s="4">
        <v>0.01</v>
      </c>
      <c r="E2525" s="4">
        <v>-1.446883881342018E-2</v>
      </c>
      <c r="F2525" s="3">
        <v>2523</v>
      </c>
      <c r="G2525" s="3">
        <v>2</v>
      </c>
      <c r="H2525" s="5">
        <v>698751549.5</v>
      </c>
      <c r="I2525" s="5">
        <v>1962146549.5</v>
      </c>
      <c r="J2525" s="5">
        <v>1294405000</v>
      </c>
      <c r="K2525" s="5">
        <v>31010000</v>
      </c>
      <c r="L2525" s="5">
        <v>2805820000</v>
      </c>
      <c r="M2525" s="5">
        <v>295551000</v>
      </c>
      <c r="N2525" s="5">
        <v>20970000</v>
      </c>
    </row>
    <row r="2526" spans="1:14" x14ac:dyDescent="0.25">
      <c r="A2526" s="3" t="s">
        <v>2537</v>
      </c>
      <c r="B2526" s="4">
        <v>3.31</v>
      </c>
      <c r="C2526" s="4">
        <v>-0.68</v>
      </c>
      <c r="D2526" s="4">
        <v>-0.22</v>
      </c>
      <c r="E2526" s="4">
        <v>-1.4474753418588081E-2</v>
      </c>
      <c r="F2526" s="3">
        <v>2524</v>
      </c>
      <c r="G2526" s="3">
        <v>2</v>
      </c>
      <c r="H2526" s="5">
        <v>563737121.38</v>
      </c>
      <c r="I2526" s="5">
        <v>976514121.38000011</v>
      </c>
      <c r="J2526" s="5">
        <v>617096000</v>
      </c>
      <c r="K2526" s="5">
        <v>204319000</v>
      </c>
      <c r="L2526" s="5">
        <v>1071643000</v>
      </c>
      <c r="M2526" s="5">
        <v>295131000</v>
      </c>
      <c r="N2526" s="5">
        <v>-557008000</v>
      </c>
    </row>
    <row r="2527" spans="1:14" x14ac:dyDescent="0.25">
      <c r="A2527" s="3" t="s">
        <v>2538</v>
      </c>
      <c r="B2527" s="4">
        <v>7.13</v>
      </c>
      <c r="C2527" s="4">
        <v>0.12</v>
      </c>
      <c r="D2527" s="4">
        <v>0.05</v>
      </c>
      <c r="E2527" s="4">
        <v>-1.447545771612237E-2</v>
      </c>
      <c r="F2527" s="3">
        <v>2525</v>
      </c>
      <c r="G2527" s="3">
        <v>2</v>
      </c>
      <c r="H2527" s="5">
        <v>187955092.310139</v>
      </c>
      <c r="I2527" s="5">
        <v>198718092.310139</v>
      </c>
      <c r="J2527" s="5">
        <v>11829000</v>
      </c>
      <c r="K2527" s="5">
        <v>1066000</v>
      </c>
      <c r="L2527" s="5">
        <v>416142000</v>
      </c>
      <c r="M2527" s="5">
        <v>27888000</v>
      </c>
      <c r="N2527" s="5">
        <v>12327000</v>
      </c>
    </row>
    <row r="2528" spans="1:14" x14ac:dyDescent="0.25">
      <c r="A2528" s="3" t="s">
        <v>2539</v>
      </c>
      <c r="B2528" s="4">
        <v>-4.32</v>
      </c>
      <c r="C2528" s="4">
        <v>-2.2599999999999998</v>
      </c>
      <c r="D2528" s="4">
        <v>-1.0900000000000001</v>
      </c>
      <c r="E2528" s="4">
        <v>-1.448540469224536E-2</v>
      </c>
      <c r="F2528" s="3">
        <v>2526</v>
      </c>
      <c r="G2528" s="3">
        <v>2</v>
      </c>
      <c r="H2528" s="5">
        <v>30445003.223000001</v>
      </c>
      <c r="I2528" s="5">
        <v>30431813.223000001</v>
      </c>
      <c r="J2528" s="5">
        <v>0</v>
      </c>
      <c r="K2528" s="5">
        <v>13190</v>
      </c>
      <c r="L2528" s="5">
        <v>639910</v>
      </c>
      <c r="M2528" s="5">
        <v>-7046890</v>
      </c>
      <c r="N2528" s="5">
        <v>-6876830</v>
      </c>
    </row>
    <row r="2529" spans="1:14" x14ac:dyDescent="0.25">
      <c r="A2529" s="3" t="s">
        <v>2540</v>
      </c>
      <c r="B2529" s="4">
        <v>6.33</v>
      </c>
      <c r="C2529" s="4">
        <v>-0.05</v>
      </c>
      <c r="D2529" s="4">
        <v>-0.04</v>
      </c>
      <c r="E2529" s="4">
        <v>-1.448887381879951E-2</v>
      </c>
      <c r="F2529" s="3">
        <v>2527</v>
      </c>
      <c r="G2529" s="3">
        <v>2</v>
      </c>
      <c r="H2529" s="5">
        <v>187962056.59</v>
      </c>
      <c r="I2529" s="5">
        <v>-79646943.409999996</v>
      </c>
      <c r="J2529" s="5">
        <v>154000</v>
      </c>
      <c r="K2529" s="5">
        <v>267763000</v>
      </c>
      <c r="L2529" s="5">
        <v>185827000</v>
      </c>
      <c r="M2529" s="5">
        <v>-12582000</v>
      </c>
      <c r="N2529" s="5">
        <v>-19500000</v>
      </c>
    </row>
    <row r="2530" spans="1:14" x14ac:dyDescent="0.25">
      <c r="A2530" s="3" t="s">
        <v>2541</v>
      </c>
      <c r="B2530" s="4">
        <v>-0.24</v>
      </c>
      <c r="C2530" s="4">
        <v>-1.42</v>
      </c>
      <c r="D2530" s="4">
        <v>-0.6</v>
      </c>
      <c r="E2530" s="4">
        <v>-1.448901532514071E-2</v>
      </c>
      <c r="F2530" s="3">
        <v>2528</v>
      </c>
      <c r="G2530" s="3">
        <v>2</v>
      </c>
      <c r="H2530" s="5">
        <v>3395428.2779999999</v>
      </c>
      <c r="I2530" s="5">
        <v>2199428.2779999999</v>
      </c>
      <c r="J2530" s="5">
        <v>1677000</v>
      </c>
      <c r="K2530" s="5">
        <v>2873000</v>
      </c>
      <c r="L2530" s="5">
        <v>420000</v>
      </c>
      <c r="M2530" s="5">
        <v>-9134000</v>
      </c>
      <c r="N2530" s="5">
        <v>-16643000</v>
      </c>
    </row>
    <row r="2531" spans="1:14" x14ac:dyDescent="0.25">
      <c r="A2531" s="3" t="s">
        <v>2542</v>
      </c>
      <c r="B2531" s="4">
        <v>6.77</v>
      </c>
      <c r="C2531" s="4">
        <v>0.04</v>
      </c>
      <c r="D2531" s="4">
        <v>0.02</v>
      </c>
      <c r="E2531" s="4">
        <v>-1.448958224687576E-2</v>
      </c>
      <c r="F2531" s="3">
        <v>2529</v>
      </c>
      <c r="G2531" s="3">
        <v>2</v>
      </c>
      <c r="H2531" s="5">
        <v>4618015899.5</v>
      </c>
      <c r="I2531" s="5">
        <v>7223841899.5</v>
      </c>
      <c r="J2531" s="5">
        <v>3199496000</v>
      </c>
      <c r="K2531" s="5">
        <v>593670000</v>
      </c>
      <c r="L2531" s="5">
        <v>3932764000</v>
      </c>
      <c r="M2531" s="5">
        <v>1066755000</v>
      </c>
      <c r="N2531" s="5">
        <v>128477000</v>
      </c>
    </row>
    <row r="2532" spans="1:14" x14ac:dyDescent="0.25">
      <c r="A2532" s="3" t="s">
        <v>2543</v>
      </c>
      <c r="B2532" s="4">
        <v>6.96</v>
      </c>
      <c r="C2532" s="4">
        <v>0.08</v>
      </c>
      <c r="D2532" s="4">
        <v>0.03</v>
      </c>
      <c r="E2532" s="4">
        <v>-1.4489673700484901E-2</v>
      </c>
      <c r="F2532" s="3">
        <v>2530</v>
      </c>
      <c r="G2532" s="3">
        <v>2</v>
      </c>
      <c r="H2532" s="5">
        <v>11506060834.719999</v>
      </c>
      <c r="I2532" s="5">
        <v>18779060834.720001</v>
      </c>
      <c r="J2532" s="5">
        <v>7621000000</v>
      </c>
      <c r="K2532" s="5">
        <v>348000000</v>
      </c>
      <c r="L2532" s="5">
        <v>50073000000</v>
      </c>
      <c r="M2532" s="5">
        <v>2700000000</v>
      </c>
      <c r="N2532" s="5">
        <v>772000000</v>
      </c>
    </row>
    <row r="2533" spans="1:14" x14ac:dyDescent="0.25">
      <c r="A2533" s="3" t="s">
        <v>2544</v>
      </c>
      <c r="B2533" s="4">
        <v>-1.64</v>
      </c>
      <c r="C2533" s="4">
        <v>-1.73</v>
      </c>
      <c r="D2533" s="4">
        <v>-0.46</v>
      </c>
      <c r="E2533" s="4">
        <v>-1.4491221972912969E-2</v>
      </c>
      <c r="F2533" s="3">
        <v>2531</v>
      </c>
      <c r="G2533" s="3">
        <v>2</v>
      </c>
      <c r="H2533" s="5">
        <v>207983559.52000001</v>
      </c>
      <c r="I2533" s="5">
        <v>104536559.52</v>
      </c>
      <c r="J2533" s="5">
        <v>139717000</v>
      </c>
      <c r="K2533" s="5">
        <v>243164000</v>
      </c>
      <c r="L2533" s="5">
        <v>24024000</v>
      </c>
      <c r="M2533" s="5">
        <v>-63678000</v>
      </c>
      <c r="N2533" s="5">
        <v>-135010000</v>
      </c>
    </row>
    <row r="2534" spans="1:14" x14ac:dyDescent="0.25">
      <c r="A2534" s="3" t="s">
        <v>2545</v>
      </c>
      <c r="B2534" s="4">
        <v>7.3</v>
      </c>
      <c r="C2534" s="4">
        <v>0.15</v>
      </c>
      <c r="D2534" s="4">
        <v>0.05</v>
      </c>
      <c r="E2534" s="4">
        <v>-1.4493993391929321E-2</v>
      </c>
      <c r="F2534" s="3">
        <v>2532</v>
      </c>
      <c r="G2534" s="3">
        <v>2</v>
      </c>
      <c r="H2534" s="5">
        <v>60428193562.099998</v>
      </c>
      <c r="I2534" s="5">
        <v>75505193562.100006</v>
      </c>
      <c r="J2534" s="5">
        <v>20579000000</v>
      </c>
      <c r="K2534" s="5">
        <v>5502000000</v>
      </c>
      <c r="L2534" s="5">
        <v>87926000000</v>
      </c>
      <c r="M2534" s="5">
        <v>10346000000</v>
      </c>
      <c r="N2534" s="5">
        <v>4092000000</v>
      </c>
    </row>
    <row r="2535" spans="1:14" x14ac:dyDescent="0.25">
      <c r="A2535" s="3" t="s">
        <v>2546</v>
      </c>
      <c r="B2535" s="4">
        <v>7.39</v>
      </c>
      <c r="C2535" s="4">
        <v>0.17</v>
      </c>
      <c r="D2535" s="4">
        <v>0.03</v>
      </c>
      <c r="E2535" s="4">
        <v>-1.449576708232911E-2</v>
      </c>
      <c r="F2535" s="3">
        <v>2533</v>
      </c>
      <c r="G2535" s="3">
        <v>2</v>
      </c>
      <c r="H2535" s="5">
        <v>533403080.95999998</v>
      </c>
      <c r="I2535" s="5">
        <v>696128080.96000004</v>
      </c>
      <c r="J2535" s="5">
        <v>218137000</v>
      </c>
      <c r="K2535" s="5">
        <v>55412000</v>
      </c>
      <c r="L2535" s="5">
        <v>1340970000</v>
      </c>
      <c r="M2535" s="5">
        <v>94169000</v>
      </c>
      <c r="N2535" s="5">
        <v>26596000</v>
      </c>
    </row>
    <row r="2536" spans="1:14" x14ac:dyDescent="0.25">
      <c r="A2536" s="3" t="s">
        <v>2547</v>
      </c>
      <c r="B2536" s="4">
        <v>-2.39</v>
      </c>
      <c r="C2536" s="4">
        <v>-1.89</v>
      </c>
      <c r="D2536" s="4">
        <v>-0.5</v>
      </c>
      <c r="E2536" s="4">
        <v>-1.449704536417352E-2</v>
      </c>
      <c r="F2536" s="3">
        <v>2534</v>
      </c>
      <c r="G2536" s="3">
        <v>2</v>
      </c>
      <c r="H2536" s="5">
        <v>84867800.840000004</v>
      </c>
      <c r="I2536" s="5">
        <v>95486800.840000004</v>
      </c>
      <c r="J2536" s="5">
        <v>14321000</v>
      </c>
      <c r="K2536" s="5">
        <v>3702000</v>
      </c>
      <c r="L2536" s="5">
        <v>0</v>
      </c>
      <c r="M2536" s="5">
        <v>-39969000</v>
      </c>
      <c r="N2536" s="5">
        <v>-56828000</v>
      </c>
    </row>
    <row r="2537" spans="1:14" x14ac:dyDescent="0.25">
      <c r="A2537" s="3" t="s">
        <v>2548</v>
      </c>
      <c r="B2537" s="4">
        <v>7.24</v>
      </c>
      <c r="C2537" s="4">
        <v>0.13</v>
      </c>
      <c r="D2537" s="4">
        <v>0.12</v>
      </c>
      <c r="E2537" s="4">
        <v>-1.450114218573322E-2</v>
      </c>
      <c r="F2537" s="3">
        <v>2535</v>
      </c>
      <c r="G2537" s="3">
        <v>2</v>
      </c>
      <c r="H2537" s="5">
        <v>118017348.31999999</v>
      </c>
      <c r="I2537" s="5">
        <v>97294348.319999993</v>
      </c>
      <c r="J2537" s="5">
        <v>0</v>
      </c>
      <c r="K2537" s="5">
        <v>20723000</v>
      </c>
      <c r="L2537" s="5">
        <v>122404000</v>
      </c>
      <c r="M2537" s="5">
        <v>13440000</v>
      </c>
      <c r="N2537" s="5">
        <v>12789000</v>
      </c>
    </row>
    <row r="2538" spans="1:14" x14ac:dyDescent="0.25">
      <c r="A2538" s="3" t="s">
        <v>2549</v>
      </c>
      <c r="B2538" s="4">
        <v>5.65</v>
      </c>
      <c r="C2538" s="4">
        <v>-0.2</v>
      </c>
      <c r="D2538" s="4">
        <v>-0.04</v>
      </c>
      <c r="E2538" s="4">
        <v>-1.4501411936615119E-2</v>
      </c>
      <c r="F2538" s="3">
        <v>2536</v>
      </c>
      <c r="G2538" s="3">
        <v>2</v>
      </c>
      <c r="H2538" s="5">
        <v>128606411.52</v>
      </c>
      <c r="I2538" s="5">
        <v>1427082411.52</v>
      </c>
      <c r="J2538" s="5">
        <v>1483401000</v>
      </c>
      <c r="K2538" s="5">
        <v>184925000</v>
      </c>
      <c r="L2538" s="5">
        <v>2043360000</v>
      </c>
      <c r="M2538" s="5">
        <v>252722000</v>
      </c>
      <c r="N2538" s="5">
        <v>-85141000</v>
      </c>
    </row>
    <row r="2539" spans="1:14" x14ac:dyDescent="0.25">
      <c r="A2539" s="3" t="s">
        <v>2550</v>
      </c>
      <c r="B2539" s="4">
        <v>8.57</v>
      </c>
      <c r="C2539" s="4">
        <v>0.42</v>
      </c>
      <c r="D2539" s="4">
        <v>0.04</v>
      </c>
      <c r="E2539" s="4">
        <v>-1.450182415264529E-2</v>
      </c>
      <c r="F2539" s="3">
        <v>2537</v>
      </c>
      <c r="G2539" s="3">
        <v>2</v>
      </c>
      <c r="H2539" s="5">
        <v>5383238546.6199999</v>
      </c>
      <c r="I2539" s="5">
        <v>9415338546.6199989</v>
      </c>
      <c r="J2539" s="5">
        <v>4403900000</v>
      </c>
      <c r="K2539" s="5">
        <v>371800000</v>
      </c>
      <c r="L2539" s="5">
        <v>5392600000</v>
      </c>
      <c r="M2539" s="5">
        <v>1098400000</v>
      </c>
      <c r="N2539" s="5">
        <v>264700000</v>
      </c>
    </row>
    <row r="2540" spans="1:14" x14ac:dyDescent="0.25">
      <c r="A2540" s="3" t="s">
        <v>2551</v>
      </c>
      <c r="B2540" s="4">
        <v>7.9</v>
      </c>
      <c r="C2540" s="4">
        <v>0.26</v>
      </c>
      <c r="D2540" s="4">
        <v>0.25</v>
      </c>
      <c r="E2540" s="4">
        <v>-1.450893552504481E-2</v>
      </c>
      <c r="F2540" s="3">
        <v>2538</v>
      </c>
      <c r="G2540" s="3">
        <v>2</v>
      </c>
      <c r="H2540" s="5">
        <v>1109392795.5</v>
      </c>
      <c r="I2540" s="5">
        <v>1066884795.5</v>
      </c>
      <c r="J2540" s="5">
        <v>0</v>
      </c>
      <c r="K2540" s="5">
        <v>42508000</v>
      </c>
      <c r="L2540" s="5">
        <v>161523000</v>
      </c>
      <c r="M2540" s="5">
        <v>135037000</v>
      </c>
      <c r="N2540" s="5">
        <v>92449000</v>
      </c>
    </row>
    <row r="2541" spans="1:14" x14ac:dyDescent="0.25">
      <c r="A2541" s="3" t="s">
        <v>2552</v>
      </c>
      <c r="B2541" s="4">
        <v>0.08</v>
      </c>
      <c r="C2541" s="4">
        <v>-1.35</v>
      </c>
      <c r="D2541" s="4">
        <v>-0.73</v>
      </c>
      <c r="E2541" s="4">
        <v>-1.4509892003853549E-2</v>
      </c>
      <c r="F2541" s="3">
        <v>2539</v>
      </c>
      <c r="G2541" s="3">
        <v>2</v>
      </c>
      <c r="H2541" s="5">
        <v>9987347.2923000008</v>
      </c>
      <c r="I2541" s="5">
        <v>-1468652.707699999</v>
      </c>
      <c r="J2541" s="5">
        <v>153000</v>
      </c>
      <c r="K2541" s="5">
        <v>11609000</v>
      </c>
      <c r="L2541" s="5">
        <v>0</v>
      </c>
      <c r="M2541" s="5">
        <v>-19290000</v>
      </c>
      <c r="N2541" s="5">
        <v>-25653000</v>
      </c>
    </row>
    <row r="2542" spans="1:14" x14ac:dyDescent="0.25">
      <c r="A2542" s="3" t="s">
        <v>2553</v>
      </c>
      <c r="B2542" s="4">
        <v>7.71</v>
      </c>
      <c r="C2542" s="4">
        <v>0.23</v>
      </c>
      <c r="D2542" s="4">
        <v>0.05</v>
      </c>
      <c r="E2542" s="4">
        <v>-1.451660196939383E-2</v>
      </c>
      <c r="F2542" s="3">
        <v>2540</v>
      </c>
      <c r="G2542" s="3">
        <v>2</v>
      </c>
      <c r="H2542" s="5">
        <v>7268806.4400000004</v>
      </c>
      <c r="I2542" s="5">
        <v>18741076.440000001</v>
      </c>
      <c r="J2542" s="5">
        <v>11511010</v>
      </c>
      <c r="K2542" s="5">
        <v>38740</v>
      </c>
      <c r="L2542" s="5">
        <v>17771490</v>
      </c>
      <c r="M2542" s="5">
        <v>2429460</v>
      </c>
      <c r="N2542" s="5">
        <v>1229600</v>
      </c>
    </row>
    <row r="2543" spans="1:14" x14ac:dyDescent="0.25">
      <c r="A2543" s="3" t="s">
        <v>2554</v>
      </c>
      <c r="B2543" s="4">
        <v>6.96</v>
      </c>
      <c r="C2543" s="4">
        <v>7.0000000000000007E-2</v>
      </c>
      <c r="D2543" s="4">
        <v>0.03</v>
      </c>
      <c r="E2543" s="4">
        <v>-1.4518567307499361E-2</v>
      </c>
      <c r="F2543" s="3">
        <v>2541</v>
      </c>
      <c r="G2543" s="3">
        <v>2</v>
      </c>
      <c r="H2543" s="5">
        <v>1296571228.4000001</v>
      </c>
      <c r="I2543" s="5">
        <v>2109413228.4000001</v>
      </c>
      <c r="J2543" s="5">
        <v>1072957000</v>
      </c>
      <c r="K2543" s="5">
        <v>260115000</v>
      </c>
      <c r="L2543" s="5">
        <v>2947284000</v>
      </c>
      <c r="M2543" s="5">
        <v>303143000</v>
      </c>
      <c r="N2543" s="5">
        <v>95047000</v>
      </c>
    </row>
    <row r="2544" spans="1:14" x14ac:dyDescent="0.25">
      <c r="A2544" s="3" t="s">
        <v>2555</v>
      </c>
      <c r="B2544" s="4">
        <v>6.77</v>
      </c>
      <c r="C2544" s="4">
        <v>0.03</v>
      </c>
      <c r="D2544" s="4">
        <v>0.01</v>
      </c>
      <c r="E2544" s="4">
        <v>-1.4520404880467731E-2</v>
      </c>
      <c r="F2544" s="3">
        <v>2542</v>
      </c>
      <c r="G2544" s="3">
        <v>2</v>
      </c>
      <c r="H2544" s="5">
        <v>27710920.030000001</v>
      </c>
      <c r="I2544" s="5">
        <v>279339920.02999997</v>
      </c>
      <c r="J2544" s="5">
        <v>259258000</v>
      </c>
      <c r="K2544" s="5">
        <v>7629000</v>
      </c>
      <c r="L2544" s="5">
        <v>86127000</v>
      </c>
      <c r="M2544" s="5">
        <v>41240000</v>
      </c>
      <c r="N2544" s="5">
        <v>5034000</v>
      </c>
    </row>
    <row r="2545" spans="1:14" x14ac:dyDescent="0.25">
      <c r="A2545" s="3" t="s">
        <v>2556</v>
      </c>
      <c r="B2545" s="4">
        <v>6.38</v>
      </c>
      <c r="C2545" s="4">
        <v>-0.05</v>
      </c>
      <c r="D2545" s="4">
        <v>-0.05</v>
      </c>
      <c r="E2545" s="4">
        <v>-1.4521748873862411E-2</v>
      </c>
      <c r="F2545" s="3">
        <v>2543</v>
      </c>
      <c r="G2545" s="3">
        <v>2</v>
      </c>
      <c r="H2545" s="5">
        <v>20747005.5</v>
      </c>
      <c r="I2545" s="5">
        <v>6331005.5</v>
      </c>
      <c r="J2545" s="5">
        <v>484000</v>
      </c>
      <c r="K2545" s="5">
        <v>14900000</v>
      </c>
      <c r="L2545" s="5">
        <v>11675000</v>
      </c>
      <c r="M2545" s="5">
        <v>993000</v>
      </c>
      <c r="N2545" s="5">
        <v>-1989000</v>
      </c>
    </row>
    <row r="2546" spans="1:14" x14ac:dyDescent="0.25">
      <c r="A2546" s="3" t="s">
        <v>2557</v>
      </c>
      <c r="B2546" s="4">
        <v>7.26</v>
      </c>
      <c r="C2546" s="4">
        <v>0.13</v>
      </c>
      <c r="D2546" s="4">
        <v>0.05</v>
      </c>
      <c r="E2546" s="4">
        <v>-1.452702378316992E-2</v>
      </c>
      <c r="F2546" s="3">
        <v>2544</v>
      </c>
      <c r="G2546" s="3">
        <v>2</v>
      </c>
      <c r="H2546" s="5">
        <v>3959458047</v>
      </c>
      <c r="I2546" s="5">
        <v>6404471047</v>
      </c>
      <c r="J2546" s="5">
        <v>2672375000</v>
      </c>
      <c r="K2546" s="5">
        <v>227362000</v>
      </c>
      <c r="L2546" s="5">
        <v>3527920000</v>
      </c>
      <c r="M2546" s="5">
        <v>882737000</v>
      </c>
      <c r="N2546" s="5">
        <v>322962000</v>
      </c>
    </row>
    <row r="2547" spans="1:14" x14ac:dyDescent="0.25">
      <c r="A2547" s="3" t="s">
        <v>2558</v>
      </c>
      <c r="B2547" s="4">
        <v>7.5</v>
      </c>
      <c r="C2547" s="4">
        <v>0.18</v>
      </c>
      <c r="D2547" s="4">
        <v>0.06</v>
      </c>
      <c r="E2547" s="4">
        <v>-1.452916765824998E-2</v>
      </c>
      <c r="F2547" s="3">
        <v>2545</v>
      </c>
      <c r="G2547" s="3">
        <v>2</v>
      </c>
      <c r="H2547" s="5">
        <v>118295848.31999999</v>
      </c>
      <c r="I2547" s="5">
        <v>168856848.31999999</v>
      </c>
      <c r="J2547" s="5">
        <v>65503000</v>
      </c>
      <c r="K2547" s="5">
        <v>14942000</v>
      </c>
      <c r="L2547" s="5">
        <v>240472000</v>
      </c>
      <c r="M2547" s="5">
        <v>22518000</v>
      </c>
      <c r="N2547" s="5">
        <v>11405000</v>
      </c>
    </row>
    <row r="2548" spans="1:14" x14ac:dyDescent="0.25">
      <c r="A2548" s="3" t="s">
        <v>2559</v>
      </c>
      <c r="B2548" s="4">
        <v>6.5</v>
      </c>
      <c r="C2548" s="4">
        <v>-0.03</v>
      </c>
      <c r="D2548" s="4">
        <v>-0.01</v>
      </c>
      <c r="E2548" s="4">
        <v>-1.4530516021888399E-2</v>
      </c>
      <c r="F2548" s="3">
        <v>2546</v>
      </c>
      <c r="G2548" s="3">
        <v>2</v>
      </c>
      <c r="H2548" s="5">
        <v>168332854.80000001</v>
      </c>
      <c r="I2548" s="5">
        <v>2801698854.8000002</v>
      </c>
      <c r="J2548" s="5">
        <v>2787092000</v>
      </c>
      <c r="K2548" s="5">
        <v>153726000</v>
      </c>
      <c r="L2548" s="5">
        <v>710744000</v>
      </c>
      <c r="M2548" s="5">
        <v>430929000</v>
      </c>
      <c r="N2548" s="5">
        <v>-68106000</v>
      </c>
    </row>
    <row r="2549" spans="1:14" x14ac:dyDescent="0.25">
      <c r="A2549" s="3" t="s">
        <v>2560</v>
      </c>
      <c r="B2549" s="4">
        <v>-0.42</v>
      </c>
      <c r="C2549" s="4">
        <v>-1.45</v>
      </c>
      <c r="D2549" s="4">
        <v>-0.97</v>
      </c>
      <c r="E2549" s="4">
        <v>-1.4535664427004401E-2</v>
      </c>
      <c r="F2549" s="3">
        <v>2547</v>
      </c>
      <c r="G2549" s="3">
        <v>2</v>
      </c>
      <c r="H2549" s="5">
        <v>8674637.1999999993</v>
      </c>
      <c r="I2549" s="5">
        <v>9529417.1999999993</v>
      </c>
      <c r="J2549" s="5">
        <v>875000</v>
      </c>
      <c r="K2549" s="5">
        <v>20220</v>
      </c>
      <c r="L2549" s="5">
        <v>2830440</v>
      </c>
      <c r="M2549" s="5">
        <v>-22834360</v>
      </c>
      <c r="N2549" s="5">
        <v>-26864340</v>
      </c>
    </row>
    <row r="2550" spans="1:14" x14ac:dyDescent="0.25">
      <c r="A2550" s="3" t="s">
        <v>2561</v>
      </c>
      <c r="B2550" s="4">
        <v>7.32</v>
      </c>
      <c r="C2550" s="4">
        <v>0.14000000000000001</v>
      </c>
      <c r="D2550" s="4">
        <v>0.03</v>
      </c>
      <c r="E2550" s="4">
        <v>-1.4539123463492939E-2</v>
      </c>
      <c r="F2550" s="3">
        <v>2548</v>
      </c>
      <c r="G2550" s="3">
        <v>2</v>
      </c>
      <c r="H2550" s="5">
        <v>843728572.44000006</v>
      </c>
      <c r="I2550" s="5">
        <v>1158974572.4400001</v>
      </c>
      <c r="J2550" s="5">
        <v>596551000</v>
      </c>
      <c r="K2550" s="5">
        <v>281305000</v>
      </c>
      <c r="L2550" s="5">
        <v>1230972000</v>
      </c>
      <c r="M2550" s="5">
        <v>158239000</v>
      </c>
      <c r="N2550" s="5">
        <v>35252000</v>
      </c>
    </row>
    <row r="2551" spans="1:14" x14ac:dyDescent="0.25">
      <c r="A2551" s="3" t="s">
        <v>2562</v>
      </c>
      <c r="B2551" s="4">
        <v>7.3</v>
      </c>
      <c r="C2551" s="4">
        <v>0.13</v>
      </c>
      <c r="D2551" s="4">
        <v>0.09</v>
      </c>
      <c r="E2551" s="4">
        <v>-1.45440644996482E-2</v>
      </c>
      <c r="F2551" s="3">
        <v>2549</v>
      </c>
      <c r="G2551" s="3">
        <v>2</v>
      </c>
      <c r="H2551" s="5">
        <v>1009215404.75</v>
      </c>
      <c r="I2551" s="5">
        <v>777075404.75</v>
      </c>
      <c r="J2551" s="5">
        <v>0</v>
      </c>
      <c r="K2551" s="5">
        <v>232140000</v>
      </c>
      <c r="L2551" s="5">
        <v>712538000</v>
      </c>
      <c r="M2551" s="5">
        <v>106516000</v>
      </c>
      <c r="N2551" s="5">
        <v>62830000</v>
      </c>
    </row>
    <row r="2552" spans="1:14" x14ac:dyDescent="0.25">
      <c r="A2552" s="3" t="s">
        <v>2563</v>
      </c>
      <c r="B2552" s="4">
        <v>5.29</v>
      </c>
      <c r="C2552" s="4">
        <v>-0.28999999999999998</v>
      </c>
      <c r="D2552" s="4">
        <v>-0.1</v>
      </c>
      <c r="E2552" s="4">
        <v>-1.455021715411548E-2</v>
      </c>
      <c r="F2552" s="3">
        <v>2550</v>
      </c>
      <c r="G2552" s="3">
        <v>2</v>
      </c>
      <c r="H2552" s="5">
        <v>56.286529000000002</v>
      </c>
      <c r="I2552" s="5">
        <v>137560336.286529</v>
      </c>
      <c r="J2552" s="5">
        <v>156809210</v>
      </c>
      <c r="K2552" s="5">
        <v>19248930</v>
      </c>
      <c r="L2552" s="5">
        <v>172447790</v>
      </c>
      <c r="M2552" s="5">
        <v>26023980</v>
      </c>
      <c r="N2552" s="5">
        <v>-34549340</v>
      </c>
    </row>
    <row r="2553" spans="1:14" x14ac:dyDescent="0.25">
      <c r="A2553" s="3" t="s">
        <v>2564</v>
      </c>
      <c r="B2553" s="4">
        <v>7.15</v>
      </c>
      <c r="C2553" s="4">
        <v>0.1</v>
      </c>
      <c r="D2553" s="4">
        <v>0.02</v>
      </c>
      <c r="E2553" s="4">
        <v>-1.4551410421277959E-2</v>
      </c>
      <c r="F2553" s="3">
        <v>2551</v>
      </c>
      <c r="G2553" s="3">
        <v>2</v>
      </c>
      <c r="H2553" s="5">
        <v>303306695.44</v>
      </c>
      <c r="I2553" s="5">
        <v>876906695.44000006</v>
      </c>
      <c r="J2553" s="5">
        <v>626700000</v>
      </c>
      <c r="K2553" s="5">
        <v>53100000</v>
      </c>
      <c r="L2553" s="5">
        <v>1656200000</v>
      </c>
      <c r="M2553" s="5">
        <v>122600000</v>
      </c>
      <c r="N2553" s="5">
        <v>31800000</v>
      </c>
    </row>
    <row r="2554" spans="1:14" x14ac:dyDescent="0.25">
      <c r="A2554" s="3" t="s">
        <v>2565</v>
      </c>
      <c r="B2554" s="4">
        <v>7.71</v>
      </c>
      <c r="C2554" s="4">
        <v>0.22</v>
      </c>
      <c r="D2554" s="4">
        <v>0</v>
      </c>
      <c r="E2554" s="4">
        <v>-1.4555140709295819E-2</v>
      </c>
      <c r="F2554" s="3">
        <v>2552</v>
      </c>
      <c r="G2554" s="3">
        <v>2</v>
      </c>
      <c r="H2554" s="5">
        <v>1007597921.4</v>
      </c>
      <c r="I2554" s="5">
        <v>25808551921.400002</v>
      </c>
      <c r="J2554" s="5">
        <v>25057488000</v>
      </c>
      <c r="K2554" s="5">
        <v>256534000</v>
      </c>
      <c r="L2554" s="5">
        <v>8954417000</v>
      </c>
      <c r="M2554" s="5">
        <v>3346019000</v>
      </c>
      <c r="N2554" s="5">
        <v>-102918000</v>
      </c>
    </row>
    <row r="2555" spans="1:14" x14ac:dyDescent="0.25">
      <c r="A2555" s="3" t="s">
        <v>2566</v>
      </c>
      <c r="B2555" s="4">
        <v>7.07</v>
      </c>
      <c r="C2555" s="4">
        <v>0.08</v>
      </c>
      <c r="D2555" s="4">
        <v>0.04</v>
      </c>
      <c r="E2555" s="4">
        <v>-1.4555825936575249E-2</v>
      </c>
      <c r="F2555" s="3">
        <v>2553</v>
      </c>
      <c r="G2555" s="3">
        <v>2</v>
      </c>
      <c r="H2555" s="5">
        <v>374634721.98000002</v>
      </c>
      <c r="I2555" s="5">
        <v>725613721.98000002</v>
      </c>
      <c r="J2555" s="5">
        <v>386712000</v>
      </c>
      <c r="K2555" s="5">
        <v>35733000</v>
      </c>
      <c r="L2555" s="5">
        <v>1526594000</v>
      </c>
      <c r="M2555" s="5">
        <v>102593000</v>
      </c>
      <c r="N2555" s="5">
        <v>47580000</v>
      </c>
    </row>
    <row r="2556" spans="1:14" x14ac:dyDescent="0.25">
      <c r="A2556" s="3" t="s">
        <v>2567</v>
      </c>
      <c r="B2556" s="4">
        <v>7.82</v>
      </c>
      <c r="C2556" s="4">
        <v>0.23</v>
      </c>
      <c r="D2556" s="4">
        <v>0.16</v>
      </c>
      <c r="E2556" s="4">
        <v>-1.456346393970911E-2</v>
      </c>
      <c r="F2556" s="3">
        <v>2554</v>
      </c>
      <c r="G2556" s="3">
        <v>2</v>
      </c>
      <c r="H2556" s="5">
        <v>2863513429.48</v>
      </c>
      <c r="I2556" s="5">
        <v>2336422429.48</v>
      </c>
      <c r="J2556" s="5">
        <v>48304000</v>
      </c>
      <c r="K2556" s="5">
        <v>575395000</v>
      </c>
      <c r="L2556" s="5">
        <v>12639857000</v>
      </c>
      <c r="M2556" s="5">
        <v>298843000</v>
      </c>
      <c r="N2556" s="5">
        <v>192381000</v>
      </c>
    </row>
    <row r="2557" spans="1:14" x14ac:dyDescent="0.25">
      <c r="A2557" s="3" t="s">
        <v>2568</v>
      </c>
      <c r="B2557" s="4">
        <v>7.14</v>
      </c>
      <c r="C2557" s="4">
        <v>0.09</v>
      </c>
      <c r="D2557" s="4">
        <v>0.05</v>
      </c>
      <c r="E2557" s="4">
        <v>-1.4568327742862821E-2</v>
      </c>
      <c r="F2557" s="3">
        <v>2555</v>
      </c>
      <c r="G2557" s="3">
        <v>2</v>
      </c>
      <c r="H2557" s="5">
        <v>32190000</v>
      </c>
      <c r="I2557" s="5">
        <v>29570240</v>
      </c>
      <c r="J2557" s="5">
        <v>4027030</v>
      </c>
      <c r="K2557" s="5">
        <v>6646790</v>
      </c>
      <c r="L2557" s="5">
        <v>43796140</v>
      </c>
      <c r="M2557" s="5">
        <v>4138740</v>
      </c>
      <c r="N2557" s="5">
        <v>2237870</v>
      </c>
    </row>
    <row r="2558" spans="1:14" x14ac:dyDescent="0.25">
      <c r="A2558" s="3" t="s">
        <v>2569</v>
      </c>
      <c r="B2558" s="4">
        <v>7.1</v>
      </c>
      <c r="C2558" s="4">
        <v>0.08</v>
      </c>
      <c r="D2558" s="4">
        <v>0.04</v>
      </c>
      <c r="E2558" s="4">
        <v>-1.457439355366648E-2</v>
      </c>
      <c r="F2558" s="3">
        <v>2556</v>
      </c>
      <c r="G2558" s="3">
        <v>2</v>
      </c>
      <c r="H2558" s="5">
        <v>292374671.72000003</v>
      </c>
      <c r="I2558" s="5">
        <v>290683671.72000003</v>
      </c>
      <c r="J2558" s="5">
        <v>21251000</v>
      </c>
      <c r="K2558" s="5">
        <v>22942000</v>
      </c>
      <c r="L2558" s="5">
        <v>902696000</v>
      </c>
      <c r="M2558" s="5">
        <v>40928000</v>
      </c>
      <c r="N2558" s="5">
        <v>17291000</v>
      </c>
    </row>
    <row r="2559" spans="1:14" x14ac:dyDescent="0.25">
      <c r="A2559" s="3" t="s">
        <v>2570</v>
      </c>
      <c r="B2559" s="4">
        <v>7.24</v>
      </c>
      <c r="C2559" s="4">
        <v>0.11</v>
      </c>
      <c r="D2559" s="4">
        <v>0.03</v>
      </c>
      <c r="E2559" s="4">
        <v>-1.4576290638959689E-2</v>
      </c>
      <c r="F2559" s="3">
        <v>2557</v>
      </c>
      <c r="G2559" s="3">
        <v>2</v>
      </c>
      <c r="H2559" s="5">
        <v>2020505662.8599999</v>
      </c>
      <c r="I2559" s="5">
        <v>2734058662.8600001</v>
      </c>
      <c r="J2559" s="5">
        <v>799435000</v>
      </c>
      <c r="K2559" s="5">
        <v>85882000</v>
      </c>
      <c r="L2559" s="5">
        <v>1677609000</v>
      </c>
      <c r="M2559" s="5">
        <v>377486000</v>
      </c>
      <c r="N2559" s="5">
        <v>84161000</v>
      </c>
    </row>
    <row r="2560" spans="1:14" x14ac:dyDescent="0.25">
      <c r="A2560" s="3" t="s">
        <v>2571</v>
      </c>
      <c r="B2560" s="4">
        <v>11.84</v>
      </c>
      <c r="C2560" s="4">
        <v>1.0900000000000001</v>
      </c>
      <c r="D2560" s="4">
        <v>0.1</v>
      </c>
      <c r="E2560" s="4">
        <v>-1.45782485861559E-2</v>
      </c>
      <c r="F2560" s="3">
        <v>2558</v>
      </c>
      <c r="G2560" s="3">
        <v>2</v>
      </c>
      <c r="H2560" s="5">
        <v>87290899887.360001</v>
      </c>
      <c r="I2560" s="5">
        <v>94781899887.360001</v>
      </c>
      <c r="J2560" s="5">
        <v>13091000000</v>
      </c>
      <c r="K2560" s="5">
        <v>5600000000</v>
      </c>
      <c r="L2560" s="5">
        <v>24575000000</v>
      </c>
      <c r="M2560" s="5">
        <v>8005000000</v>
      </c>
      <c r="N2560" s="5">
        <v>4173000000</v>
      </c>
    </row>
    <row r="2561" spans="1:14" x14ac:dyDescent="0.25">
      <c r="A2561" s="3" t="s">
        <v>2572</v>
      </c>
      <c r="B2561" s="4">
        <v>6.87</v>
      </c>
      <c r="C2561" s="4">
        <v>0.03</v>
      </c>
      <c r="D2561" s="4">
        <v>0.02</v>
      </c>
      <c r="E2561" s="4">
        <v>-1.4580367910860989E-2</v>
      </c>
      <c r="F2561" s="3">
        <v>2559</v>
      </c>
      <c r="G2561" s="3">
        <v>2</v>
      </c>
      <c r="H2561" s="5">
        <v>1837902245.6099999</v>
      </c>
      <c r="I2561" s="5">
        <v>1548702245.6099999</v>
      </c>
      <c r="J2561" s="5">
        <v>0</v>
      </c>
      <c r="K2561" s="5">
        <v>289200000</v>
      </c>
      <c r="L2561" s="5">
        <v>1845400000</v>
      </c>
      <c r="M2561" s="5">
        <v>225300000</v>
      </c>
      <c r="N2561" s="5">
        <v>35600000</v>
      </c>
    </row>
    <row r="2562" spans="1:14" x14ac:dyDescent="0.25">
      <c r="A2562" s="3" t="s">
        <v>2573</v>
      </c>
      <c r="B2562" s="4">
        <v>9.9700000000000006</v>
      </c>
      <c r="C2562" s="4">
        <v>0.68</v>
      </c>
      <c r="D2562" s="4">
        <v>0.23</v>
      </c>
      <c r="E2562" s="4">
        <v>-1.458042766288762E-2</v>
      </c>
      <c r="F2562" s="3">
        <v>2560</v>
      </c>
      <c r="G2562" s="3">
        <v>2</v>
      </c>
      <c r="H2562" s="5">
        <v>13101894794.68</v>
      </c>
      <c r="I2562" s="5">
        <v>17889894794.68</v>
      </c>
      <c r="J2562" s="5">
        <v>5673000000</v>
      </c>
      <c r="K2562" s="5">
        <v>885000000</v>
      </c>
      <c r="L2562" s="5">
        <v>11795000000</v>
      </c>
      <c r="M2562" s="5">
        <v>1794000000</v>
      </c>
      <c r="N2562" s="5">
        <v>4008000000</v>
      </c>
    </row>
    <row r="2563" spans="1:14" x14ac:dyDescent="0.25">
      <c r="A2563" s="3" t="s">
        <v>2574</v>
      </c>
      <c r="B2563" s="4">
        <v>7.02</v>
      </c>
      <c r="C2563" s="4">
        <v>0.06</v>
      </c>
      <c r="D2563" s="4">
        <v>0.03</v>
      </c>
      <c r="E2563" s="4">
        <v>-1.4584596148696279E-2</v>
      </c>
      <c r="F2563" s="3">
        <v>2561</v>
      </c>
      <c r="G2563" s="3">
        <v>2</v>
      </c>
      <c r="H2563" s="5">
        <v>1394799412.5</v>
      </c>
      <c r="I2563" s="5">
        <v>1839114412.5</v>
      </c>
      <c r="J2563" s="5">
        <v>516019000</v>
      </c>
      <c r="K2563" s="5">
        <v>71704000</v>
      </c>
      <c r="L2563" s="5">
        <v>1055957000</v>
      </c>
      <c r="M2563" s="5">
        <v>262139000</v>
      </c>
      <c r="N2563" s="5">
        <v>59944000</v>
      </c>
    </row>
    <row r="2564" spans="1:14" x14ac:dyDescent="0.25">
      <c r="A2564" s="3" t="s">
        <v>2575</v>
      </c>
      <c r="B2564" s="4">
        <v>-0.93</v>
      </c>
      <c r="C2564" s="4">
        <v>-1.59</v>
      </c>
      <c r="D2564" s="4">
        <v>-0.77</v>
      </c>
      <c r="E2564" s="4">
        <v>-1.458594490310575E-2</v>
      </c>
      <c r="F2564" s="3">
        <v>2562</v>
      </c>
      <c r="G2564" s="3">
        <v>2</v>
      </c>
      <c r="H2564" s="5">
        <v>5479956.54</v>
      </c>
      <c r="I2564" s="5">
        <v>3775896.54</v>
      </c>
      <c r="J2564" s="5">
        <v>925230</v>
      </c>
      <c r="K2564" s="5">
        <v>2629290</v>
      </c>
      <c r="L2564" s="5">
        <v>6020640</v>
      </c>
      <c r="M2564" s="5">
        <v>-4038490</v>
      </c>
      <c r="N2564" s="5">
        <v>-3980820</v>
      </c>
    </row>
    <row r="2565" spans="1:14" x14ac:dyDescent="0.25">
      <c r="A2565" s="3" t="s">
        <v>2576</v>
      </c>
      <c r="B2565" s="4">
        <v>-2.79</v>
      </c>
      <c r="C2565" s="4">
        <v>-1.97</v>
      </c>
      <c r="D2565" s="4">
        <v>-1.0900000000000001</v>
      </c>
      <c r="E2565" s="4">
        <v>-1.459443856047893E-2</v>
      </c>
      <c r="F2565" s="3">
        <v>2563</v>
      </c>
      <c r="G2565" s="3">
        <v>2</v>
      </c>
      <c r="H2565" s="5">
        <v>37745260.520000003</v>
      </c>
      <c r="I2565" s="5">
        <v>30591260.52</v>
      </c>
      <c r="J2565" s="5">
        <v>0</v>
      </c>
      <c r="K2565" s="5">
        <v>7154000</v>
      </c>
      <c r="L2565" s="5">
        <v>43000</v>
      </c>
      <c r="M2565" s="5">
        <v>-10970000</v>
      </c>
      <c r="N2565" s="5">
        <v>-8814000</v>
      </c>
    </row>
    <row r="2566" spans="1:14" x14ac:dyDescent="0.25">
      <c r="A2566" s="3" t="s">
        <v>2577</v>
      </c>
      <c r="B2566" s="4">
        <v>8.09</v>
      </c>
      <c r="C2566" s="4">
        <v>0.27</v>
      </c>
      <c r="D2566" s="4">
        <v>0.24</v>
      </c>
      <c r="E2566" s="4">
        <v>-1.4599565852852331E-2</v>
      </c>
      <c r="F2566" s="3">
        <v>2564</v>
      </c>
      <c r="G2566" s="3">
        <v>2</v>
      </c>
      <c r="H2566" s="5">
        <v>32160233</v>
      </c>
      <c r="I2566" s="5">
        <v>30284573</v>
      </c>
      <c r="J2566" s="5">
        <v>0</v>
      </c>
      <c r="K2566" s="5">
        <v>1875660</v>
      </c>
      <c r="L2566" s="5">
        <v>12181970</v>
      </c>
      <c r="M2566" s="5">
        <v>3742680</v>
      </c>
      <c r="N2566" s="5">
        <v>3250880</v>
      </c>
    </row>
    <row r="2567" spans="1:14" x14ac:dyDescent="0.25">
      <c r="A2567" s="3" t="s">
        <v>2578</v>
      </c>
      <c r="B2567" s="4">
        <v>8.02</v>
      </c>
      <c r="C2567" s="4">
        <v>0.27</v>
      </c>
      <c r="D2567" s="4">
        <v>0.01</v>
      </c>
      <c r="E2567" s="4">
        <v>-1.4600609024255419E-2</v>
      </c>
      <c r="F2567" s="3">
        <v>2565</v>
      </c>
      <c r="G2567" s="3">
        <v>2</v>
      </c>
      <c r="H2567" s="5">
        <v>78294547848.75</v>
      </c>
      <c r="I2567" s="5">
        <v>75680547848.75</v>
      </c>
      <c r="J2567" s="5">
        <v>13552000000</v>
      </c>
      <c r="K2567" s="5">
        <v>16166000000</v>
      </c>
      <c r="L2567" s="5">
        <v>23737000000</v>
      </c>
      <c r="M2567" s="5">
        <v>9435000000</v>
      </c>
      <c r="N2567" s="5">
        <v>4577000000</v>
      </c>
    </row>
    <row r="2568" spans="1:14" x14ac:dyDescent="0.25">
      <c r="A2568" s="3" t="s">
        <v>2579</v>
      </c>
      <c r="B2568" s="4">
        <v>6.17</v>
      </c>
      <c r="C2568" s="4">
        <v>-0.12</v>
      </c>
      <c r="D2568" s="4">
        <v>-0.09</v>
      </c>
      <c r="E2568" s="4">
        <v>-1.460174690963501E-2</v>
      </c>
      <c r="F2568" s="3">
        <v>2566</v>
      </c>
      <c r="G2568" s="3">
        <v>2</v>
      </c>
      <c r="H2568" s="5">
        <v>814166384</v>
      </c>
      <c r="I2568" s="5">
        <v>690092384</v>
      </c>
      <c r="J2568" s="5">
        <v>29005000</v>
      </c>
      <c r="K2568" s="5">
        <v>153079000</v>
      </c>
      <c r="L2568" s="5">
        <v>696162000</v>
      </c>
      <c r="M2568" s="5">
        <v>111760000</v>
      </c>
      <c r="N2568" s="5">
        <v>-96976000</v>
      </c>
    </row>
    <row r="2569" spans="1:14" x14ac:dyDescent="0.25">
      <c r="A2569" s="3" t="s">
        <v>2580</v>
      </c>
      <c r="B2569" s="4">
        <v>-0.57999999999999996</v>
      </c>
      <c r="C2569" s="4">
        <v>-1.51</v>
      </c>
      <c r="D2569" s="4">
        <v>-0.93</v>
      </c>
      <c r="E2569" s="4">
        <v>-1.460228267162789E-2</v>
      </c>
      <c r="F2569" s="3">
        <v>2567</v>
      </c>
      <c r="G2569" s="3">
        <v>2</v>
      </c>
      <c r="H2569" s="5">
        <v>11630766.890000001</v>
      </c>
      <c r="I2569" s="5">
        <v>11270766.890000001</v>
      </c>
      <c r="J2569" s="5">
        <v>3719000</v>
      </c>
      <c r="K2569" s="5">
        <v>4079000</v>
      </c>
      <c r="L2569" s="5">
        <v>0</v>
      </c>
      <c r="M2569" s="5">
        <v>-19493000</v>
      </c>
      <c r="N2569" s="5">
        <v>-24555000</v>
      </c>
    </row>
    <row r="2570" spans="1:14" x14ac:dyDescent="0.25">
      <c r="A2570" s="3" t="s">
        <v>2581</v>
      </c>
      <c r="B2570" s="4">
        <v>5.34</v>
      </c>
      <c r="C2570" s="4">
        <v>-0.3</v>
      </c>
      <c r="D2570" s="4">
        <v>-7.0000000000000007E-2</v>
      </c>
      <c r="E2570" s="4">
        <v>-1.4604269709882821E-2</v>
      </c>
      <c r="F2570" s="3">
        <v>2568</v>
      </c>
      <c r="G2570" s="3">
        <v>2</v>
      </c>
      <c r="H2570" s="5">
        <v>239158654</v>
      </c>
      <c r="I2570" s="5">
        <v>1272197654</v>
      </c>
      <c r="J2570" s="5">
        <v>1183376000</v>
      </c>
      <c r="K2570" s="5">
        <v>150337000</v>
      </c>
      <c r="L2570" s="5">
        <v>3775592000</v>
      </c>
      <c r="M2570" s="5">
        <v>238111000</v>
      </c>
      <c r="N2570" s="5">
        <v>-189020000</v>
      </c>
    </row>
    <row r="2571" spans="1:14" x14ac:dyDescent="0.25">
      <c r="A2571" s="3" t="s">
        <v>2582</v>
      </c>
      <c r="B2571" s="4">
        <v>6.96</v>
      </c>
      <c r="C2571" s="4">
        <v>0.04</v>
      </c>
      <c r="D2571" s="4">
        <v>0.03</v>
      </c>
      <c r="E2571" s="4">
        <v>-1.460524812854273E-2</v>
      </c>
      <c r="F2571" s="3">
        <v>2569</v>
      </c>
      <c r="G2571" s="3">
        <v>2</v>
      </c>
      <c r="H2571" s="5">
        <v>277400403.14999998</v>
      </c>
      <c r="I2571" s="5">
        <v>287507403.14999998</v>
      </c>
      <c r="J2571" s="5">
        <v>55728000</v>
      </c>
      <c r="K2571" s="5">
        <v>45621000</v>
      </c>
      <c r="L2571" s="5">
        <v>175736000</v>
      </c>
      <c r="M2571" s="5">
        <v>41285000</v>
      </c>
      <c r="N2571" s="5">
        <v>9734000</v>
      </c>
    </row>
    <row r="2572" spans="1:14" x14ac:dyDescent="0.25">
      <c r="A2572" s="3" t="s">
        <v>2583</v>
      </c>
      <c r="B2572" s="4">
        <v>-0.55000000000000004</v>
      </c>
      <c r="C2572" s="4">
        <v>-1.52</v>
      </c>
      <c r="D2572" s="4">
        <v>-0.7</v>
      </c>
      <c r="E2572" s="4">
        <v>-1.460537628445094E-2</v>
      </c>
      <c r="F2572" s="3">
        <v>2570</v>
      </c>
      <c r="G2572" s="3">
        <v>2</v>
      </c>
      <c r="H2572" s="5">
        <v>18866.4136</v>
      </c>
      <c r="I2572" s="5">
        <v>2970436.4136000001</v>
      </c>
      <c r="J2572" s="5">
        <v>3017220</v>
      </c>
      <c r="K2572" s="5">
        <v>65650</v>
      </c>
      <c r="L2572" s="5">
        <v>5451880</v>
      </c>
      <c r="M2572" s="5">
        <v>-5370670</v>
      </c>
      <c r="N2572" s="5">
        <v>-6306480</v>
      </c>
    </row>
    <row r="2573" spans="1:14" x14ac:dyDescent="0.25">
      <c r="A2573" s="3" t="s">
        <v>2584</v>
      </c>
      <c r="B2573" s="4">
        <v>7.4</v>
      </c>
      <c r="C2573" s="4">
        <v>0.13</v>
      </c>
      <c r="D2573" s="4">
        <v>7.0000000000000007E-2</v>
      </c>
      <c r="E2573" s="4">
        <v>-1.460981460977399E-2</v>
      </c>
      <c r="F2573" s="3">
        <v>2571</v>
      </c>
      <c r="G2573" s="3">
        <v>2</v>
      </c>
      <c r="H2573" s="5">
        <v>479407386999.52002</v>
      </c>
      <c r="I2573" s="5">
        <v>498209386999.52002</v>
      </c>
      <c r="J2573" s="5">
        <v>41831000000</v>
      </c>
      <c r="K2573" s="5">
        <v>23029000000</v>
      </c>
      <c r="L2573" s="5">
        <v>339247000000</v>
      </c>
      <c r="M2573" s="5">
        <v>67310000000</v>
      </c>
      <c r="N2573" s="5">
        <v>33680000000</v>
      </c>
    </row>
    <row r="2574" spans="1:14" x14ac:dyDescent="0.25">
      <c r="A2574" s="3" t="s">
        <v>2585</v>
      </c>
      <c r="B2574" s="4">
        <v>7.09</v>
      </c>
      <c r="C2574" s="4">
        <v>0.06</v>
      </c>
      <c r="D2574" s="4">
        <v>0.04</v>
      </c>
      <c r="E2574" s="4">
        <v>-1.4625991561998321E-2</v>
      </c>
      <c r="F2574" s="3">
        <v>2572</v>
      </c>
      <c r="G2574" s="3">
        <v>2</v>
      </c>
      <c r="H2574" s="5">
        <v>2185431541.6799998</v>
      </c>
      <c r="I2574" s="5">
        <v>2352538541.6799998</v>
      </c>
      <c r="J2574" s="5">
        <v>265355000</v>
      </c>
      <c r="K2574" s="5">
        <v>98248000</v>
      </c>
      <c r="L2574" s="5">
        <v>3946390000</v>
      </c>
      <c r="M2574" s="5">
        <v>331579000</v>
      </c>
      <c r="N2574" s="5">
        <v>103993000</v>
      </c>
    </row>
    <row r="2575" spans="1:14" x14ac:dyDescent="0.25">
      <c r="A2575" s="3" t="s">
        <v>2586</v>
      </c>
      <c r="B2575" s="4">
        <v>7.75</v>
      </c>
      <c r="C2575" s="4">
        <v>0.2</v>
      </c>
      <c r="D2575" s="4">
        <v>0.05</v>
      </c>
      <c r="E2575" s="4">
        <v>-1.4628039613225509E-2</v>
      </c>
      <c r="F2575" s="3">
        <v>2573</v>
      </c>
      <c r="G2575" s="3">
        <v>2</v>
      </c>
      <c r="H2575" s="5">
        <v>5956457546.3999996</v>
      </c>
      <c r="I2575" s="5">
        <v>8784457546.3999996</v>
      </c>
      <c r="J2575" s="5">
        <v>3421000000</v>
      </c>
      <c r="K2575" s="5">
        <v>593000000</v>
      </c>
      <c r="L2575" s="5">
        <v>5276000000</v>
      </c>
      <c r="M2575" s="5">
        <v>1133000000</v>
      </c>
      <c r="N2575" s="5">
        <v>391000000</v>
      </c>
    </row>
    <row r="2576" spans="1:14" x14ac:dyDescent="0.25">
      <c r="A2576" s="3" t="s">
        <v>2587</v>
      </c>
      <c r="B2576" s="4">
        <v>8.75</v>
      </c>
      <c r="C2576" s="4">
        <v>0.4</v>
      </c>
      <c r="D2576" s="4">
        <v>0.26</v>
      </c>
      <c r="E2576" s="4">
        <v>-1.462857848451647E-2</v>
      </c>
      <c r="F2576" s="3">
        <v>2574</v>
      </c>
      <c r="G2576" s="3">
        <v>2</v>
      </c>
      <c r="H2576" s="5">
        <v>20546604701.130001</v>
      </c>
      <c r="I2576" s="5">
        <v>18860057701.130001</v>
      </c>
      <c r="J2576" s="5">
        <v>924428000</v>
      </c>
      <c r="K2576" s="5">
        <v>2610975000</v>
      </c>
      <c r="L2576" s="5">
        <v>10692941000</v>
      </c>
      <c r="M2576" s="5">
        <v>2154464000</v>
      </c>
      <c r="N2576" s="5">
        <v>1681928000</v>
      </c>
    </row>
    <row r="2577" spans="1:14" x14ac:dyDescent="0.25">
      <c r="A2577" s="3" t="s">
        <v>2588</v>
      </c>
      <c r="B2577" s="4">
        <v>7.33</v>
      </c>
      <c r="C2577" s="4">
        <v>0.11</v>
      </c>
      <c r="D2577" s="4">
        <v>0.04</v>
      </c>
      <c r="E2577" s="4">
        <v>-1.4630064463655879E-2</v>
      </c>
      <c r="F2577" s="3">
        <v>2575</v>
      </c>
      <c r="G2577" s="3">
        <v>2</v>
      </c>
      <c r="H2577" s="5">
        <v>1116542500</v>
      </c>
      <c r="I2577" s="5">
        <v>1558822500</v>
      </c>
      <c r="J2577" s="5">
        <v>689783000</v>
      </c>
      <c r="K2577" s="5">
        <v>247503000</v>
      </c>
      <c r="L2577" s="5">
        <v>1415491000</v>
      </c>
      <c r="M2577" s="5">
        <v>212724000</v>
      </c>
      <c r="N2577" s="5">
        <v>94797000</v>
      </c>
    </row>
    <row r="2578" spans="1:14" x14ac:dyDescent="0.25">
      <c r="A2578" s="3" t="s">
        <v>2589</v>
      </c>
      <c r="B2578" s="4">
        <v>6.43</v>
      </c>
      <c r="C2578" s="4">
        <v>-0.08</v>
      </c>
      <c r="D2578" s="4">
        <v>-0.02</v>
      </c>
      <c r="E2578" s="4">
        <v>-1.463358864365865E-2</v>
      </c>
      <c r="F2578" s="3">
        <v>2576</v>
      </c>
      <c r="G2578" s="3">
        <v>2</v>
      </c>
      <c r="H2578" s="5">
        <v>343113353.55000001</v>
      </c>
      <c r="I2578" s="5">
        <v>462854353.55000001</v>
      </c>
      <c r="J2578" s="5">
        <v>129170000</v>
      </c>
      <c r="K2578" s="5">
        <v>9429000</v>
      </c>
      <c r="L2578" s="5">
        <v>757354000</v>
      </c>
      <c r="M2578" s="5">
        <v>72007000</v>
      </c>
      <c r="N2578" s="5">
        <v>-19470000</v>
      </c>
    </row>
    <row r="2579" spans="1:14" x14ac:dyDescent="0.25">
      <c r="A2579" s="3" t="s">
        <v>2590</v>
      </c>
      <c r="B2579" s="4">
        <v>0.56999999999999995</v>
      </c>
      <c r="C2579" s="4">
        <v>-1.31</v>
      </c>
      <c r="D2579" s="4">
        <v>-0.4</v>
      </c>
      <c r="E2579" s="4">
        <v>-1.463393077789482E-2</v>
      </c>
      <c r="F2579" s="3">
        <v>2577</v>
      </c>
      <c r="G2579" s="3">
        <v>2</v>
      </c>
      <c r="H2579" s="5">
        <v>183.402038</v>
      </c>
      <c r="I2579" s="5">
        <v>-57620816.597962007</v>
      </c>
      <c r="J2579" s="5">
        <v>78339000</v>
      </c>
      <c r="K2579" s="5">
        <v>135960000</v>
      </c>
      <c r="L2579" s="5">
        <v>102206000</v>
      </c>
      <c r="M2579" s="5">
        <v>-100389000</v>
      </c>
      <c r="N2579" s="5">
        <v>-107330000</v>
      </c>
    </row>
    <row r="2580" spans="1:14" x14ac:dyDescent="0.25">
      <c r="A2580" s="3" t="s">
        <v>2591</v>
      </c>
      <c r="B2580" s="4">
        <v>7.53</v>
      </c>
      <c r="C2580" s="4">
        <v>0.15</v>
      </c>
      <c r="D2580" s="4">
        <v>0.06</v>
      </c>
      <c r="E2580" s="4">
        <v>-1.463441609638459E-2</v>
      </c>
      <c r="F2580" s="3">
        <v>2578</v>
      </c>
      <c r="G2580" s="3">
        <v>2</v>
      </c>
      <c r="H2580" s="5">
        <v>1968172487.29</v>
      </c>
      <c r="I2580" s="5">
        <v>2002286487.29</v>
      </c>
      <c r="J2580" s="5">
        <v>1137124000</v>
      </c>
      <c r="K2580" s="5">
        <v>1103010000</v>
      </c>
      <c r="L2580" s="5">
        <v>1901979000</v>
      </c>
      <c r="M2580" s="5">
        <v>265881000</v>
      </c>
      <c r="N2580" s="5">
        <v>235239000</v>
      </c>
    </row>
    <row r="2581" spans="1:14" x14ac:dyDescent="0.25">
      <c r="A2581" s="3" t="s">
        <v>2592</v>
      </c>
      <c r="B2581" s="4">
        <v>6.92</v>
      </c>
      <c r="C2581" s="4">
        <v>0.02</v>
      </c>
      <c r="D2581" s="4">
        <v>0.01</v>
      </c>
      <c r="E2581" s="4">
        <v>-1.464213657293835E-2</v>
      </c>
      <c r="F2581" s="3">
        <v>2579</v>
      </c>
      <c r="G2581" s="3">
        <v>2</v>
      </c>
      <c r="H2581" s="5">
        <v>1415490927.3599999</v>
      </c>
      <c r="I2581" s="5">
        <v>1620482287.3599999</v>
      </c>
      <c r="J2581" s="5">
        <v>239159780</v>
      </c>
      <c r="K2581" s="5">
        <v>34168420</v>
      </c>
      <c r="L2581" s="5">
        <v>309307540</v>
      </c>
      <c r="M2581" s="5">
        <v>234236040</v>
      </c>
      <c r="N2581" s="5">
        <v>12323850</v>
      </c>
    </row>
    <row r="2582" spans="1:14" x14ac:dyDescent="0.25">
      <c r="A2582" s="3" t="s">
        <v>2593</v>
      </c>
      <c r="B2582" s="4">
        <v>8.4600000000000009</v>
      </c>
      <c r="C2582" s="4">
        <v>0.35</v>
      </c>
      <c r="D2582" s="4">
        <v>-0.06</v>
      </c>
      <c r="E2582" s="4">
        <v>-1.46552884048537E-2</v>
      </c>
      <c r="F2582" s="3">
        <v>2580</v>
      </c>
      <c r="G2582" s="3">
        <v>2</v>
      </c>
      <c r="H2582" s="5">
        <v>1525504194.72</v>
      </c>
      <c r="I2582" s="5">
        <v>3008079194.7199998</v>
      </c>
      <c r="J2582" s="5">
        <v>1952301000</v>
      </c>
      <c r="K2582" s="5">
        <v>469726000</v>
      </c>
      <c r="L2582" s="5">
        <v>2026598000</v>
      </c>
      <c r="M2582" s="5">
        <v>355515000</v>
      </c>
      <c r="N2582" s="5">
        <v>-203597000</v>
      </c>
    </row>
    <row r="2583" spans="1:14" x14ac:dyDescent="0.25">
      <c r="A2583" s="3" t="s">
        <v>2594</v>
      </c>
      <c r="B2583" s="4">
        <v>6.95</v>
      </c>
      <c r="C2583" s="4">
        <v>0.02</v>
      </c>
      <c r="D2583" s="4">
        <v>0.01</v>
      </c>
      <c r="E2583" s="4">
        <v>-1.4660704190029581E-2</v>
      </c>
      <c r="F2583" s="3">
        <v>2581</v>
      </c>
      <c r="G2583" s="3">
        <v>2</v>
      </c>
      <c r="H2583" s="5">
        <v>610291238.30999994</v>
      </c>
      <c r="I2583" s="5">
        <v>560366238.30999994</v>
      </c>
      <c r="J2583" s="5">
        <v>170957000</v>
      </c>
      <c r="K2583" s="5">
        <v>220882000</v>
      </c>
      <c r="L2583" s="5">
        <v>452699000</v>
      </c>
      <c r="M2583" s="5">
        <v>80571000</v>
      </c>
      <c r="N2583" s="5">
        <v>13375000</v>
      </c>
    </row>
    <row r="2584" spans="1:14" x14ac:dyDescent="0.25">
      <c r="A2584" s="3" t="s">
        <v>2595</v>
      </c>
      <c r="B2584" s="4">
        <v>6.95</v>
      </c>
      <c r="C2584" s="4">
        <v>0.02</v>
      </c>
      <c r="D2584" s="4">
        <v>0.01</v>
      </c>
      <c r="E2584" s="4">
        <v>-1.4660704190029581E-2</v>
      </c>
      <c r="F2584" s="3">
        <v>2581</v>
      </c>
      <c r="G2584" s="3">
        <v>2</v>
      </c>
      <c r="H2584" s="5">
        <v>8321659707.7200003</v>
      </c>
      <c r="I2584" s="5">
        <v>12273559707.719999</v>
      </c>
      <c r="J2584" s="5">
        <v>4224700000</v>
      </c>
      <c r="K2584" s="5">
        <v>272800000</v>
      </c>
      <c r="L2584" s="5">
        <v>11122800000</v>
      </c>
      <c r="M2584" s="5">
        <v>1765000000</v>
      </c>
      <c r="N2584" s="5">
        <v>174900000</v>
      </c>
    </row>
    <row r="2585" spans="1:14" x14ac:dyDescent="0.25">
      <c r="A2585" s="3" t="s">
        <v>2596</v>
      </c>
      <c r="B2585" s="4">
        <v>0.2</v>
      </c>
      <c r="C2585" s="4">
        <v>-1.35</v>
      </c>
      <c r="D2585" s="4">
        <v>-1.1599999999999999</v>
      </c>
      <c r="E2585" s="4">
        <v>-1.4667110615051229E-2</v>
      </c>
      <c r="F2585" s="3">
        <v>2583</v>
      </c>
      <c r="G2585" s="3">
        <v>2</v>
      </c>
      <c r="H2585" s="5">
        <v>2887684.86</v>
      </c>
      <c r="I2585" s="5">
        <v>-1400885.14</v>
      </c>
      <c r="J2585" s="5">
        <v>13380</v>
      </c>
      <c r="K2585" s="5">
        <v>4301950</v>
      </c>
      <c r="L2585" s="5">
        <v>0</v>
      </c>
      <c r="M2585" s="5">
        <v>-7094000</v>
      </c>
      <c r="N2585" s="5">
        <v>-7717790</v>
      </c>
    </row>
    <row r="2586" spans="1:14" x14ac:dyDescent="0.25">
      <c r="A2586" s="3" t="s">
        <v>2597</v>
      </c>
      <c r="B2586" s="4">
        <v>7.62</v>
      </c>
      <c r="C2586" s="4">
        <v>0.16</v>
      </c>
      <c r="D2586" s="4">
        <v>0.01</v>
      </c>
      <c r="E2586" s="4">
        <v>-1.467087047353135E-2</v>
      </c>
      <c r="F2586" s="3">
        <v>2584</v>
      </c>
      <c r="G2586" s="3">
        <v>2</v>
      </c>
      <c r="H2586" s="5">
        <v>208736381.69999999</v>
      </c>
      <c r="I2586" s="5">
        <v>536257381.69999999</v>
      </c>
      <c r="J2586" s="5">
        <v>377246000</v>
      </c>
      <c r="K2586" s="5">
        <v>49725000</v>
      </c>
      <c r="L2586" s="5">
        <v>216916000</v>
      </c>
      <c r="M2586" s="5">
        <v>70353000</v>
      </c>
      <c r="N2586" s="5">
        <v>10462000</v>
      </c>
    </row>
    <row r="2587" spans="1:14" x14ac:dyDescent="0.25">
      <c r="A2587" s="3" t="s">
        <v>2598</v>
      </c>
      <c r="B2587" s="4">
        <v>6.87</v>
      </c>
      <c r="C2587" s="4">
        <v>0</v>
      </c>
      <c r="D2587" s="4">
        <v>0</v>
      </c>
      <c r="E2587" s="4">
        <v>-1.467090678505938E-2</v>
      </c>
      <c r="F2587" s="3">
        <v>2585</v>
      </c>
      <c r="G2587" s="3">
        <v>2</v>
      </c>
      <c r="H2587" s="5">
        <v>29887738.649999999</v>
      </c>
      <c r="I2587" s="5">
        <v>19865738.649999999</v>
      </c>
      <c r="J2587" s="5">
        <v>868000</v>
      </c>
      <c r="K2587" s="5">
        <v>10890000</v>
      </c>
      <c r="L2587" s="5">
        <v>36473000</v>
      </c>
      <c r="M2587" s="5">
        <v>2893000</v>
      </c>
      <c r="N2587" s="5">
        <v>-41000</v>
      </c>
    </row>
    <row r="2588" spans="1:14" x14ac:dyDescent="0.25">
      <c r="A2588" s="3" t="s">
        <v>2599</v>
      </c>
      <c r="B2588" s="4">
        <v>6.92</v>
      </c>
      <c r="C2588" s="4">
        <v>0.01</v>
      </c>
      <c r="D2588" s="4">
        <v>0.01</v>
      </c>
      <c r="E2588" s="4">
        <v>-1.4671030179952809E-2</v>
      </c>
      <c r="F2588" s="3">
        <v>2586</v>
      </c>
      <c r="G2588" s="3">
        <v>2</v>
      </c>
      <c r="H2588" s="5">
        <v>23887136649.599998</v>
      </c>
      <c r="I2588" s="5">
        <v>35480577649.599998</v>
      </c>
      <c r="J2588" s="5">
        <v>12657657000</v>
      </c>
      <c r="K2588" s="5">
        <v>1064216000</v>
      </c>
      <c r="L2588" s="5">
        <v>206798631000</v>
      </c>
      <c r="M2588" s="5">
        <v>5126067000</v>
      </c>
      <c r="N2588" s="5">
        <v>1258329000</v>
      </c>
    </row>
    <row r="2589" spans="1:14" x14ac:dyDescent="0.25">
      <c r="A2589" s="3" t="s">
        <v>2600</v>
      </c>
      <c r="B2589" s="4">
        <v>7.27</v>
      </c>
      <c r="C2589" s="4">
        <v>0.08</v>
      </c>
      <c r="D2589" s="4">
        <v>7.0000000000000007E-2</v>
      </c>
      <c r="E2589" s="4">
        <v>-1.467382297078427E-2</v>
      </c>
      <c r="F2589" s="3">
        <v>2587</v>
      </c>
      <c r="G2589" s="3">
        <v>2</v>
      </c>
      <c r="H2589" s="5">
        <v>199791360.75</v>
      </c>
      <c r="I2589" s="5">
        <v>171323360.75</v>
      </c>
      <c r="J2589" s="5">
        <v>0</v>
      </c>
      <c r="K2589" s="5">
        <v>28468000</v>
      </c>
      <c r="L2589" s="5">
        <v>25845000</v>
      </c>
      <c r="M2589" s="5">
        <v>23580000</v>
      </c>
      <c r="N2589" s="5">
        <v>20275000</v>
      </c>
    </row>
    <row r="2590" spans="1:14" x14ac:dyDescent="0.25">
      <c r="A2590" s="3" t="s">
        <v>2601</v>
      </c>
      <c r="B2590" s="4">
        <v>6.73</v>
      </c>
      <c r="C2590" s="4">
        <v>-0.03</v>
      </c>
      <c r="D2590" s="4">
        <v>-0.03</v>
      </c>
      <c r="E2590" s="4">
        <v>-1.467672580607619E-2</v>
      </c>
      <c r="F2590" s="3">
        <v>2588</v>
      </c>
      <c r="G2590" s="3">
        <v>2</v>
      </c>
      <c r="H2590" s="5">
        <v>15097488.575999999</v>
      </c>
      <c r="I2590" s="5">
        <v>8298488.5759999994</v>
      </c>
      <c r="J2590" s="5">
        <v>0</v>
      </c>
      <c r="K2590" s="5">
        <v>6799000</v>
      </c>
      <c r="L2590" s="5">
        <v>10990000</v>
      </c>
      <c r="M2590" s="5">
        <v>1233000</v>
      </c>
      <c r="N2590" s="5">
        <v>-491000</v>
      </c>
    </row>
    <row r="2591" spans="1:14" x14ac:dyDescent="0.25">
      <c r="A2591" s="3" t="s">
        <v>2602</v>
      </c>
      <c r="B2591" s="4">
        <v>7.14</v>
      </c>
      <c r="C2591" s="4">
        <v>0.05</v>
      </c>
      <c r="D2591" s="4">
        <v>0.02</v>
      </c>
      <c r="E2591" s="4">
        <v>-1.4689689250653171E-2</v>
      </c>
      <c r="F2591" s="3">
        <v>2589</v>
      </c>
      <c r="G2591" s="3">
        <v>2</v>
      </c>
      <c r="H2591" s="5">
        <v>8911247</v>
      </c>
      <c r="I2591" s="5">
        <v>10488247</v>
      </c>
      <c r="J2591" s="5">
        <v>2700000</v>
      </c>
      <c r="K2591" s="5">
        <v>1123000</v>
      </c>
      <c r="L2591" s="5">
        <v>9392000</v>
      </c>
      <c r="M2591" s="5">
        <v>1468000</v>
      </c>
      <c r="N2591" s="5">
        <v>309000</v>
      </c>
    </row>
    <row r="2592" spans="1:14" x14ac:dyDescent="0.25">
      <c r="A2592" s="3" t="s">
        <v>2603</v>
      </c>
      <c r="B2592" s="4">
        <v>8.23</v>
      </c>
      <c r="C2592" s="4">
        <v>0.28000000000000003</v>
      </c>
      <c r="D2592" s="4">
        <v>0.01</v>
      </c>
      <c r="E2592" s="4">
        <v>-1.470168873687959E-2</v>
      </c>
      <c r="F2592" s="3">
        <v>2590</v>
      </c>
      <c r="G2592" s="3">
        <v>2</v>
      </c>
      <c r="H2592" s="5">
        <v>1643906322.8</v>
      </c>
      <c r="I2592" s="5">
        <v>4634706322.8000002</v>
      </c>
      <c r="J2592" s="5">
        <v>3207700000</v>
      </c>
      <c r="K2592" s="5">
        <v>216900000</v>
      </c>
      <c r="L2592" s="5">
        <v>2887000000</v>
      </c>
      <c r="M2592" s="5">
        <v>563300000</v>
      </c>
      <c r="N2592" s="5">
        <v>38100000</v>
      </c>
    </row>
    <row r="2593" spans="1:14" x14ac:dyDescent="0.25">
      <c r="A2593" s="3" t="s">
        <v>2604</v>
      </c>
      <c r="B2593" s="4">
        <v>7.25</v>
      </c>
      <c r="C2593" s="4">
        <v>7.0000000000000007E-2</v>
      </c>
      <c r="D2593" s="4">
        <v>0.01</v>
      </c>
      <c r="E2593" s="4">
        <v>-1.470191232586962E-2</v>
      </c>
      <c r="F2593" s="3">
        <v>2591</v>
      </c>
      <c r="G2593" s="3">
        <v>2</v>
      </c>
      <c r="H2593" s="5">
        <v>5211560761.3500004</v>
      </c>
      <c r="I2593" s="5">
        <v>7646299761.3500004</v>
      </c>
      <c r="J2593" s="5">
        <v>3353140000</v>
      </c>
      <c r="K2593" s="5">
        <v>918401000</v>
      </c>
      <c r="L2593" s="5">
        <v>47983671000</v>
      </c>
      <c r="M2593" s="5">
        <v>1054118000</v>
      </c>
      <c r="N2593" s="5">
        <v>264222000</v>
      </c>
    </row>
    <row r="2594" spans="1:14" x14ac:dyDescent="0.25">
      <c r="A2594" s="3" t="s">
        <v>2605</v>
      </c>
      <c r="B2594" s="4">
        <v>5.91</v>
      </c>
      <c r="C2594" s="4">
        <v>-0.21</v>
      </c>
      <c r="D2594" s="4">
        <v>-0.11</v>
      </c>
      <c r="E2594" s="4">
        <v>-1.4704728077796129E-2</v>
      </c>
      <c r="F2594" s="3">
        <v>2592</v>
      </c>
      <c r="G2594" s="3">
        <v>2</v>
      </c>
      <c r="H2594" s="5">
        <v>86422073.219999999</v>
      </c>
      <c r="I2594" s="5">
        <v>228525073.22</v>
      </c>
      <c r="J2594" s="5">
        <v>174536000</v>
      </c>
      <c r="K2594" s="5">
        <v>32433000</v>
      </c>
      <c r="L2594" s="5">
        <v>540403000</v>
      </c>
      <c r="M2594" s="5">
        <v>38643000</v>
      </c>
      <c r="N2594" s="5">
        <v>-99985000</v>
      </c>
    </row>
    <row r="2595" spans="1:14" x14ac:dyDescent="0.25">
      <c r="A2595" s="3" t="s">
        <v>2606</v>
      </c>
      <c r="B2595" s="4">
        <v>-0.61</v>
      </c>
      <c r="C2595" s="4">
        <v>-1.59</v>
      </c>
      <c r="D2595" s="4">
        <v>-0.37</v>
      </c>
      <c r="E2595" s="4">
        <v>-1.4706838422311991E-2</v>
      </c>
      <c r="F2595" s="3">
        <v>2593</v>
      </c>
      <c r="G2595" s="3">
        <v>2</v>
      </c>
      <c r="H2595" s="5">
        <v>140000</v>
      </c>
      <c r="I2595" s="5">
        <v>3130850</v>
      </c>
      <c r="J2595" s="5">
        <v>3603030</v>
      </c>
      <c r="K2595" s="5">
        <v>612180</v>
      </c>
      <c r="L2595" s="5">
        <v>12142100</v>
      </c>
      <c r="M2595" s="5">
        <v>-5102960</v>
      </c>
      <c r="N2595" s="5">
        <v>-4575310</v>
      </c>
    </row>
    <row r="2596" spans="1:14" x14ac:dyDescent="0.25">
      <c r="A2596" s="3" t="s">
        <v>2607</v>
      </c>
      <c r="B2596" s="4">
        <v>-0.5</v>
      </c>
      <c r="C2596" s="4">
        <v>-1.51</v>
      </c>
      <c r="D2596" s="4">
        <v>-1.25</v>
      </c>
      <c r="E2596" s="4">
        <v>-1.4713525167684691E-2</v>
      </c>
      <c r="F2596" s="3">
        <v>2594</v>
      </c>
      <c r="G2596" s="3">
        <v>2</v>
      </c>
      <c r="H2596" s="5">
        <v>9048265</v>
      </c>
      <c r="I2596" s="5">
        <v>3666265</v>
      </c>
      <c r="J2596" s="5">
        <v>0</v>
      </c>
      <c r="K2596" s="5">
        <v>5382000</v>
      </c>
      <c r="L2596" s="5">
        <v>0</v>
      </c>
      <c r="M2596" s="5">
        <v>-7385000</v>
      </c>
      <c r="N2596" s="5">
        <v>-7150000</v>
      </c>
    </row>
    <row r="2597" spans="1:14" x14ac:dyDescent="0.25">
      <c r="A2597" s="3" t="s">
        <v>2608</v>
      </c>
      <c r="B2597" s="4">
        <v>0.23</v>
      </c>
      <c r="C2597" s="4">
        <v>-1.4</v>
      </c>
      <c r="D2597" s="4">
        <v>-0.56999999999999995</v>
      </c>
      <c r="E2597" s="4">
        <v>-1.4716333699141909E-2</v>
      </c>
      <c r="F2597" s="3">
        <v>2595</v>
      </c>
      <c r="G2597" s="3">
        <v>2</v>
      </c>
      <c r="H2597" s="5">
        <v>1607380.6</v>
      </c>
      <c r="I2597" s="5">
        <v>-956619.39999999991</v>
      </c>
      <c r="J2597" s="5">
        <v>0</v>
      </c>
      <c r="K2597" s="5">
        <v>2564000</v>
      </c>
      <c r="L2597" s="5">
        <v>13688000</v>
      </c>
      <c r="M2597" s="5">
        <v>-4230000</v>
      </c>
      <c r="N2597" s="5">
        <v>-7804000</v>
      </c>
    </row>
    <row r="2598" spans="1:14" x14ac:dyDescent="0.25">
      <c r="A2598" s="3" t="s">
        <v>2609</v>
      </c>
      <c r="B2598" s="4">
        <v>7.7</v>
      </c>
      <c r="C2598" s="4">
        <v>0.16</v>
      </c>
      <c r="D2598" s="4">
        <v>0.01</v>
      </c>
      <c r="E2598" s="4">
        <v>-1.472038411910798E-2</v>
      </c>
      <c r="F2598" s="3">
        <v>2596</v>
      </c>
      <c r="G2598" s="3">
        <v>2</v>
      </c>
      <c r="H2598" s="5">
        <v>52324249928.720001</v>
      </c>
      <c r="I2598" s="5">
        <v>50971249928.720001</v>
      </c>
      <c r="J2598" s="5">
        <v>18715000000</v>
      </c>
      <c r="K2598" s="5">
        <v>20068000000</v>
      </c>
      <c r="L2598" s="5">
        <v>71048000000</v>
      </c>
      <c r="M2598" s="5">
        <v>6623000000</v>
      </c>
      <c r="N2598" s="5">
        <v>4426000000</v>
      </c>
    </row>
    <row r="2599" spans="1:14" x14ac:dyDescent="0.25">
      <c r="A2599" s="3" t="s">
        <v>2610</v>
      </c>
      <c r="B2599" s="4">
        <v>7.39</v>
      </c>
      <c r="C2599" s="4">
        <v>0.09</v>
      </c>
      <c r="D2599" s="4">
        <v>0.06</v>
      </c>
      <c r="E2599" s="4">
        <v>-1.4721128858712251E-2</v>
      </c>
      <c r="F2599" s="3">
        <v>2597</v>
      </c>
      <c r="G2599" s="3">
        <v>2</v>
      </c>
      <c r="H2599" s="5">
        <v>755949866.90999997</v>
      </c>
      <c r="I2599" s="5">
        <v>986476866.90999997</v>
      </c>
      <c r="J2599" s="5">
        <v>269704000</v>
      </c>
      <c r="K2599" s="5">
        <v>39177000</v>
      </c>
      <c r="L2599" s="5">
        <v>349742000</v>
      </c>
      <c r="M2599" s="5">
        <v>133462000</v>
      </c>
      <c r="N2599" s="5">
        <v>46643000</v>
      </c>
    </row>
    <row r="2600" spans="1:14" x14ac:dyDescent="0.25">
      <c r="A2600" s="3" t="s">
        <v>2611</v>
      </c>
      <c r="B2600" s="4">
        <v>6.86</v>
      </c>
      <c r="C2600" s="4">
        <v>-0.02</v>
      </c>
      <c r="D2600" s="4">
        <v>-0.01</v>
      </c>
      <c r="E2600" s="4">
        <v>-1.472443381996873E-2</v>
      </c>
      <c r="F2600" s="3">
        <v>2598</v>
      </c>
      <c r="G2600" s="3">
        <v>2</v>
      </c>
      <c r="H2600" s="5">
        <v>367435224.75</v>
      </c>
      <c r="I2600" s="5">
        <v>427359224.75</v>
      </c>
      <c r="J2600" s="5">
        <v>125287000</v>
      </c>
      <c r="K2600" s="5">
        <v>65363000</v>
      </c>
      <c r="L2600" s="5">
        <v>692588000</v>
      </c>
      <c r="M2600" s="5">
        <v>62273000</v>
      </c>
      <c r="N2600" s="5">
        <v>-11258000</v>
      </c>
    </row>
    <row r="2601" spans="1:14" x14ac:dyDescent="0.25">
      <c r="A2601" s="3" t="s">
        <v>2612</v>
      </c>
      <c r="B2601" s="4">
        <v>7.58</v>
      </c>
      <c r="C2601" s="4">
        <v>0.13</v>
      </c>
      <c r="D2601" s="4">
        <v>0.04</v>
      </c>
      <c r="E2601" s="4">
        <v>-1.47270073920539E-2</v>
      </c>
      <c r="F2601" s="3">
        <v>2599</v>
      </c>
      <c r="G2601" s="3">
        <v>2</v>
      </c>
      <c r="H2601" s="5">
        <v>2775944042.71</v>
      </c>
      <c r="I2601" s="5">
        <v>5358644042.71</v>
      </c>
      <c r="J2601" s="5">
        <v>2780400000</v>
      </c>
      <c r="K2601" s="5">
        <v>197700000</v>
      </c>
      <c r="L2601" s="5">
        <v>5448100000</v>
      </c>
      <c r="M2601" s="5">
        <v>706500000</v>
      </c>
      <c r="N2601" s="5">
        <v>268800000</v>
      </c>
    </row>
    <row r="2602" spans="1:14" x14ac:dyDescent="0.25">
      <c r="A2602" s="3" t="s">
        <v>2613</v>
      </c>
      <c r="B2602" s="4">
        <v>7.06</v>
      </c>
      <c r="C2602" s="4">
        <v>0.02</v>
      </c>
      <c r="D2602" s="4">
        <v>0.01</v>
      </c>
      <c r="E2602" s="4">
        <v>-1.4728785452697429E-2</v>
      </c>
      <c r="F2602" s="3">
        <v>2600</v>
      </c>
      <c r="G2602" s="3">
        <v>2</v>
      </c>
      <c r="H2602" s="5">
        <v>14759532</v>
      </c>
      <c r="I2602" s="5">
        <v>6357532</v>
      </c>
      <c r="J2602" s="5">
        <v>123000</v>
      </c>
      <c r="K2602" s="5">
        <v>8525000</v>
      </c>
      <c r="L2602" s="5">
        <v>17610000</v>
      </c>
      <c r="M2602" s="5">
        <v>900000</v>
      </c>
      <c r="N2602" s="5">
        <v>614000</v>
      </c>
    </row>
    <row r="2603" spans="1:14" x14ac:dyDescent="0.25">
      <c r="A2603" s="3" t="s">
        <v>2614</v>
      </c>
      <c r="B2603" s="4">
        <v>-2.56</v>
      </c>
      <c r="C2603" s="4">
        <v>0.87</v>
      </c>
      <c r="D2603" s="4">
        <v>-43.61</v>
      </c>
      <c r="E2603" s="4">
        <v>-1.473322690696059E-2</v>
      </c>
      <c r="F2603" s="3">
        <v>2601</v>
      </c>
      <c r="G2603" s="3">
        <v>2</v>
      </c>
      <c r="H2603" s="5">
        <v>128.70312999999999</v>
      </c>
      <c r="I2603" s="5">
        <v>13634958.703129999</v>
      </c>
      <c r="J2603" s="5">
        <v>13639570</v>
      </c>
      <c r="K2603" s="5">
        <v>4740</v>
      </c>
      <c r="L2603" s="5">
        <v>4202880</v>
      </c>
      <c r="M2603" s="5">
        <v>-5328910</v>
      </c>
      <c r="N2603" s="5">
        <v>-17784530</v>
      </c>
    </row>
    <row r="2604" spans="1:14" x14ac:dyDescent="0.25">
      <c r="A2604" s="3" t="s">
        <v>2615</v>
      </c>
      <c r="B2604" s="4">
        <v>7.89</v>
      </c>
      <c r="C2604" s="4">
        <v>0.19</v>
      </c>
      <c r="D2604" s="4">
        <v>0.1</v>
      </c>
      <c r="E2604" s="4">
        <v>-1.4733936967111529E-2</v>
      </c>
      <c r="F2604" s="3">
        <v>2602</v>
      </c>
      <c r="G2604" s="3">
        <v>2</v>
      </c>
      <c r="H2604" s="5">
        <v>27246179285.880001</v>
      </c>
      <c r="I2604" s="5">
        <v>28497179285.880001</v>
      </c>
      <c r="J2604" s="5">
        <v>6602000000</v>
      </c>
      <c r="K2604" s="5">
        <v>5351000000</v>
      </c>
      <c r="L2604" s="5">
        <v>16300000000</v>
      </c>
      <c r="M2604" s="5">
        <v>3614000000</v>
      </c>
      <c r="N2604" s="5">
        <v>2263000000</v>
      </c>
    </row>
    <row r="2605" spans="1:14" x14ac:dyDescent="0.25">
      <c r="A2605" s="3" t="s">
        <v>2616</v>
      </c>
      <c r="B2605" s="4">
        <v>-5.23</v>
      </c>
      <c r="C2605" s="4">
        <v>0.19</v>
      </c>
      <c r="D2605" s="4">
        <v>-42</v>
      </c>
      <c r="E2605" s="4">
        <v>-1.473490098384561E-2</v>
      </c>
      <c r="F2605" s="3">
        <v>2603</v>
      </c>
      <c r="G2605" s="3">
        <v>2</v>
      </c>
      <c r="H2605" s="5">
        <v>64150.731699999997</v>
      </c>
      <c r="I2605" s="5">
        <v>9005890.7316999994</v>
      </c>
      <c r="J2605" s="5">
        <v>8946870</v>
      </c>
      <c r="K2605" s="5">
        <v>5130</v>
      </c>
      <c r="L2605" s="5">
        <v>82050</v>
      </c>
      <c r="M2605" s="5">
        <v>-1720490</v>
      </c>
      <c r="N2605" s="5">
        <v>-2857940</v>
      </c>
    </row>
    <row r="2606" spans="1:14" x14ac:dyDescent="0.25">
      <c r="A2606" s="3" t="s">
        <v>2617</v>
      </c>
      <c r="B2606" s="4">
        <v>8.1999999999999993</v>
      </c>
      <c r="C2606" s="4">
        <v>0.25</v>
      </c>
      <c r="D2606" s="4">
        <v>0.16</v>
      </c>
      <c r="E2606" s="4">
        <v>-1.4740866542169139E-2</v>
      </c>
      <c r="F2606" s="3">
        <v>2604</v>
      </c>
      <c r="G2606" s="3">
        <v>2</v>
      </c>
      <c r="H2606" s="5">
        <v>5444530330.9799995</v>
      </c>
      <c r="I2606" s="5">
        <v>5452530330.9799995</v>
      </c>
      <c r="J2606" s="5">
        <v>348000000</v>
      </c>
      <c r="K2606" s="5">
        <v>340000000</v>
      </c>
      <c r="L2606" s="5">
        <v>2941000000</v>
      </c>
      <c r="M2606" s="5">
        <v>665000000</v>
      </c>
      <c r="N2606" s="5">
        <v>420000000</v>
      </c>
    </row>
    <row r="2607" spans="1:14" x14ac:dyDescent="0.25">
      <c r="A2607" s="3" t="s">
        <v>2618</v>
      </c>
      <c r="B2607" s="4">
        <v>7.28</v>
      </c>
      <c r="C2607" s="4">
        <v>0.06</v>
      </c>
      <c r="D2607" s="4">
        <v>0.02</v>
      </c>
      <c r="E2607" s="4">
        <v>-1.4747444523397799E-2</v>
      </c>
      <c r="F2607" s="3">
        <v>2605</v>
      </c>
      <c r="G2607" s="3">
        <v>2</v>
      </c>
      <c r="H2607" s="5">
        <v>717623559.38</v>
      </c>
      <c r="I2607" s="5">
        <v>1910874559.3800001</v>
      </c>
      <c r="J2607" s="5">
        <v>1314424000</v>
      </c>
      <c r="K2607" s="5">
        <v>121173000</v>
      </c>
      <c r="L2607" s="5">
        <v>939287000</v>
      </c>
      <c r="M2607" s="5">
        <v>262589000</v>
      </c>
      <c r="N2607" s="5">
        <v>39533000</v>
      </c>
    </row>
    <row r="2608" spans="1:14" x14ac:dyDescent="0.25">
      <c r="A2608" s="3" t="s">
        <v>2619</v>
      </c>
      <c r="B2608" s="4">
        <v>7.14</v>
      </c>
      <c r="C2608" s="4">
        <v>0.03</v>
      </c>
      <c r="D2608" s="4">
        <v>0.02</v>
      </c>
      <c r="E2608" s="4">
        <v>-1.474747646468209E-2</v>
      </c>
      <c r="F2608" s="3">
        <v>2606</v>
      </c>
      <c r="G2608" s="3">
        <v>2</v>
      </c>
      <c r="H2608" s="5">
        <v>16599708602.309999</v>
      </c>
      <c r="I2608" s="5">
        <v>21920708602.310001</v>
      </c>
      <c r="J2608" s="5">
        <v>7171000000</v>
      </c>
      <c r="K2608" s="5">
        <v>1850000000</v>
      </c>
      <c r="L2608" s="5">
        <v>12386000000</v>
      </c>
      <c r="M2608" s="5">
        <v>3070000000</v>
      </c>
      <c r="N2608" s="5">
        <v>703000000</v>
      </c>
    </row>
    <row r="2609" spans="1:14" x14ac:dyDescent="0.25">
      <c r="A2609" s="3" t="s">
        <v>2620</v>
      </c>
      <c r="B2609" s="4">
        <v>-2.76</v>
      </c>
      <c r="C2609" s="4">
        <v>-2.06</v>
      </c>
      <c r="D2609" s="4">
        <v>-0.44</v>
      </c>
      <c r="E2609" s="4">
        <v>-1.4747661913162411E-2</v>
      </c>
      <c r="F2609" s="3">
        <v>2607</v>
      </c>
      <c r="G2609" s="3">
        <v>2</v>
      </c>
      <c r="H2609" s="5">
        <v>68418891</v>
      </c>
      <c r="I2609" s="5">
        <v>78602891</v>
      </c>
      <c r="J2609" s="5">
        <v>36429000</v>
      </c>
      <c r="K2609" s="5">
        <v>26245000</v>
      </c>
      <c r="L2609" s="5">
        <v>71323000</v>
      </c>
      <c r="M2609" s="5">
        <v>-28487000</v>
      </c>
      <c r="N2609" s="5">
        <v>-42931000</v>
      </c>
    </row>
    <row r="2610" spans="1:14" x14ac:dyDescent="0.25">
      <c r="A2610" s="3" t="s">
        <v>2621</v>
      </c>
      <c r="B2610" s="4">
        <v>10.93</v>
      </c>
      <c r="C2610" s="4">
        <v>0.79</v>
      </c>
      <c r="D2610" s="4">
        <v>0.79</v>
      </c>
      <c r="E2610" s="4">
        <v>-1.474873624430768E-2</v>
      </c>
      <c r="F2610" s="3">
        <v>2608</v>
      </c>
      <c r="G2610" s="3">
        <v>2</v>
      </c>
      <c r="H2610" s="5">
        <v>8880200</v>
      </c>
      <c r="I2610" s="5">
        <v>7958680</v>
      </c>
      <c r="J2610" s="5">
        <v>0</v>
      </c>
      <c r="K2610" s="5">
        <v>921520</v>
      </c>
      <c r="L2610" s="5">
        <v>1043830</v>
      </c>
      <c r="M2610" s="5">
        <v>727990</v>
      </c>
      <c r="N2610" s="5">
        <v>728000</v>
      </c>
    </row>
    <row r="2611" spans="1:14" x14ac:dyDescent="0.25">
      <c r="A2611" s="3" t="s">
        <v>2622</v>
      </c>
      <c r="B2611" s="4">
        <v>7.05</v>
      </c>
      <c r="C2611" s="4">
        <v>0.01</v>
      </c>
      <c r="D2611" s="4">
        <v>0</v>
      </c>
      <c r="E2611" s="4">
        <v>-1.475341888059232E-2</v>
      </c>
      <c r="F2611" s="3">
        <v>2609</v>
      </c>
      <c r="G2611" s="3">
        <v>2</v>
      </c>
      <c r="H2611" s="5">
        <v>9255374503.6800003</v>
      </c>
      <c r="I2611" s="5">
        <v>10712374503.68</v>
      </c>
      <c r="J2611" s="5">
        <v>2595000000</v>
      </c>
      <c r="K2611" s="5">
        <v>1138000000</v>
      </c>
      <c r="L2611" s="5">
        <v>11895000000</v>
      </c>
      <c r="M2611" s="5">
        <v>1519000000</v>
      </c>
      <c r="N2611" s="5">
        <v>60000000</v>
      </c>
    </row>
    <row r="2612" spans="1:14" x14ac:dyDescent="0.25">
      <c r="A2612" s="3" t="s">
        <v>2623</v>
      </c>
      <c r="B2612" s="4">
        <v>6.97</v>
      </c>
      <c r="C2612" s="4">
        <v>-0.01</v>
      </c>
      <c r="D2612" s="4">
        <v>0</v>
      </c>
      <c r="E2612" s="4">
        <v>-1.4761692449044621E-2</v>
      </c>
      <c r="F2612" s="3">
        <v>2610</v>
      </c>
      <c r="G2612" s="3">
        <v>2</v>
      </c>
      <c r="H2612" s="5">
        <v>453906523.80000001</v>
      </c>
      <c r="I2612" s="5">
        <v>871198523.79999995</v>
      </c>
      <c r="J2612" s="5">
        <v>470975000</v>
      </c>
      <c r="K2612" s="5">
        <v>53683000</v>
      </c>
      <c r="L2612" s="5">
        <v>963027000</v>
      </c>
      <c r="M2612" s="5">
        <v>124996000</v>
      </c>
      <c r="N2612" s="5">
        <v>-5138000</v>
      </c>
    </row>
    <row r="2613" spans="1:14" x14ac:dyDescent="0.25">
      <c r="A2613" s="3" t="s">
        <v>2624</v>
      </c>
      <c r="B2613" s="4">
        <v>7.4</v>
      </c>
      <c r="C2613" s="4">
        <v>0.08</v>
      </c>
      <c r="D2613" s="4">
        <v>0.02</v>
      </c>
      <c r="E2613" s="4">
        <v>-1.4763927777733809E-2</v>
      </c>
      <c r="F2613" s="3">
        <v>2611</v>
      </c>
      <c r="G2613" s="3">
        <v>2</v>
      </c>
      <c r="H2613" s="5">
        <v>69340519317.279999</v>
      </c>
      <c r="I2613" s="5">
        <v>93762519317.279999</v>
      </c>
      <c r="J2613" s="5">
        <v>31972000000</v>
      </c>
      <c r="K2613" s="5">
        <v>7550000000</v>
      </c>
      <c r="L2613" s="5">
        <v>247121000000</v>
      </c>
      <c r="M2613" s="5">
        <v>12664000000</v>
      </c>
      <c r="N2613" s="5">
        <v>3434000000</v>
      </c>
    </row>
    <row r="2614" spans="1:14" x14ac:dyDescent="0.25">
      <c r="A2614" s="3" t="s">
        <v>2625</v>
      </c>
      <c r="B2614" s="4">
        <v>4.0199999999999996</v>
      </c>
      <c r="C2614" s="4">
        <v>-0.64</v>
      </c>
      <c r="D2614" s="4">
        <v>-0.08</v>
      </c>
      <c r="E2614" s="4">
        <v>-1.4771606222937659E-2</v>
      </c>
      <c r="F2614" s="3">
        <v>2612</v>
      </c>
      <c r="G2614" s="3">
        <v>2</v>
      </c>
      <c r="H2614" s="5">
        <v>259111089.90000001</v>
      </c>
      <c r="I2614" s="5">
        <v>2066008089.9000001</v>
      </c>
      <c r="J2614" s="5">
        <v>1856279000</v>
      </c>
      <c r="K2614" s="5">
        <v>49382000</v>
      </c>
      <c r="L2614" s="5">
        <v>10700883000</v>
      </c>
      <c r="M2614" s="5">
        <v>513399000</v>
      </c>
      <c r="N2614" s="5">
        <v>-362686000</v>
      </c>
    </row>
    <row r="2615" spans="1:14" x14ac:dyDescent="0.25">
      <c r="A2615" s="3" t="s">
        <v>2626</v>
      </c>
      <c r="B2615" s="4">
        <v>7.43</v>
      </c>
      <c r="C2615" s="4">
        <v>0.08</v>
      </c>
      <c r="D2615" s="4">
        <v>0.05</v>
      </c>
      <c r="E2615" s="4">
        <v>-1.477670831509253E-2</v>
      </c>
      <c r="F2615" s="3">
        <v>2613</v>
      </c>
      <c r="G2615" s="3">
        <v>2</v>
      </c>
      <c r="H2615" s="5">
        <v>338027101.5</v>
      </c>
      <c r="I2615" s="5">
        <v>379027101.5</v>
      </c>
      <c r="J2615" s="5">
        <v>45100000</v>
      </c>
      <c r="K2615" s="5">
        <v>4100000</v>
      </c>
      <c r="L2615" s="5">
        <v>391900000</v>
      </c>
      <c r="M2615" s="5">
        <v>51000000</v>
      </c>
      <c r="N2615" s="5">
        <v>18400000</v>
      </c>
    </row>
    <row r="2616" spans="1:14" x14ac:dyDescent="0.25">
      <c r="A2616" s="3" t="s">
        <v>2627</v>
      </c>
      <c r="B2616" s="4">
        <v>6.95</v>
      </c>
      <c r="C2616" s="4">
        <v>-0.02</v>
      </c>
      <c r="D2616" s="4">
        <v>0</v>
      </c>
      <c r="E2616" s="4">
        <v>-1.477820764466492E-2</v>
      </c>
      <c r="F2616" s="3">
        <v>2614</v>
      </c>
      <c r="G2616" s="3">
        <v>2</v>
      </c>
      <c r="H2616" s="5">
        <v>2316705322.5599999</v>
      </c>
      <c r="I2616" s="5">
        <v>2968305322.5599999</v>
      </c>
      <c r="J2616" s="5">
        <v>947800000</v>
      </c>
      <c r="K2616" s="5">
        <v>296200000</v>
      </c>
      <c r="L2616" s="5">
        <v>3751100000</v>
      </c>
      <c r="M2616" s="5">
        <v>427200000</v>
      </c>
      <c r="N2616" s="5">
        <v>-16500000</v>
      </c>
    </row>
    <row r="2617" spans="1:14" x14ac:dyDescent="0.25">
      <c r="A2617" s="3" t="s">
        <v>2628</v>
      </c>
      <c r="B2617" s="4">
        <v>8.01</v>
      </c>
      <c r="C2617" s="4">
        <v>0.2</v>
      </c>
      <c r="D2617" s="4">
        <v>0.08</v>
      </c>
      <c r="E2617" s="4">
        <v>-1.478317188161701E-2</v>
      </c>
      <c r="F2617" s="3">
        <v>2615</v>
      </c>
      <c r="G2617" s="3">
        <v>2</v>
      </c>
      <c r="H2617" s="5">
        <v>18066399553.709999</v>
      </c>
      <c r="I2617" s="5">
        <v>24845399553.709999</v>
      </c>
      <c r="J2617" s="5">
        <v>8352000000</v>
      </c>
      <c r="K2617" s="5">
        <v>1573000000</v>
      </c>
      <c r="L2617" s="5">
        <v>19713000000</v>
      </c>
      <c r="M2617" s="5">
        <v>3101000000</v>
      </c>
      <c r="N2617" s="5">
        <v>1787000000</v>
      </c>
    </row>
    <row r="2618" spans="1:14" x14ac:dyDescent="0.25">
      <c r="A2618" s="3" t="s">
        <v>2629</v>
      </c>
      <c r="B2618" s="4">
        <v>0.37</v>
      </c>
      <c r="C2618" s="4">
        <v>-1.35</v>
      </c>
      <c r="D2618" s="4">
        <v>-1.25</v>
      </c>
      <c r="E2618" s="4">
        <v>-1.47896883510991E-2</v>
      </c>
      <c r="F2618" s="3">
        <v>2616</v>
      </c>
      <c r="G2618" s="3">
        <v>2</v>
      </c>
      <c r="H2618" s="5">
        <v>7867886.4000000004</v>
      </c>
      <c r="I2618" s="5">
        <v>-6307113.5999999996</v>
      </c>
      <c r="J2618" s="5">
        <v>0</v>
      </c>
      <c r="K2618" s="5">
        <v>14175000</v>
      </c>
      <c r="L2618" s="5">
        <v>0</v>
      </c>
      <c r="M2618" s="5">
        <v>-16876000</v>
      </c>
      <c r="N2618" s="5">
        <v>-21439000</v>
      </c>
    </row>
    <row r="2619" spans="1:14" x14ac:dyDescent="0.25">
      <c r="A2619" s="3" t="s">
        <v>2630</v>
      </c>
      <c r="B2619" s="4">
        <v>6.87</v>
      </c>
      <c r="C2619" s="4">
        <v>-0.04</v>
      </c>
      <c r="D2619" s="4">
        <v>-0.02</v>
      </c>
      <c r="E2619" s="4">
        <v>-1.479033926627223E-2</v>
      </c>
      <c r="F2619" s="3">
        <v>2617</v>
      </c>
      <c r="G2619" s="3">
        <v>2</v>
      </c>
      <c r="H2619" s="5">
        <v>1353614463.8099999</v>
      </c>
      <c r="I2619" s="5">
        <v>3093614463.8099999</v>
      </c>
      <c r="J2619" s="5">
        <v>2083000000</v>
      </c>
      <c r="K2619" s="5">
        <v>343000000</v>
      </c>
      <c r="L2619" s="5">
        <v>2332000000</v>
      </c>
      <c r="M2619" s="5">
        <v>450000000</v>
      </c>
      <c r="N2619" s="5">
        <v>-157000000</v>
      </c>
    </row>
    <row r="2620" spans="1:14" x14ac:dyDescent="0.25">
      <c r="A2620" s="3" t="s">
        <v>2631</v>
      </c>
      <c r="B2620" s="4">
        <v>8.14</v>
      </c>
      <c r="C2620" s="4">
        <v>0.23</v>
      </c>
      <c r="D2620" s="4">
        <v>0.01</v>
      </c>
      <c r="E2620" s="4">
        <v>-1.479045392067818E-2</v>
      </c>
      <c r="F2620" s="3">
        <v>2618</v>
      </c>
      <c r="G2620" s="3">
        <v>2</v>
      </c>
      <c r="H2620" s="5">
        <v>150973953.90000001</v>
      </c>
      <c r="I2620" s="5">
        <v>773135953.89999998</v>
      </c>
      <c r="J2620" s="5">
        <v>670535000</v>
      </c>
      <c r="K2620" s="5">
        <v>48373000</v>
      </c>
      <c r="L2620" s="5">
        <v>117058000</v>
      </c>
      <c r="M2620" s="5">
        <v>94991000</v>
      </c>
      <c r="N2620" s="5">
        <v>4095000</v>
      </c>
    </row>
    <row r="2621" spans="1:14" x14ac:dyDescent="0.25">
      <c r="A2621" s="3" t="s">
        <v>2632</v>
      </c>
      <c r="B2621" s="4">
        <v>7.02</v>
      </c>
      <c r="C2621" s="4">
        <v>-0.01</v>
      </c>
      <c r="D2621" s="4">
        <v>0</v>
      </c>
      <c r="E2621" s="4">
        <v>-1.479263847753E-2</v>
      </c>
      <c r="F2621" s="3">
        <v>2619</v>
      </c>
      <c r="G2621" s="3">
        <v>2</v>
      </c>
      <c r="H2621" s="5">
        <v>4458550000</v>
      </c>
      <c r="I2621" s="5">
        <v>8176550000</v>
      </c>
      <c r="J2621" s="5">
        <v>4082000000</v>
      </c>
      <c r="K2621" s="5">
        <v>364000000</v>
      </c>
      <c r="L2621" s="5">
        <v>4964000000</v>
      </c>
      <c r="M2621" s="5">
        <v>1164000000</v>
      </c>
      <c r="N2621" s="5">
        <v>-28000000</v>
      </c>
    </row>
    <row r="2622" spans="1:14" x14ac:dyDescent="0.25">
      <c r="A2622" s="3" t="s">
        <v>2633</v>
      </c>
      <c r="B2622" s="4">
        <v>8.08</v>
      </c>
      <c r="C2622" s="4">
        <v>0.21</v>
      </c>
      <c r="D2622" s="4">
        <v>0.05</v>
      </c>
      <c r="E2622" s="4">
        <v>-1.4803389794214609E-2</v>
      </c>
      <c r="F2622" s="3">
        <v>2620</v>
      </c>
      <c r="G2622" s="3">
        <v>2</v>
      </c>
      <c r="H2622" s="5">
        <v>59494654947.599998</v>
      </c>
      <c r="I2622" s="5">
        <v>60672654947.599998</v>
      </c>
      <c r="J2622" s="5">
        <v>7407000000</v>
      </c>
      <c r="K2622" s="5">
        <v>6229000000</v>
      </c>
      <c r="L2622" s="5">
        <v>18927000000</v>
      </c>
      <c r="M2622" s="5">
        <v>7505000000</v>
      </c>
      <c r="N2622" s="5">
        <v>5443000000</v>
      </c>
    </row>
    <row r="2623" spans="1:14" x14ac:dyDescent="0.25">
      <c r="A2623" s="3" t="s">
        <v>2634</v>
      </c>
      <c r="B2623" s="4">
        <v>4.91</v>
      </c>
      <c r="C2623" s="4">
        <v>-0.46</v>
      </c>
      <c r="D2623" s="4">
        <v>-0.09</v>
      </c>
      <c r="E2623" s="4">
        <v>-1.480428963029482E-2</v>
      </c>
      <c r="F2623" s="3">
        <v>2621</v>
      </c>
      <c r="G2623" s="3">
        <v>2</v>
      </c>
      <c r="H2623" s="5">
        <v>36311934.399999999</v>
      </c>
      <c r="I2623" s="5">
        <v>54860934.399999999</v>
      </c>
      <c r="J2623" s="5">
        <v>19156000</v>
      </c>
      <c r="K2623" s="5">
        <v>607000</v>
      </c>
      <c r="L2623" s="5">
        <v>293452000</v>
      </c>
      <c r="M2623" s="5">
        <v>11169000</v>
      </c>
      <c r="N2623" s="5">
        <v>-19047000</v>
      </c>
    </row>
    <row r="2624" spans="1:14" x14ac:dyDescent="0.25">
      <c r="A2624" s="3" t="s">
        <v>2635</v>
      </c>
      <c r="B2624" s="4">
        <v>7.71</v>
      </c>
      <c r="C2624" s="4">
        <v>0.13</v>
      </c>
      <c r="D2624" s="4">
        <v>0.05</v>
      </c>
      <c r="E2624" s="4">
        <v>-1.4805538039538411E-2</v>
      </c>
      <c r="F2624" s="3">
        <v>2622</v>
      </c>
      <c r="G2624" s="3">
        <v>2</v>
      </c>
      <c r="H2624" s="5">
        <v>314331313.31999999</v>
      </c>
      <c r="I2624" s="5">
        <v>397618313.31999999</v>
      </c>
      <c r="J2624" s="5">
        <v>96282000</v>
      </c>
      <c r="K2624" s="5">
        <v>12995000</v>
      </c>
      <c r="L2624" s="5">
        <v>372766000</v>
      </c>
      <c r="M2624" s="5">
        <v>51550000</v>
      </c>
      <c r="N2624" s="5">
        <v>16183000</v>
      </c>
    </row>
    <row r="2625" spans="1:14" x14ac:dyDescent="0.25">
      <c r="A2625" s="3" t="s">
        <v>2636</v>
      </c>
      <c r="B2625" s="4">
        <v>6.7</v>
      </c>
      <c r="C2625" s="4">
        <v>-0.08</v>
      </c>
      <c r="D2625" s="4">
        <v>-7.0000000000000007E-2</v>
      </c>
      <c r="E2625" s="4">
        <v>-1.4810342330367271E-2</v>
      </c>
      <c r="F2625" s="3">
        <v>2623</v>
      </c>
      <c r="G2625" s="3">
        <v>2</v>
      </c>
      <c r="H2625" s="5">
        <v>27697516.559999999</v>
      </c>
      <c r="I2625" s="5">
        <v>-186124813.44</v>
      </c>
      <c r="J2625" s="5">
        <v>0</v>
      </c>
      <c r="K2625" s="5">
        <v>213822330</v>
      </c>
      <c r="L2625" s="5">
        <v>5868770</v>
      </c>
      <c r="M2625" s="5">
        <v>-27771840</v>
      </c>
      <c r="N2625" s="5">
        <v>-20251050</v>
      </c>
    </row>
    <row r="2626" spans="1:14" x14ac:dyDescent="0.25">
      <c r="A2626" s="3" t="s">
        <v>2637</v>
      </c>
      <c r="B2626" s="4">
        <v>7.24</v>
      </c>
      <c r="C2626" s="4">
        <v>0.03</v>
      </c>
      <c r="D2626" s="4">
        <v>0.01</v>
      </c>
      <c r="E2626" s="4">
        <v>-1.481129754823037E-2</v>
      </c>
      <c r="F2626" s="3">
        <v>2624</v>
      </c>
      <c r="G2626" s="3">
        <v>2</v>
      </c>
      <c r="H2626" s="5">
        <v>194502777.84</v>
      </c>
      <c r="I2626" s="5">
        <v>707361777.84000003</v>
      </c>
      <c r="J2626" s="5">
        <v>637525000</v>
      </c>
      <c r="K2626" s="5">
        <v>124666000</v>
      </c>
      <c r="L2626" s="5">
        <v>228209000</v>
      </c>
      <c r="M2626" s="5">
        <v>97670000</v>
      </c>
      <c r="N2626" s="5">
        <v>12746000</v>
      </c>
    </row>
    <row r="2627" spans="1:14" x14ac:dyDescent="0.25">
      <c r="A2627" s="3" t="s">
        <v>2638</v>
      </c>
      <c r="B2627" s="4">
        <v>12.98</v>
      </c>
      <c r="C2627" s="4">
        <v>1.25</v>
      </c>
      <c r="D2627" s="4">
        <v>0.15</v>
      </c>
      <c r="E2627" s="4">
        <v>-1.481187519050387E-2</v>
      </c>
      <c r="F2627" s="3">
        <v>2625</v>
      </c>
      <c r="G2627" s="3">
        <v>2</v>
      </c>
      <c r="H2627" s="5">
        <v>93761262.799999997</v>
      </c>
      <c r="I2627" s="5">
        <v>84196262.799999997</v>
      </c>
      <c r="J2627" s="5">
        <v>220000</v>
      </c>
      <c r="K2627" s="5">
        <v>9785000</v>
      </c>
      <c r="L2627" s="5">
        <v>56944000</v>
      </c>
      <c r="M2627" s="5">
        <v>6486000</v>
      </c>
      <c r="N2627" s="5">
        <v>4701000</v>
      </c>
    </row>
    <row r="2628" spans="1:14" x14ac:dyDescent="0.25">
      <c r="A2628" s="3" t="s">
        <v>2639</v>
      </c>
      <c r="B2628" s="4">
        <v>8.26</v>
      </c>
      <c r="C2628" s="4">
        <v>0.24</v>
      </c>
      <c r="D2628" s="4">
        <v>0.13</v>
      </c>
      <c r="E2628" s="4">
        <v>-1.4812682463098579E-2</v>
      </c>
      <c r="F2628" s="3">
        <v>2626</v>
      </c>
      <c r="G2628" s="3">
        <v>2</v>
      </c>
      <c r="H2628" s="5">
        <v>3893628192.0700002</v>
      </c>
      <c r="I2628" s="5">
        <v>3737293192.0700002</v>
      </c>
      <c r="J2628" s="5">
        <v>348106000</v>
      </c>
      <c r="K2628" s="5">
        <v>504441000</v>
      </c>
      <c r="L2628" s="5">
        <v>1634767000</v>
      </c>
      <c r="M2628" s="5">
        <v>452602000</v>
      </c>
      <c r="N2628" s="5">
        <v>268314000</v>
      </c>
    </row>
    <row r="2629" spans="1:14" x14ac:dyDescent="0.25">
      <c r="A2629" s="3" t="s">
        <v>2640</v>
      </c>
      <c r="B2629" s="4">
        <v>7.7</v>
      </c>
      <c r="C2629" s="4">
        <v>0.12</v>
      </c>
      <c r="D2629" s="4">
        <v>0.1</v>
      </c>
      <c r="E2629" s="4">
        <v>-1.481859730796826E-2</v>
      </c>
      <c r="F2629" s="3">
        <v>2627</v>
      </c>
      <c r="G2629" s="3">
        <v>2</v>
      </c>
      <c r="H2629" s="5">
        <v>3472730996.7600002</v>
      </c>
      <c r="I2629" s="5">
        <v>3154220996.7600002</v>
      </c>
      <c r="J2629" s="5">
        <v>173037000</v>
      </c>
      <c r="K2629" s="5">
        <v>491547000</v>
      </c>
      <c r="L2629" s="5">
        <v>1525220000</v>
      </c>
      <c r="M2629" s="5">
        <v>409396000</v>
      </c>
      <c r="N2629" s="5">
        <v>250603000</v>
      </c>
    </row>
    <row r="2630" spans="1:14" x14ac:dyDescent="0.25">
      <c r="A2630" s="3" t="s">
        <v>2641</v>
      </c>
      <c r="B2630" s="4">
        <v>7.69</v>
      </c>
      <c r="C2630" s="4">
        <v>0.12</v>
      </c>
      <c r="D2630" s="4">
        <v>0.06</v>
      </c>
      <c r="E2630" s="4">
        <v>-1.48201242085812E-2</v>
      </c>
      <c r="F2630" s="3">
        <v>2628</v>
      </c>
      <c r="G2630" s="3">
        <v>2</v>
      </c>
      <c r="H2630" s="5">
        <v>5465177434.4799995</v>
      </c>
      <c r="I2630" s="5">
        <v>7154677434.4799995</v>
      </c>
      <c r="J2630" s="5">
        <v>2062700000</v>
      </c>
      <c r="K2630" s="5">
        <v>373200000</v>
      </c>
      <c r="L2630" s="5">
        <v>4573000000</v>
      </c>
      <c r="M2630" s="5">
        <v>930300000</v>
      </c>
      <c r="N2630" s="5">
        <v>352700000</v>
      </c>
    </row>
    <row r="2631" spans="1:14" x14ac:dyDescent="0.25">
      <c r="A2631" s="3" t="s">
        <v>2642</v>
      </c>
      <c r="B2631" s="4">
        <v>-0.51</v>
      </c>
      <c r="C2631" s="4">
        <v>-1.57</v>
      </c>
      <c r="D2631" s="4">
        <v>-0.95</v>
      </c>
      <c r="E2631" s="4">
        <v>-1.4822826806749191E-2</v>
      </c>
      <c r="F2631" s="3">
        <v>2629</v>
      </c>
      <c r="G2631" s="3">
        <v>2</v>
      </c>
      <c r="H2631" s="5">
        <v>121696693.69</v>
      </c>
      <c r="I2631" s="5">
        <v>55883393.689999998</v>
      </c>
      <c r="J2631" s="5">
        <v>0</v>
      </c>
      <c r="K2631" s="5">
        <v>65813300</v>
      </c>
      <c r="L2631" s="5">
        <v>217760</v>
      </c>
      <c r="M2631" s="5">
        <v>-110598920</v>
      </c>
      <c r="N2631" s="5">
        <v>-107254130</v>
      </c>
    </row>
    <row r="2632" spans="1:14" x14ac:dyDescent="0.25">
      <c r="A2632" s="3" t="s">
        <v>2643</v>
      </c>
      <c r="B2632" s="4">
        <v>6.45</v>
      </c>
      <c r="C2632" s="4">
        <v>-0.14000000000000001</v>
      </c>
      <c r="D2632" s="4">
        <v>-0.04</v>
      </c>
      <c r="E2632" s="4">
        <v>-1.4823186750294559E-2</v>
      </c>
      <c r="F2632" s="3">
        <v>2630</v>
      </c>
      <c r="G2632" s="3">
        <v>2</v>
      </c>
      <c r="H2632" s="5">
        <v>86.516726000000006</v>
      </c>
      <c r="I2632" s="5">
        <v>11519646.516726</v>
      </c>
      <c r="J2632" s="5">
        <v>12163780</v>
      </c>
      <c r="K2632" s="5">
        <v>644220</v>
      </c>
      <c r="L2632" s="5">
        <v>22297550</v>
      </c>
      <c r="M2632" s="5">
        <v>1786880</v>
      </c>
      <c r="N2632" s="5">
        <v>-868130</v>
      </c>
    </row>
    <row r="2633" spans="1:14" x14ac:dyDescent="0.25">
      <c r="A2633" s="3" t="s">
        <v>2644</v>
      </c>
      <c r="B2633" s="4">
        <v>7.31</v>
      </c>
      <c r="C2633" s="4">
        <v>0.04</v>
      </c>
      <c r="D2633" s="4">
        <v>0.01</v>
      </c>
      <c r="E2633" s="4">
        <v>-1.4825728381095461E-2</v>
      </c>
      <c r="F2633" s="3">
        <v>2631</v>
      </c>
      <c r="G2633" s="3">
        <v>2</v>
      </c>
      <c r="H2633" s="5">
        <v>1235469841.29</v>
      </c>
      <c r="I2633" s="5">
        <v>1605461841.29</v>
      </c>
      <c r="J2633" s="5">
        <v>424873000</v>
      </c>
      <c r="K2633" s="5">
        <v>54881000</v>
      </c>
      <c r="L2633" s="5">
        <v>1130595000</v>
      </c>
      <c r="M2633" s="5">
        <v>219692000</v>
      </c>
      <c r="N2633" s="5">
        <v>52744000</v>
      </c>
    </row>
    <row r="2634" spans="1:14" x14ac:dyDescent="0.25">
      <c r="A2634" s="3" t="s">
        <v>2645</v>
      </c>
      <c r="B2634" s="4">
        <v>8.33</v>
      </c>
      <c r="C2634" s="4">
        <v>0.25</v>
      </c>
      <c r="D2634" s="4">
        <v>0.12</v>
      </c>
      <c r="E2634" s="4">
        <v>-1.482904232254117E-2</v>
      </c>
      <c r="F2634" s="3">
        <v>2632</v>
      </c>
      <c r="G2634" s="3">
        <v>2</v>
      </c>
      <c r="H2634" s="5">
        <v>1289984806.95</v>
      </c>
      <c r="I2634" s="5">
        <v>1063479806.95</v>
      </c>
      <c r="J2634" s="5">
        <v>0</v>
      </c>
      <c r="K2634" s="5">
        <v>226505000</v>
      </c>
      <c r="L2634" s="5">
        <v>1231495000</v>
      </c>
      <c r="M2634" s="5">
        <v>127690000</v>
      </c>
      <c r="N2634" s="5">
        <v>76094000</v>
      </c>
    </row>
    <row r="2635" spans="1:14" x14ac:dyDescent="0.25">
      <c r="A2635" s="3" t="s">
        <v>2646</v>
      </c>
      <c r="B2635" s="4">
        <v>6.77</v>
      </c>
      <c r="C2635" s="4">
        <v>-0.08</v>
      </c>
      <c r="D2635" s="4">
        <v>-0.02</v>
      </c>
      <c r="E2635" s="4">
        <v>-1.4844021637359281E-2</v>
      </c>
      <c r="F2635" s="3">
        <v>2633</v>
      </c>
      <c r="G2635" s="3">
        <v>2</v>
      </c>
      <c r="H2635" s="5">
        <v>1349824000</v>
      </c>
      <c r="I2635" s="5">
        <v>5746824000</v>
      </c>
      <c r="J2635" s="5">
        <v>4595000000</v>
      </c>
      <c r="K2635" s="5">
        <v>198000000</v>
      </c>
      <c r="L2635" s="5">
        <v>7582000000</v>
      </c>
      <c r="M2635" s="5">
        <v>849000000</v>
      </c>
      <c r="N2635" s="5">
        <v>-216000000</v>
      </c>
    </row>
    <row r="2636" spans="1:14" x14ac:dyDescent="0.25">
      <c r="A2636" s="3" t="s">
        <v>2647</v>
      </c>
      <c r="B2636" s="4">
        <v>4.8499999999999996</v>
      </c>
      <c r="C2636" s="4">
        <v>-0.47</v>
      </c>
      <c r="D2636" s="4">
        <v>-0.34</v>
      </c>
      <c r="E2636" s="4">
        <v>-1.4844273667564471E-2</v>
      </c>
      <c r="F2636" s="3">
        <v>2634</v>
      </c>
      <c r="G2636" s="3">
        <v>2</v>
      </c>
      <c r="H2636" s="5">
        <v>494650447.45999998</v>
      </c>
      <c r="I2636" s="5">
        <v>521650447.45999998</v>
      </c>
      <c r="J2636" s="5">
        <v>134700000</v>
      </c>
      <c r="K2636" s="5">
        <v>107700000</v>
      </c>
      <c r="L2636" s="5">
        <v>687800000</v>
      </c>
      <c r="M2636" s="5">
        <v>107600000</v>
      </c>
      <c r="N2636" s="5">
        <v>-392100000</v>
      </c>
    </row>
    <row r="2637" spans="1:14" x14ac:dyDescent="0.25">
      <c r="A2637" s="3" t="s">
        <v>2648</v>
      </c>
      <c r="B2637" s="4">
        <v>9.0500000000000007</v>
      </c>
      <c r="C2637" s="4">
        <v>0.4</v>
      </c>
      <c r="D2637" s="4">
        <v>0.1</v>
      </c>
      <c r="E2637" s="4">
        <v>-1.484511908066889E-2</v>
      </c>
      <c r="F2637" s="3">
        <v>2635</v>
      </c>
      <c r="G2637" s="3">
        <v>2</v>
      </c>
      <c r="H2637" s="5">
        <v>173035408.5</v>
      </c>
      <c r="I2637" s="5">
        <v>205083408.5</v>
      </c>
      <c r="J2637" s="5">
        <v>36777000</v>
      </c>
      <c r="K2637" s="5">
        <v>4729000</v>
      </c>
      <c r="L2637" s="5">
        <v>278380000</v>
      </c>
      <c r="M2637" s="5">
        <v>22668000</v>
      </c>
      <c r="N2637" s="5">
        <v>13327000</v>
      </c>
    </row>
    <row r="2638" spans="1:14" x14ac:dyDescent="0.25">
      <c r="A2638" s="3" t="s">
        <v>2649</v>
      </c>
      <c r="B2638" s="4">
        <v>-0.61</v>
      </c>
      <c r="C2638" s="4">
        <v>-1.59</v>
      </c>
      <c r="D2638" s="4">
        <v>-1.0900000000000001</v>
      </c>
      <c r="E2638" s="4">
        <v>-1.484572833589241E-2</v>
      </c>
      <c r="F2638" s="3">
        <v>2636</v>
      </c>
      <c r="G2638" s="3">
        <v>2</v>
      </c>
      <c r="H2638" s="5">
        <v>6343689.6600000001</v>
      </c>
      <c r="I2638" s="5">
        <v>6170539.6600000001</v>
      </c>
      <c r="J2638" s="5">
        <v>0</v>
      </c>
      <c r="K2638" s="5">
        <v>173150</v>
      </c>
      <c r="L2638" s="5">
        <v>0</v>
      </c>
      <c r="M2638" s="5">
        <v>-10168790</v>
      </c>
      <c r="N2638" s="5">
        <v>-23359330</v>
      </c>
    </row>
    <row r="2639" spans="1:14" x14ac:dyDescent="0.25">
      <c r="A2639" s="3" t="s">
        <v>2650</v>
      </c>
      <c r="B2639" s="4">
        <v>-5.68</v>
      </c>
      <c r="C2639" s="4">
        <v>-2.74</v>
      </c>
      <c r="D2639" s="4">
        <v>-0.14000000000000001</v>
      </c>
      <c r="E2639" s="4">
        <v>-1.4847308329273751E-2</v>
      </c>
      <c r="F2639" s="3">
        <v>2637</v>
      </c>
      <c r="G2639" s="3">
        <v>2</v>
      </c>
      <c r="H2639" s="5">
        <v>15801.5545</v>
      </c>
      <c r="I2639" s="5">
        <v>127984801.5545</v>
      </c>
      <c r="J2639" s="5">
        <v>131502000</v>
      </c>
      <c r="K2639" s="5">
        <v>3533000</v>
      </c>
      <c r="L2639" s="5">
        <v>177518000</v>
      </c>
      <c r="M2639" s="5">
        <v>-22515000</v>
      </c>
      <c r="N2639" s="5">
        <v>-33421000</v>
      </c>
    </row>
    <row r="2640" spans="1:14" x14ac:dyDescent="0.25">
      <c r="A2640" s="3" t="s">
        <v>2651</v>
      </c>
      <c r="B2640" s="4">
        <v>7.45</v>
      </c>
      <c r="C2640" s="4">
        <v>0.06</v>
      </c>
      <c r="D2640" s="4">
        <v>0.03</v>
      </c>
      <c r="E2640" s="4">
        <v>-1.485073199367061E-2</v>
      </c>
      <c r="F2640" s="3">
        <v>2638</v>
      </c>
      <c r="G2640" s="3">
        <v>2</v>
      </c>
      <c r="H2640" s="5">
        <v>28573445677.060001</v>
      </c>
      <c r="I2640" s="5">
        <v>47108445677.059998</v>
      </c>
      <c r="J2640" s="5">
        <v>19869000000</v>
      </c>
      <c r="K2640" s="5">
        <v>1334000000</v>
      </c>
      <c r="L2640" s="5">
        <v>25846000000</v>
      </c>
      <c r="M2640" s="5">
        <v>6327000000</v>
      </c>
      <c r="N2640" s="5">
        <v>2744000000</v>
      </c>
    </row>
    <row r="2641" spans="1:14" x14ac:dyDescent="0.25">
      <c r="A2641" s="3" t="s">
        <v>2652</v>
      </c>
      <c r="B2641" s="4">
        <v>6.38</v>
      </c>
      <c r="C2641" s="4">
        <v>-0.16</v>
      </c>
      <c r="D2641" s="4">
        <v>-0.11</v>
      </c>
      <c r="E2641" s="4">
        <v>-1.485115271048648E-2</v>
      </c>
      <c r="F2641" s="3">
        <v>2639</v>
      </c>
      <c r="G2641" s="3">
        <v>2</v>
      </c>
      <c r="H2641" s="5">
        <v>436718931</v>
      </c>
      <c r="I2641" s="5">
        <v>580813931</v>
      </c>
      <c r="J2641" s="5">
        <v>169216000</v>
      </c>
      <c r="K2641" s="5">
        <v>25121000</v>
      </c>
      <c r="L2641" s="5">
        <v>142247000</v>
      </c>
      <c r="M2641" s="5">
        <v>91065000</v>
      </c>
      <c r="N2641" s="5">
        <v>-91471000</v>
      </c>
    </row>
    <row r="2642" spans="1:14" x14ac:dyDescent="0.25">
      <c r="A2642" s="3" t="s">
        <v>2653</v>
      </c>
      <c r="B2642" s="4">
        <v>5.15</v>
      </c>
      <c r="C2642" s="4">
        <v>-0.42</v>
      </c>
      <c r="D2642" s="4">
        <v>-0.17</v>
      </c>
      <c r="E2642" s="4">
        <v>-1.48526883515869E-2</v>
      </c>
      <c r="F2642" s="3">
        <v>2640</v>
      </c>
      <c r="G2642" s="3">
        <v>2</v>
      </c>
      <c r="H2642" s="5">
        <v>330415900.31999999</v>
      </c>
      <c r="I2642" s="5">
        <v>474145900.31999999</v>
      </c>
      <c r="J2642" s="5">
        <v>188391000</v>
      </c>
      <c r="K2642" s="5">
        <v>44661000</v>
      </c>
      <c r="L2642" s="5">
        <v>816425000</v>
      </c>
      <c r="M2642" s="5">
        <v>92125000</v>
      </c>
      <c r="N2642" s="5">
        <v>-135326000</v>
      </c>
    </row>
    <row r="2643" spans="1:14" x14ac:dyDescent="0.25">
      <c r="A2643" s="3" t="s">
        <v>2654</v>
      </c>
      <c r="B2643" s="4">
        <v>7.56</v>
      </c>
      <c r="C2643" s="4">
        <v>0.08</v>
      </c>
      <c r="D2643" s="4">
        <v>0.04</v>
      </c>
      <c r="E2643" s="4">
        <v>-1.4859097015732041E-2</v>
      </c>
      <c r="F2643" s="3">
        <v>2641</v>
      </c>
      <c r="G2643" s="3">
        <v>2</v>
      </c>
      <c r="H2643" s="5">
        <v>923950649.36000001</v>
      </c>
      <c r="I2643" s="5">
        <v>933942649.36000001</v>
      </c>
      <c r="J2643" s="5">
        <v>136149000</v>
      </c>
      <c r="K2643" s="5">
        <v>126157000</v>
      </c>
      <c r="L2643" s="5">
        <v>3040810000</v>
      </c>
      <c r="M2643" s="5">
        <v>123494000</v>
      </c>
      <c r="N2643" s="5">
        <v>71548000</v>
      </c>
    </row>
    <row r="2644" spans="1:14" x14ac:dyDescent="0.25">
      <c r="A2644" s="3" t="s">
        <v>2655</v>
      </c>
      <c r="B2644" s="4">
        <v>7.32</v>
      </c>
      <c r="C2644" s="4">
        <v>0.03</v>
      </c>
      <c r="D2644" s="4">
        <v>0</v>
      </c>
      <c r="E2644" s="4">
        <v>-1.4862740220384489E-2</v>
      </c>
      <c r="F2644" s="3">
        <v>2642</v>
      </c>
      <c r="G2644" s="3">
        <v>2</v>
      </c>
      <c r="H2644" s="5">
        <v>3785340975.5700002</v>
      </c>
      <c r="I2644" s="5">
        <v>7484439975.5699997</v>
      </c>
      <c r="J2644" s="5">
        <v>3708100000</v>
      </c>
      <c r="K2644" s="5">
        <v>9001000</v>
      </c>
      <c r="L2644" s="5">
        <v>2395718000</v>
      </c>
      <c r="M2644" s="5">
        <v>1022401000</v>
      </c>
      <c r="N2644" s="5">
        <v>28129000</v>
      </c>
    </row>
    <row r="2645" spans="1:14" x14ac:dyDescent="0.25">
      <c r="A2645" s="3" t="s">
        <v>2656</v>
      </c>
      <c r="B2645" s="4">
        <v>6.71</v>
      </c>
      <c r="C2645" s="4">
        <v>-0.1</v>
      </c>
      <c r="D2645" s="4">
        <v>-0.01</v>
      </c>
      <c r="E2645" s="4">
        <v>-1.4862744590628229E-2</v>
      </c>
      <c r="F2645" s="3">
        <v>2643</v>
      </c>
      <c r="G2645" s="3">
        <v>2</v>
      </c>
      <c r="H2645" s="5">
        <v>2075366771.79</v>
      </c>
      <c r="I2645" s="5">
        <v>6310366771.79</v>
      </c>
      <c r="J2645" s="5">
        <v>4969000000</v>
      </c>
      <c r="K2645" s="5">
        <v>734000000</v>
      </c>
      <c r="L2645" s="5">
        <v>6531000000</v>
      </c>
      <c r="M2645" s="5">
        <v>940000000</v>
      </c>
      <c r="N2645" s="5">
        <v>-106000000</v>
      </c>
    </row>
    <row r="2646" spans="1:14" x14ac:dyDescent="0.25">
      <c r="A2646" s="3" t="s">
        <v>2657</v>
      </c>
      <c r="B2646" s="4">
        <v>-3.03</v>
      </c>
      <c r="C2646" s="4">
        <v>-2.0699999999999998</v>
      </c>
      <c r="D2646" s="4">
        <v>-1.8</v>
      </c>
      <c r="E2646" s="4">
        <v>-1.4871794580896561E-2</v>
      </c>
      <c r="F2646" s="3">
        <v>2644</v>
      </c>
      <c r="G2646" s="3">
        <v>2</v>
      </c>
      <c r="H2646" s="5">
        <v>24010279.920000002</v>
      </c>
      <c r="I2646" s="5">
        <v>23435789.920000002</v>
      </c>
      <c r="J2646" s="5">
        <v>0</v>
      </c>
      <c r="K2646" s="5">
        <v>574490</v>
      </c>
      <c r="L2646" s="5">
        <v>168720</v>
      </c>
      <c r="M2646" s="5">
        <v>-7739540</v>
      </c>
      <c r="N2646" s="5">
        <v>-7607180</v>
      </c>
    </row>
    <row r="2647" spans="1:14" x14ac:dyDescent="0.25">
      <c r="A2647" s="3" t="s">
        <v>2658</v>
      </c>
      <c r="B2647" s="4">
        <v>6.7</v>
      </c>
      <c r="C2647" s="4">
        <v>-0.11</v>
      </c>
      <c r="D2647" s="4">
        <v>0.06</v>
      </c>
      <c r="E2647" s="4">
        <v>-1.4871945805903069E-2</v>
      </c>
      <c r="F2647" s="3">
        <v>2645</v>
      </c>
      <c r="G2647" s="3">
        <v>2</v>
      </c>
      <c r="H2647" s="5">
        <v>810603749.34000003</v>
      </c>
      <c r="I2647" s="5">
        <v>2151503749.3400002</v>
      </c>
      <c r="J2647" s="5">
        <v>1608400000</v>
      </c>
      <c r="K2647" s="5">
        <v>267500000</v>
      </c>
      <c r="L2647" s="5">
        <v>1123100000</v>
      </c>
      <c r="M2647" s="5">
        <v>321000000</v>
      </c>
      <c r="N2647" s="5">
        <v>78300000</v>
      </c>
    </row>
    <row r="2648" spans="1:14" x14ac:dyDescent="0.25">
      <c r="A2648" s="3" t="s">
        <v>2659</v>
      </c>
      <c r="B2648" s="4">
        <v>7.78</v>
      </c>
      <c r="C2648" s="4">
        <v>0.12</v>
      </c>
      <c r="D2648" s="4">
        <v>7.0000000000000007E-2</v>
      </c>
      <c r="E2648" s="4">
        <v>-1.487389803327739E-2</v>
      </c>
      <c r="F2648" s="3">
        <v>2646</v>
      </c>
      <c r="G2648" s="3">
        <v>2</v>
      </c>
      <c r="H2648" s="5">
        <v>312555153537.29999</v>
      </c>
      <c r="I2648" s="5">
        <v>330315153537.29999</v>
      </c>
      <c r="J2648" s="5">
        <v>24541000000</v>
      </c>
      <c r="K2648" s="5">
        <v>6781000000</v>
      </c>
      <c r="L2648" s="5">
        <v>193414000000</v>
      </c>
      <c r="M2648" s="5">
        <v>42461000000</v>
      </c>
      <c r="N2648" s="5">
        <v>17661000000</v>
      </c>
    </row>
    <row r="2649" spans="1:14" x14ac:dyDescent="0.25">
      <c r="A2649" s="3" t="s">
        <v>2660</v>
      </c>
      <c r="B2649" s="4">
        <v>7.25</v>
      </c>
      <c r="C2649" s="4">
        <v>0.01</v>
      </c>
      <c r="D2649" s="4">
        <v>0.01</v>
      </c>
      <c r="E2649" s="4">
        <v>-1.4875273967956361E-2</v>
      </c>
      <c r="F2649" s="3">
        <v>2647</v>
      </c>
      <c r="G2649" s="3">
        <v>2</v>
      </c>
      <c r="H2649" s="5">
        <v>31826092.699999999</v>
      </c>
      <c r="I2649" s="5">
        <v>-9758907.3000000007</v>
      </c>
      <c r="J2649" s="5">
        <v>0</v>
      </c>
      <c r="K2649" s="5">
        <v>41585000</v>
      </c>
      <c r="L2649" s="5">
        <v>2226000</v>
      </c>
      <c r="M2649" s="5">
        <v>-1346000</v>
      </c>
      <c r="N2649" s="5">
        <v>432000</v>
      </c>
    </row>
    <row r="2650" spans="1:14" x14ac:dyDescent="0.25">
      <c r="A2650" s="3" t="s">
        <v>2661</v>
      </c>
      <c r="B2650" s="4">
        <v>7.49</v>
      </c>
      <c r="C2650" s="4">
        <v>0.06</v>
      </c>
      <c r="D2650" s="4">
        <v>0.02</v>
      </c>
      <c r="E2650" s="4">
        <v>-1.4877417843036429E-2</v>
      </c>
      <c r="F2650" s="3">
        <v>2648</v>
      </c>
      <c r="G2650" s="3">
        <v>2</v>
      </c>
      <c r="H2650" s="5">
        <v>2770272780.2199998</v>
      </c>
      <c r="I2650" s="5">
        <v>2849772780.2199998</v>
      </c>
      <c r="J2650" s="5">
        <v>222500000</v>
      </c>
      <c r="K2650" s="5">
        <v>143000000</v>
      </c>
      <c r="L2650" s="5">
        <v>1788500000</v>
      </c>
      <c r="M2650" s="5">
        <v>380300000</v>
      </c>
      <c r="N2650" s="5">
        <v>109900000</v>
      </c>
    </row>
    <row r="2651" spans="1:14" x14ac:dyDescent="0.25">
      <c r="A2651" s="3" t="s">
        <v>2662</v>
      </c>
      <c r="B2651" s="4">
        <v>10.36</v>
      </c>
      <c r="C2651" s="4">
        <v>0.66</v>
      </c>
      <c r="D2651" s="4">
        <v>0.2</v>
      </c>
      <c r="E2651" s="4">
        <v>-1.488538097883507E-2</v>
      </c>
      <c r="F2651" s="3">
        <v>2649</v>
      </c>
      <c r="G2651" s="3">
        <v>2</v>
      </c>
      <c r="H2651" s="5">
        <v>1628519952.48</v>
      </c>
      <c r="I2651" s="5">
        <v>1596807952.48</v>
      </c>
      <c r="J2651" s="5">
        <v>95975000</v>
      </c>
      <c r="K2651" s="5">
        <v>127687000</v>
      </c>
      <c r="L2651" s="5">
        <v>1347154000</v>
      </c>
      <c r="M2651" s="5">
        <v>154151000</v>
      </c>
      <c r="N2651" s="5">
        <v>105547000</v>
      </c>
    </row>
    <row r="2652" spans="1:14" x14ac:dyDescent="0.25">
      <c r="A2652" s="3" t="s">
        <v>2663</v>
      </c>
      <c r="B2652" s="4">
        <v>-2.85</v>
      </c>
      <c r="C2652" s="4">
        <v>-2.09</v>
      </c>
      <c r="D2652" s="4">
        <v>-1</v>
      </c>
      <c r="E2652" s="4">
        <v>-1.4886665371272411E-2</v>
      </c>
      <c r="F2652" s="3">
        <v>2650</v>
      </c>
      <c r="G2652" s="3">
        <v>2</v>
      </c>
      <c r="H2652" s="5">
        <v>58671233.039999999</v>
      </c>
      <c r="I2652" s="5">
        <v>63901993.039999992</v>
      </c>
      <c r="J2652" s="5">
        <v>9968930</v>
      </c>
      <c r="K2652" s="5">
        <v>4738170</v>
      </c>
      <c r="L2652" s="5">
        <v>0</v>
      </c>
      <c r="M2652" s="5">
        <v>-22383290</v>
      </c>
      <c r="N2652" s="5">
        <v>-26920470</v>
      </c>
    </row>
    <row r="2653" spans="1:14" x14ac:dyDescent="0.25">
      <c r="A2653" s="3" t="s">
        <v>2664</v>
      </c>
      <c r="B2653" s="4">
        <v>6.65</v>
      </c>
      <c r="C2653" s="4">
        <v>-0.12</v>
      </c>
      <c r="D2653" s="4">
        <v>-0.06</v>
      </c>
      <c r="E2653" s="4">
        <v>-1.489304170336221E-2</v>
      </c>
      <c r="F2653" s="3">
        <v>2651</v>
      </c>
      <c r="G2653" s="3">
        <v>2</v>
      </c>
      <c r="H2653" s="5">
        <v>2301794040.1199999</v>
      </c>
      <c r="I2653" s="5">
        <v>6514794040.1199999</v>
      </c>
      <c r="J2653" s="5">
        <v>4518700000</v>
      </c>
      <c r="K2653" s="5">
        <v>305700000</v>
      </c>
      <c r="L2653" s="5">
        <v>2556700000</v>
      </c>
      <c r="M2653" s="5">
        <v>979100000</v>
      </c>
      <c r="N2653" s="5">
        <v>-636700000</v>
      </c>
    </row>
    <row r="2654" spans="1:14" x14ac:dyDescent="0.25">
      <c r="A2654" s="3" t="s">
        <v>2665</v>
      </c>
      <c r="B2654" s="4">
        <v>7.73</v>
      </c>
      <c r="C2654" s="4">
        <v>0.1</v>
      </c>
      <c r="D2654" s="4">
        <v>0.06</v>
      </c>
      <c r="E2654" s="4">
        <v>-1.490266824539843E-2</v>
      </c>
      <c r="F2654" s="3">
        <v>2652</v>
      </c>
      <c r="G2654" s="3">
        <v>2</v>
      </c>
      <c r="H2654" s="5">
        <v>1610391245.76</v>
      </c>
      <c r="I2654" s="5">
        <v>1723891245.76</v>
      </c>
      <c r="J2654" s="5">
        <v>151500000</v>
      </c>
      <c r="K2654" s="5">
        <v>38000000</v>
      </c>
      <c r="L2654" s="5">
        <v>3093300000</v>
      </c>
      <c r="M2654" s="5">
        <v>223000000</v>
      </c>
      <c r="N2654" s="5">
        <v>110700000</v>
      </c>
    </row>
    <row r="2655" spans="1:14" x14ac:dyDescent="0.25">
      <c r="A2655" s="3" t="s">
        <v>2666</v>
      </c>
      <c r="B2655" s="4">
        <v>6.25</v>
      </c>
      <c r="C2655" s="4">
        <v>-0.21</v>
      </c>
      <c r="D2655" s="4">
        <v>-0.06</v>
      </c>
      <c r="E2655" s="4">
        <v>-1.490551593860923E-2</v>
      </c>
      <c r="F2655" s="3">
        <v>2653</v>
      </c>
      <c r="G2655" s="3">
        <v>2</v>
      </c>
      <c r="H2655" s="5">
        <v>790629380.64999998</v>
      </c>
      <c r="I2655" s="5">
        <v>1835852380.6500001</v>
      </c>
      <c r="J2655" s="5">
        <v>1055872000</v>
      </c>
      <c r="K2655" s="5">
        <v>10649000</v>
      </c>
      <c r="L2655" s="5">
        <v>2983781000</v>
      </c>
      <c r="M2655" s="5">
        <v>293563000</v>
      </c>
      <c r="N2655" s="5">
        <v>-146979000</v>
      </c>
    </row>
    <row r="2656" spans="1:14" x14ac:dyDescent="0.25">
      <c r="A2656" s="3" t="s">
        <v>2667</v>
      </c>
      <c r="B2656" s="4">
        <v>7.89</v>
      </c>
      <c r="C2656" s="4">
        <v>0.13</v>
      </c>
      <c r="D2656" s="4">
        <v>0.1</v>
      </c>
      <c r="E2656" s="4">
        <v>-1.4907298609198269E-2</v>
      </c>
      <c r="F2656" s="3">
        <v>2654</v>
      </c>
      <c r="G2656" s="3">
        <v>2</v>
      </c>
      <c r="H2656" s="5">
        <v>1794421289.8800001</v>
      </c>
      <c r="I2656" s="5">
        <v>1524941289.8800001</v>
      </c>
      <c r="J2656" s="5">
        <v>0</v>
      </c>
      <c r="K2656" s="5">
        <v>269480000</v>
      </c>
      <c r="L2656" s="5">
        <v>1308764000</v>
      </c>
      <c r="M2656" s="5">
        <v>193187000</v>
      </c>
      <c r="N2656" s="5">
        <v>137340000</v>
      </c>
    </row>
    <row r="2657" spans="1:14" x14ac:dyDescent="0.25">
      <c r="A2657" s="3" t="s">
        <v>2668</v>
      </c>
      <c r="B2657" s="4">
        <v>7.89</v>
      </c>
      <c r="C2657" s="4">
        <v>0.13</v>
      </c>
      <c r="D2657" s="4">
        <v>0.06</v>
      </c>
      <c r="E2657" s="4">
        <v>-1.4915014715508291E-2</v>
      </c>
      <c r="F2657" s="3">
        <v>2655</v>
      </c>
      <c r="G2657" s="3">
        <v>2</v>
      </c>
      <c r="H2657" s="5">
        <v>8175029544.6899996</v>
      </c>
      <c r="I2657" s="5">
        <v>16174629544.690001</v>
      </c>
      <c r="J2657" s="5">
        <v>8067600000</v>
      </c>
      <c r="K2657" s="5">
        <v>68000000</v>
      </c>
      <c r="L2657" s="5">
        <v>11612800000</v>
      </c>
      <c r="M2657" s="5">
        <v>2049100000</v>
      </c>
      <c r="N2657" s="5">
        <v>1152400000</v>
      </c>
    </row>
    <row r="2658" spans="1:14" x14ac:dyDescent="0.25">
      <c r="A2658" s="3" t="s">
        <v>2669</v>
      </c>
      <c r="B2658" s="4">
        <v>7.63</v>
      </c>
      <c r="C2658" s="4">
        <v>7.0000000000000007E-2</v>
      </c>
      <c r="D2658" s="4">
        <v>0.05</v>
      </c>
      <c r="E2658" s="4">
        <v>-1.492938603604854E-2</v>
      </c>
      <c r="F2658" s="3">
        <v>2656</v>
      </c>
      <c r="G2658" s="3">
        <v>2</v>
      </c>
      <c r="H2658" s="5">
        <v>1559486685.1199999</v>
      </c>
      <c r="I2658" s="5">
        <v>1328486685.1199999</v>
      </c>
      <c r="J2658" s="5">
        <v>25000000</v>
      </c>
      <c r="K2658" s="5">
        <v>256000000</v>
      </c>
      <c r="L2658" s="5">
        <v>2373000000</v>
      </c>
      <c r="M2658" s="5">
        <v>174000000</v>
      </c>
      <c r="N2658" s="5">
        <v>81000000</v>
      </c>
    </row>
    <row r="2659" spans="1:14" x14ac:dyDescent="0.25">
      <c r="A2659" s="3" t="s">
        <v>2670</v>
      </c>
      <c r="B2659" s="4">
        <v>8.19</v>
      </c>
      <c r="C2659" s="4">
        <v>0.19</v>
      </c>
      <c r="D2659" s="4">
        <v>0.04</v>
      </c>
      <c r="E2659" s="4">
        <v>-1.4931187297488879E-2</v>
      </c>
      <c r="F2659" s="3">
        <v>2657</v>
      </c>
      <c r="G2659" s="3">
        <v>2</v>
      </c>
      <c r="H2659" s="5">
        <v>55966169540.220001</v>
      </c>
      <c r="I2659" s="5">
        <v>80237169540.220001</v>
      </c>
      <c r="J2659" s="5">
        <v>27481000000</v>
      </c>
      <c r="K2659" s="5">
        <v>3210000000</v>
      </c>
      <c r="L2659" s="5">
        <v>140384000000</v>
      </c>
      <c r="M2659" s="5">
        <v>9793000000</v>
      </c>
      <c r="N2659" s="5">
        <v>3445000000</v>
      </c>
    </row>
    <row r="2660" spans="1:14" x14ac:dyDescent="0.25">
      <c r="A2660" s="3" t="s">
        <v>2671</v>
      </c>
      <c r="B2660" s="4">
        <v>7.63</v>
      </c>
      <c r="C2660" s="4">
        <v>7.0000000000000007E-2</v>
      </c>
      <c r="D2660" s="4">
        <v>0.03</v>
      </c>
      <c r="E2660" s="4">
        <v>-1.4933244089203551E-2</v>
      </c>
      <c r="F2660" s="3">
        <v>2658</v>
      </c>
      <c r="G2660" s="3">
        <v>2</v>
      </c>
      <c r="H2660" s="5">
        <v>2864304341.4299998</v>
      </c>
      <c r="I2660" s="5">
        <v>4386804341.4300003</v>
      </c>
      <c r="J2660" s="5">
        <v>2067000000</v>
      </c>
      <c r="K2660" s="5">
        <v>544500000</v>
      </c>
      <c r="L2660" s="5">
        <v>3240400000</v>
      </c>
      <c r="M2660" s="5">
        <v>575100000</v>
      </c>
      <c r="N2660" s="5">
        <v>169500000</v>
      </c>
    </row>
    <row r="2661" spans="1:14" x14ac:dyDescent="0.25">
      <c r="A2661" s="3" t="s">
        <v>2672</v>
      </c>
      <c r="B2661" s="4">
        <v>6.77</v>
      </c>
      <c r="C2661" s="4">
        <v>-0.11</v>
      </c>
      <c r="D2661" s="4">
        <v>-0.04</v>
      </c>
      <c r="E2661" s="4">
        <v>-1.493456051155766E-2</v>
      </c>
      <c r="F2661" s="3">
        <v>2659</v>
      </c>
      <c r="G2661" s="3">
        <v>2</v>
      </c>
      <c r="H2661" s="5">
        <v>214282444.80000001</v>
      </c>
      <c r="I2661" s="5">
        <v>471804444.80000001</v>
      </c>
      <c r="J2661" s="5">
        <v>325582000</v>
      </c>
      <c r="K2661" s="5">
        <v>68060000</v>
      </c>
      <c r="L2661" s="5">
        <v>714646000</v>
      </c>
      <c r="M2661" s="5">
        <v>69671000</v>
      </c>
      <c r="N2661" s="5">
        <v>-31795000</v>
      </c>
    </row>
    <row r="2662" spans="1:14" x14ac:dyDescent="0.25">
      <c r="A2662" s="3" t="s">
        <v>2673</v>
      </c>
      <c r="B2662" s="4">
        <v>0.22</v>
      </c>
      <c r="C2662" s="4">
        <v>-1.43</v>
      </c>
      <c r="D2662" s="4">
        <v>-1.29</v>
      </c>
      <c r="E2662" s="4">
        <v>-1.493571522806863E-2</v>
      </c>
      <c r="F2662" s="3">
        <v>2660</v>
      </c>
      <c r="G2662" s="3">
        <v>2</v>
      </c>
      <c r="H2662" s="5">
        <v>60.696879000000003</v>
      </c>
      <c r="I2662" s="5">
        <v>-8473789.3031210005</v>
      </c>
      <c r="J2662" s="5">
        <v>0</v>
      </c>
      <c r="K2662" s="5">
        <v>8473850</v>
      </c>
      <c r="L2662" s="5">
        <v>4798300</v>
      </c>
      <c r="M2662" s="5">
        <v>-39313050</v>
      </c>
      <c r="N2662" s="5">
        <v>-46612050</v>
      </c>
    </row>
    <row r="2663" spans="1:14" x14ac:dyDescent="0.25">
      <c r="A2663" s="3" t="s">
        <v>2674</v>
      </c>
      <c r="B2663" s="4">
        <v>7.01</v>
      </c>
      <c r="C2663" s="4">
        <v>-0.06</v>
      </c>
      <c r="D2663" s="4">
        <v>-0.03</v>
      </c>
      <c r="E2663" s="4">
        <v>-1.4936704386637731E-2</v>
      </c>
      <c r="F2663" s="3">
        <v>2661</v>
      </c>
      <c r="G2663" s="3">
        <v>2</v>
      </c>
      <c r="H2663" s="5">
        <v>1336153810.49</v>
      </c>
      <c r="I2663" s="5">
        <v>2831153810.4899998</v>
      </c>
      <c r="J2663" s="5">
        <v>1835000000</v>
      </c>
      <c r="K2663" s="5">
        <v>340000000</v>
      </c>
      <c r="L2663" s="5">
        <v>6036000000</v>
      </c>
      <c r="M2663" s="5">
        <v>404000000</v>
      </c>
      <c r="N2663" s="5">
        <v>-189000000</v>
      </c>
    </row>
    <row r="2664" spans="1:14" x14ac:dyDescent="0.25">
      <c r="A2664" s="3" t="s">
        <v>2675</v>
      </c>
      <c r="B2664" s="4">
        <v>8.18</v>
      </c>
      <c r="C2664" s="4">
        <v>0.18</v>
      </c>
      <c r="D2664" s="4">
        <v>0.11</v>
      </c>
      <c r="E2664" s="4">
        <v>-1.4940388512763719E-2</v>
      </c>
      <c r="F2664" s="3">
        <v>2662</v>
      </c>
      <c r="G2664" s="3">
        <v>2</v>
      </c>
      <c r="H2664" s="5">
        <v>20151110872.959999</v>
      </c>
      <c r="I2664" s="5">
        <v>20826710872.959999</v>
      </c>
      <c r="J2664" s="5">
        <v>3366900000</v>
      </c>
      <c r="K2664" s="5">
        <v>2691300000</v>
      </c>
      <c r="L2664" s="5">
        <v>7082300000</v>
      </c>
      <c r="M2664" s="5">
        <v>2544500000</v>
      </c>
      <c r="N2664" s="5">
        <v>1572800000</v>
      </c>
    </row>
    <row r="2665" spans="1:14" x14ac:dyDescent="0.25">
      <c r="A2665" s="3" t="s">
        <v>2676</v>
      </c>
      <c r="B2665" s="4">
        <v>7.5</v>
      </c>
      <c r="C2665" s="4">
        <v>0.04</v>
      </c>
      <c r="D2665" s="4">
        <v>0.02</v>
      </c>
      <c r="E2665" s="4">
        <v>-1.494139426276242E-2</v>
      </c>
      <c r="F2665" s="3">
        <v>2663</v>
      </c>
      <c r="G2665" s="3">
        <v>2</v>
      </c>
      <c r="H2665" s="5">
        <v>3921451895.4099998</v>
      </c>
      <c r="I2665" s="5">
        <v>4330651895.4099998</v>
      </c>
      <c r="J2665" s="5">
        <v>526800000</v>
      </c>
      <c r="K2665" s="5">
        <v>117600000</v>
      </c>
      <c r="L2665" s="5">
        <v>5290500000</v>
      </c>
      <c r="M2665" s="5">
        <v>577400000</v>
      </c>
      <c r="N2665" s="5">
        <v>117000000</v>
      </c>
    </row>
    <row r="2666" spans="1:14" x14ac:dyDescent="0.25">
      <c r="A2666" s="3" t="s">
        <v>2677</v>
      </c>
      <c r="B2666" s="4">
        <v>-0.38</v>
      </c>
      <c r="C2666" s="4">
        <v>-1.57</v>
      </c>
      <c r="D2666" s="4">
        <v>-1.1599999999999999</v>
      </c>
      <c r="E2666" s="4">
        <v>-1.494379603893882E-2</v>
      </c>
      <c r="F2666" s="3">
        <v>2664</v>
      </c>
      <c r="G2666" s="3">
        <v>2</v>
      </c>
      <c r="H2666" s="5">
        <v>10943010.210000001</v>
      </c>
      <c r="I2666" s="5">
        <v>3802010.2100000009</v>
      </c>
      <c r="J2666" s="5">
        <v>0</v>
      </c>
      <c r="K2666" s="5">
        <v>7141000</v>
      </c>
      <c r="L2666" s="5">
        <v>82000</v>
      </c>
      <c r="M2666" s="5">
        <v>-10086000</v>
      </c>
      <c r="N2666" s="5">
        <v>-10330000</v>
      </c>
    </row>
    <row r="2667" spans="1:14" x14ac:dyDescent="0.25">
      <c r="A2667" s="3" t="s">
        <v>2678</v>
      </c>
      <c r="B2667" s="4">
        <v>7.75</v>
      </c>
      <c r="C2667" s="4">
        <v>0.09</v>
      </c>
      <c r="D2667" s="4">
        <v>0.05</v>
      </c>
      <c r="E2667" s="4">
        <v>-1.494586929038455E-2</v>
      </c>
      <c r="F2667" s="3">
        <v>2665</v>
      </c>
      <c r="G2667" s="3">
        <v>2</v>
      </c>
      <c r="H2667" s="5">
        <v>1610405000</v>
      </c>
      <c r="I2667" s="5">
        <v>1813653000</v>
      </c>
      <c r="J2667" s="5">
        <v>318531000</v>
      </c>
      <c r="K2667" s="5">
        <v>115283000</v>
      </c>
      <c r="L2667" s="5">
        <v>1230615000</v>
      </c>
      <c r="M2667" s="5">
        <v>234091000</v>
      </c>
      <c r="N2667" s="5">
        <v>87623000</v>
      </c>
    </row>
    <row r="2668" spans="1:14" x14ac:dyDescent="0.25">
      <c r="A2668" s="3" t="s">
        <v>2679</v>
      </c>
      <c r="B2668" s="4">
        <v>5.74</v>
      </c>
      <c r="C2668" s="4">
        <v>-0.33</v>
      </c>
      <c r="D2668" s="4">
        <v>-0.11</v>
      </c>
      <c r="E2668" s="4">
        <v>-1.494623486511931E-2</v>
      </c>
      <c r="F2668" s="3">
        <v>2666</v>
      </c>
      <c r="G2668" s="3">
        <v>2</v>
      </c>
      <c r="H2668" s="5">
        <v>56348577138.32</v>
      </c>
      <c r="I2668" s="5">
        <v>91004577138.320007</v>
      </c>
      <c r="J2668" s="5">
        <v>39968000000</v>
      </c>
      <c r="K2668" s="5">
        <v>5312000000</v>
      </c>
      <c r="L2668" s="5">
        <v>39321000000</v>
      </c>
      <c r="M2668" s="5">
        <v>15866000000</v>
      </c>
      <c r="N2668" s="5">
        <v>-11311000000</v>
      </c>
    </row>
    <row r="2669" spans="1:14" x14ac:dyDescent="0.25">
      <c r="A2669" s="3" t="s">
        <v>2680</v>
      </c>
      <c r="B2669" s="4">
        <v>7.79</v>
      </c>
      <c r="C2669" s="4">
        <v>0.1</v>
      </c>
      <c r="D2669" s="4">
        <v>0</v>
      </c>
      <c r="E2669" s="4">
        <v>-1.4951377639045931E-2</v>
      </c>
      <c r="F2669" s="3">
        <v>2667</v>
      </c>
      <c r="G2669" s="3">
        <v>2</v>
      </c>
      <c r="H2669" s="5">
        <v>36550500000</v>
      </c>
      <c r="I2669" s="5">
        <v>39623500000</v>
      </c>
      <c r="J2669" s="5">
        <v>21570000000</v>
      </c>
      <c r="K2669" s="5">
        <v>18497000000</v>
      </c>
      <c r="L2669" s="5">
        <v>66315000000</v>
      </c>
      <c r="M2669" s="5">
        <v>5084000000</v>
      </c>
      <c r="N2669" s="5">
        <v>2727000000</v>
      </c>
    </row>
    <row r="2670" spans="1:14" x14ac:dyDescent="0.25">
      <c r="A2670" s="3" t="s">
        <v>2681</v>
      </c>
      <c r="B2670" s="4">
        <v>7.37</v>
      </c>
      <c r="C2670" s="4">
        <v>0.01</v>
      </c>
      <c r="D2670" s="4">
        <v>0</v>
      </c>
      <c r="E2670" s="4">
        <v>-1.4951473462898801E-2</v>
      </c>
      <c r="F2670" s="3">
        <v>2668</v>
      </c>
      <c r="G2670" s="3">
        <v>2</v>
      </c>
      <c r="H2670" s="5">
        <v>1791941309.1300001</v>
      </c>
      <c r="I2670" s="5">
        <v>1613941309.1300001</v>
      </c>
      <c r="J2670" s="5">
        <v>886000000</v>
      </c>
      <c r="K2670" s="5">
        <v>1064000000</v>
      </c>
      <c r="L2670" s="5">
        <v>1835000000</v>
      </c>
      <c r="M2670" s="5">
        <v>219000000</v>
      </c>
      <c r="N2670" s="5">
        <v>5000000</v>
      </c>
    </row>
    <row r="2671" spans="1:14" x14ac:dyDescent="0.25">
      <c r="A2671" s="3" t="s">
        <v>2682</v>
      </c>
      <c r="B2671" s="4">
        <v>7.42</v>
      </c>
      <c r="C2671" s="4">
        <v>0.02</v>
      </c>
      <c r="D2671" s="4">
        <v>0.01</v>
      </c>
      <c r="E2671" s="4">
        <v>-1.495159685779222E-2</v>
      </c>
      <c r="F2671" s="3">
        <v>2669</v>
      </c>
      <c r="G2671" s="3">
        <v>2</v>
      </c>
      <c r="H2671" s="5">
        <v>20389986231.511002</v>
      </c>
      <c r="I2671" s="5">
        <v>25110986231.511002</v>
      </c>
      <c r="J2671" s="5">
        <v>9965000000</v>
      </c>
      <c r="K2671" s="5">
        <v>5244000000</v>
      </c>
      <c r="L2671" s="5">
        <v>9065000000</v>
      </c>
      <c r="M2671" s="5">
        <v>3383000000</v>
      </c>
      <c r="N2671" s="5">
        <v>406000000</v>
      </c>
    </row>
    <row r="2672" spans="1:14" x14ac:dyDescent="0.25">
      <c r="A2672" s="3" t="s">
        <v>2683</v>
      </c>
      <c r="B2672" s="4">
        <v>8.1999999999999993</v>
      </c>
      <c r="C2672" s="4">
        <v>0.18</v>
      </c>
      <c r="D2672" s="4">
        <v>0.1</v>
      </c>
      <c r="E2672" s="4">
        <v>-1.495469595073538E-2</v>
      </c>
      <c r="F2672" s="3">
        <v>2670</v>
      </c>
      <c r="G2672" s="3">
        <v>2</v>
      </c>
      <c r="H2672" s="5">
        <v>3995734019.9699998</v>
      </c>
      <c r="I2672" s="5">
        <v>3795153019.9699998</v>
      </c>
      <c r="J2672" s="5">
        <v>207659000</v>
      </c>
      <c r="K2672" s="5">
        <v>408240000</v>
      </c>
      <c r="L2672" s="5">
        <v>2210147000</v>
      </c>
      <c r="M2672" s="5">
        <v>462771000</v>
      </c>
      <c r="N2672" s="5">
        <v>286405000</v>
      </c>
    </row>
    <row r="2673" spans="1:14" x14ac:dyDescent="0.25">
      <c r="A2673" s="3" t="s">
        <v>2684</v>
      </c>
      <c r="B2673" s="4">
        <v>7.15</v>
      </c>
      <c r="C2673" s="4">
        <v>-0.04</v>
      </c>
      <c r="D2673" s="4">
        <v>0.02</v>
      </c>
      <c r="E2673" s="4">
        <v>-1.495592091948037E-2</v>
      </c>
      <c r="F2673" s="3">
        <v>2671</v>
      </c>
      <c r="G2673" s="3">
        <v>2</v>
      </c>
      <c r="H2673" s="5">
        <v>947096748.79999995</v>
      </c>
      <c r="I2673" s="5">
        <v>6592290748.8000002</v>
      </c>
      <c r="J2673" s="5">
        <v>5800787000</v>
      </c>
      <c r="K2673" s="5">
        <v>155593000</v>
      </c>
      <c r="L2673" s="5">
        <v>1166927000</v>
      </c>
      <c r="M2673" s="5">
        <v>921832000</v>
      </c>
      <c r="N2673" s="5">
        <v>93406000</v>
      </c>
    </row>
    <row r="2674" spans="1:14" x14ac:dyDescent="0.25">
      <c r="A2674" s="3" t="s">
        <v>2685</v>
      </c>
      <c r="B2674" s="4">
        <v>7.48</v>
      </c>
      <c r="C2674" s="4">
        <v>0.03</v>
      </c>
      <c r="D2674" s="4">
        <v>0.01</v>
      </c>
      <c r="E2674" s="4">
        <v>-1.495983848496023E-2</v>
      </c>
      <c r="F2674" s="3">
        <v>2672</v>
      </c>
      <c r="G2674" s="3">
        <v>2</v>
      </c>
      <c r="H2674" s="5">
        <v>1278285933.8499999</v>
      </c>
      <c r="I2674" s="5">
        <v>1696909933.8499999</v>
      </c>
      <c r="J2674" s="5">
        <v>481452000</v>
      </c>
      <c r="K2674" s="5">
        <v>62828000</v>
      </c>
      <c r="L2674" s="5">
        <v>4371501000</v>
      </c>
      <c r="M2674" s="5">
        <v>226903000</v>
      </c>
      <c r="N2674" s="5">
        <v>39465000</v>
      </c>
    </row>
    <row r="2675" spans="1:14" x14ac:dyDescent="0.25">
      <c r="A2675" s="3" t="s">
        <v>2686</v>
      </c>
      <c r="B2675" s="4">
        <v>7.59</v>
      </c>
      <c r="C2675" s="4">
        <v>0.05</v>
      </c>
      <c r="D2675" s="4">
        <v>0.02</v>
      </c>
      <c r="E2675" s="4">
        <v>-1.496820350702166E-2</v>
      </c>
      <c r="F2675" s="3">
        <v>2673</v>
      </c>
      <c r="G2675" s="3">
        <v>2</v>
      </c>
      <c r="H2675" s="5">
        <v>219333507.88999999</v>
      </c>
      <c r="I2675" s="5">
        <v>344351507.88999999</v>
      </c>
      <c r="J2675" s="5">
        <v>128737000</v>
      </c>
      <c r="K2675" s="5">
        <v>3719000</v>
      </c>
      <c r="L2675" s="5">
        <v>453772000</v>
      </c>
      <c r="M2675" s="5">
        <v>45366000</v>
      </c>
      <c r="N2675" s="5">
        <v>11387000</v>
      </c>
    </row>
    <row r="2676" spans="1:14" x14ac:dyDescent="0.25">
      <c r="A2676" s="3" t="s">
        <v>2687</v>
      </c>
      <c r="B2676" s="4">
        <v>7.6</v>
      </c>
      <c r="C2676" s="4">
        <v>0.05</v>
      </c>
      <c r="D2676" s="4">
        <v>0.05</v>
      </c>
      <c r="E2676" s="4">
        <v>-1.496860563298622E-2</v>
      </c>
      <c r="F2676" s="3">
        <v>2674</v>
      </c>
      <c r="G2676" s="3">
        <v>2</v>
      </c>
      <c r="H2676" s="5">
        <v>16974764.510000002</v>
      </c>
      <c r="I2676" s="5">
        <v>16974394.510000002</v>
      </c>
      <c r="J2676" s="5">
        <v>0</v>
      </c>
      <c r="K2676" s="5">
        <v>370</v>
      </c>
      <c r="L2676" s="5">
        <v>6768670</v>
      </c>
      <c r="M2676" s="5">
        <v>2234650</v>
      </c>
      <c r="N2676" s="5">
        <v>1051400</v>
      </c>
    </row>
    <row r="2677" spans="1:14" x14ac:dyDescent="0.25">
      <c r="A2677" s="3" t="s">
        <v>2688</v>
      </c>
      <c r="B2677" s="4">
        <v>-0.13</v>
      </c>
      <c r="C2677" s="4">
        <v>-1.54</v>
      </c>
      <c r="D2677" s="4">
        <v>-0.95</v>
      </c>
      <c r="E2677" s="4">
        <v>-1.4971335802194761E-2</v>
      </c>
      <c r="F2677" s="3">
        <v>2675</v>
      </c>
      <c r="G2677" s="3">
        <v>2</v>
      </c>
      <c r="H2677" s="5">
        <v>8716065.2100000009</v>
      </c>
      <c r="I2677" s="5">
        <v>1970065.2100000009</v>
      </c>
      <c r="J2677" s="5">
        <v>0</v>
      </c>
      <c r="K2677" s="5">
        <v>6746000</v>
      </c>
      <c r="L2677" s="5">
        <v>25663000</v>
      </c>
      <c r="M2677" s="5">
        <v>-15647000</v>
      </c>
      <c r="N2677" s="5">
        <v>-28942000</v>
      </c>
    </row>
    <row r="2678" spans="1:14" x14ac:dyDescent="0.25">
      <c r="A2678" s="3" t="s">
        <v>2689</v>
      </c>
      <c r="B2678" s="4">
        <v>6.26</v>
      </c>
      <c r="C2678" s="4">
        <v>-0.23</v>
      </c>
      <c r="D2678" s="4">
        <v>-0.1</v>
      </c>
      <c r="E2678" s="4">
        <v>-1.497720846464525E-2</v>
      </c>
      <c r="F2678" s="3">
        <v>2676</v>
      </c>
      <c r="G2678" s="3">
        <v>2</v>
      </c>
      <c r="H2678" s="5">
        <v>548929659.35000002</v>
      </c>
      <c r="I2678" s="5">
        <v>763910659.35000002</v>
      </c>
      <c r="J2678" s="5">
        <v>401864000</v>
      </c>
      <c r="K2678" s="5">
        <v>186883000</v>
      </c>
      <c r="L2678" s="5">
        <v>1732084000</v>
      </c>
      <c r="M2678" s="5">
        <v>121982000</v>
      </c>
      <c r="N2678" s="5">
        <v>-146594000</v>
      </c>
    </row>
    <row r="2679" spans="1:14" x14ac:dyDescent="0.25">
      <c r="A2679" s="3" t="s">
        <v>2690</v>
      </c>
      <c r="B2679" s="4">
        <v>7.7</v>
      </c>
      <c r="C2679" s="4">
        <v>7.0000000000000007E-2</v>
      </c>
      <c r="D2679" s="4">
        <v>0.02</v>
      </c>
      <c r="E2679" s="4">
        <v>-1.4978497555660591E-2</v>
      </c>
      <c r="F2679" s="3">
        <v>2677</v>
      </c>
      <c r="G2679" s="3">
        <v>2</v>
      </c>
      <c r="H2679" s="5">
        <v>5812026297.4799995</v>
      </c>
      <c r="I2679" s="5">
        <v>8746980297.4799995</v>
      </c>
      <c r="J2679" s="5">
        <v>3123761000</v>
      </c>
      <c r="K2679" s="5">
        <v>188807000</v>
      </c>
      <c r="L2679" s="5">
        <v>27923324000</v>
      </c>
      <c r="M2679" s="5">
        <v>1135468000</v>
      </c>
      <c r="N2679" s="5">
        <v>392074000</v>
      </c>
    </row>
    <row r="2680" spans="1:14" x14ac:dyDescent="0.25">
      <c r="A2680" s="3" t="s">
        <v>2691</v>
      </c>
      <c r="B2680" s="4">
        <v>6.9</v>
      </c>
      <c r="C2680" s="4">
        <v>-0.1</v>
      </c>
      <c r="D2680" s="4">
        <v>-0.03</v>
      </c>
      <c r="E2680" s="4">
        <v>-1.4984197552027709E-2</v>
      </c>
      <c r="F2680" s="3">
        <v>2678</v>
      </c>
      <c r="G2680" s="3">
        <v>2</v>
      </c>
      <c r="H2680" s="5">
        <v>3303181263.0599999</v>
      </c>
      <c r="I2680" s="5">
        <v>7147481263.0599995</v>
      </c>
      <c r="J2680" s="5">
        <v>4101400000</v>
      </c>
      <c r="K2680" s="5">
        <v>257100000</v>
      </c>
      <c r="L2680" s="5">
        <v>5892900000</v>
      </c>
      <c r="M2680" s="5">
        <v>1036000000</v>
      </c>
      <c r="N2680" s="5">
        <v>-367900000</v>
      </c>
    </row>
    <row r="2681" spans="1:14" x14ac:dyDescent="0.25">
      <c r="A2681" s="3" t="s">
        <v>2692</v>
      </c>
      <c r="B2681" s="4">
        <v>7.62</v>
      </c>
      <c r="C2681" s="4">
        <v>0.05</v>
      </c>
      <c r="D2681" s="4">
        <v>0.03</v>
      </c>
      <c r="E2681" s="4">
        <v>-1.4984842097535381E-2</v>
      </c>
      <c r="F2681" s="3">
        <v>2679</v>
      </c>
      <c r="G2681" s="3">
        <v>2</v>
      </c>
      <c r="H2681" s="5">
        <v>22111826.2127023</v>
      </c>
      <c r="I2681" s="5">
        <v>22282396.2127023</v>
      </c>
      <c r="J2681" s="5">
        <v>5378090</v>
      </c>
      <c r="K2681" s="5">
        <v>5207520</v>
      </c>
      <c r="L2681" s="5">
        <v>39987860</v>
      </c>
      <c r="M2681" s="5">
        <v>2922430</v>
      </c>
      <c r="N2681" s="5">
        <v>900950</v>
      </c>
    </row>
    <row r="2682" spans="1:14" x14ac:dyDescent="0.25">
      <c r="A2682" s="3" t="s">
        <v>2693</v>
      </c>
      <c r="B2682" s="4">
        <v>8.15</v>
      </c>
      <c r="C2682" s="4">
        <v>0.16</v>
      </c>
      <c r="D2682" s="4">
        <v>0.06</v>
      </c>
      <c r="E2682" s="4">
        <v>-1.4989253242588931E-2</v>
      </c>
      <c r="F2682" s="3">
        <v>2680</v>
      </c>
      <c r="G2682" s="3">
        <v>2</v>
      </c>
      <c r="H2682" s="5">
        <v>21598500000</v>
      </c>
      <c r="I2682" s="5">
        <v>26143500000</v>
      </c>
      <c r="J2682" s="5">
        <v>5815000000</v>
      </c>
      <c r="K2682" s="5">
        <v>1270000000</v>
      </c>
      <c r="L2682" s="5">
        <v>15845000000</v>
      </c>
      <c r="M2682" s="5">
        <v>3206000000</v>
      </c>
      <c r="N2682" s="5">
        <v>1116000000</v>
      </c>
    </row>
    <row r="2683" spans="1:14" x14ac:dyDescent="0.25">
      <c r="A2683" s="3" t="s">
        <v>2694</v>
      </c>
      <c r="B2683" s="4">
        <v>-1.04</v>
      </c>
      <c r="C2683" s="4">
        <v>-1.77</v>
      </c>
      <c r="D2683" s="4">
        <v>-0.53</v>
      </c>
      <c r="E2683" s="4">
        <v>-1.4991651928838E-2</v>
      </c>
      <c r="F2683" s="3">
        <v>2681</v>
      </c>
      <c r="G2683" s="3">
        <v>2</v>
      </c>
      <c r="H2683" s="5">
        <v>4.29</v>
      </c>
      <c r="I2683" s="5">
        <v>31544.29</v>
      </c>
      <c r="J2683" s="5">
        <v>31540</v>
      </c>
      <c r="K2683" s="5">
        <v>0</v>
      </c>
      <c r="L2683" s="5">
        <v>580</v>
      </c>
      <c r="M2683" s="5">
        <v>-30360</v>
      </c>
      <c r="N2683" s="5">
        <v>-30270</v>
      </c>
    </row>
    <row r="2684" spans="1:14" x14ac:dyDescent="0.25">
      <c r="A2684" s="3" t="s">
        <v>2695</v>
      </c>
      <c r="B2684" s="4">
        <v>8.16</v>
      </c>
      <c r="C2684" s="4">
        <v>0.16</v>
      </c>
      <c r="D2684" s="4">
        <v>0.06</v>
      </c>
      <c r="E2684" s="4">
        <v>-1.499544244828601E-2</v>
      </c>
      <c r="F2684" s="3">
        <v>2682</v>
      </c>
      <c r="G2684" s="3">
        <v>2</v>
      </c>
      <c r="H2684" s="5">
        <v>24969202820.52</v>
      </c>
      <c r="I2684" s="5">
        <v>24801202820.52</v>
      </c>
      <c r="J2684" s="5">
        <v>815000000</v>
      </c>
      <c r="K2684" s="5">
        <v>983000000</v>
      </c>
      <c r="L2684" s="5">
        <v>11337000000</v>
      </c>
      <c r="M2684" s="5">
        <v>3041000000</v>
      </c>
      <c r="N2684" s="5">
        <v>2292000000</v>
      </c>
    </row>
    <row r="2685" spans="1:14" x14ac:dyDescent="0.25">
      <c r="A2685" s="3" t="s">
        <v>2696</v>
      </c>
      <c r="B2685" s="4">
        <v>7.73</v>
      </c>
      <c r="C2685" s="4">
        <v>7.0000000000000007E-2</v>
      </c>
      <c r="D2685" s="4">
        <v>0.02</v>
      </c>
      <c r="E2685" s="4">
        <v>-1.4997065172751831E-2</v>
      </c>
      <c r="F2685" s="3">
        <v>2683</v>
      </c>
      <c r="G2685" s="3">
        <v>2</v>
      </c>
      <c r="H2685" s="5">
        <v>380506970.75</v>
      </c>
      <c r="I2685" s="5">
        <v>669302970.75</v>
      </c>
      <c r="J2685" s="5">
        <v>311672000</v>
      </c>
      <c r="K2685" s="5">
        <v>22876000</v>
      </c>
      <c r="L2685" s="5">
        <v>710554000</v>
      </c>
      <c r="M2685" s="5">
        <v>86563000</v>
      </c>
      <c r="N2685" s="5">
        <v>29517000</v>
      </c>
    </row>
    <row r="2686" spans="1:14" x14ac:dyDescent="0.25">
      <c r="A2686" s="3" t="s">
        <v>2697</v>
      </c>
      <c r="B2686" s="4">
        <v>7.78</v>
      </c>
      <c r="C2686" s="4">
        <v>0.08</v>
      </c>
      <c r="D2686" s="4">
        <v>0.02</v>
      </c>
      <c r="E2686" s="4">
        <v>-1.499911759422275E-2</v>
      </c>
      <c r="F2686" s="3">
        <v>2684</v>
      </c>
      <c r="G2686" s="3">
        <v>2</v>
      </c>
      <c r="H2686" s="5">
        <v>27397610.100000001</v>
      </c>
      <c r="I2686" s="5">
        <v>147266610.09999999</v>
      </c>
      <c r="J2686" s="5">
        <v>142961000</v>
      </c>
      <c r="K2686" s="5">
        <v>23092000</v>
      </c>
      <c r="L2686" s="5">
        <v>34548000</v>
      </c>
      <c r="M2686" s="5">
        <v>18918000</v>
      </c>
      <c r="N2686" s="5">
        <v>4545000</v>
      </c>
    </row>
    <row r="2687" spans="1:14" x14ac:dyDescent="0.25">
      <c r="A2687" s="3" t="s">
        <v>2698</v>
      </c>
      <c r="B2687" s="4">
        <v>8.66</v>
      </c>
      <c r="C2687" s="4">
        <v>0.27</v>
      </c>
      <c r="D2687" s="4">
        <v>-0.04</v>
      </c>
      <c r="E2687" s="4">
        <v>-1.50063633217559E-2</v>
      </c>
      <c r="F2687" s="3">
        <v>2685</v>
      </c>
      <c r="G2687" s="3">
        <v>2</v>
      </c>
      <c r="H2687" s="5">
        <v>538841302.35000002</v>
      </c>
      <c r="I2687" s="5">
        <v>11953841302.35</v>
      </c>
      <c r="J2687" s="5">
        <v>11452000000</v>
      </c>
      <c r="K2687" s="5">
        <v>37000000</v>
      </c>
      <c r="L2687" s="5">
        <v>12634000000</v>
      </c>
      <c r="M2687" s="5">
        <v>1381000000</v>
      </c>
      <c r="N2687" s="5">
        <v>-516000000</v>
      </c>
    </row>
    <row r="2688" spans="1:14" x14ac:dyDescent="0.25">
      <c r="A2688" s="3" t="s">
        <v>2699</v>
      </c>
      <c r="B2688" s="4">
        <v>6.63</v>
      </c>
      <c r="C2688" s="4">
        <v>-0.17</v>
      </c>
      <c r="D2688" s="4">
        <v>-0.01</v>
      </c>
      <c r="E2688" s="4">
        <v>-1.501548619415282E-2</v>
      </c>
      <c r="F2688" s="3">
        <v>2686</v>
      </c>
      <c r="G2688" s="3">
        <v>2</v>
      </c>
      <c r="H2688" s="5">
        <v>750254625</v>
      </c>
      <c r="I2688" s="5">
        <v>1724044625</v>
      </c>
      <c r="J2688" s="5">
        <v>1079811000</v>
      </c>
      <c r="K2688" s="5">
        <v>106021000</v>
      </c>
      <c r="L2688" s="5">
        <v>2509315000</v>
      </c>
      <c r="M2688" s="5">
        <v>260099000</v>
      </c>
      <c r="N2688" s="5">
        <v>-26354000</v>
      </c>
    </row>
    <row r="2689" spans="1:14" x14ac:dyDescent="0.25">
      <c r="A2689" s="3" t="s">
        <v>2700</v>
      </c>
      <c r="B2689" s="4">
        <v>12.04</v>
      </c>
      <c r="C2689" s="4">
        <v>0.98</v>
      </c>
      <c r="D2689" s="4">
        <v>0.11</v>
      </c>
      <c r="E2689" s="4">
        <v>-1.5017933350678969E-2</v>
      </c>
      <c r="F2689" s="3">
        <v>2687</v>
      </c>
      <c r="G2689" s="3">
        <v>2</v>
      </c>
      <c r="H2689" s="5">
        <v>4025658009.7800002</v>
      </c>
      <c r="I2689" s="5">
        <v>4803658009.7800007</v>
      </c>
      <c r="J2689" s="5">
        <v>1199000000</v>
      </c>
      <c r="K2689" s="5">
        <v>421000000</v>
      </c>
      <c r="L2689" s="5">
        <v>1843000000</v>
      </c>
      <c r="M2689" s="5">
        <v>399000000</v>
      </c>
      <c r="N2689" s="5">
        <v>235000000</v>
      </c>
    </row>
    <row r="2690" spans="1:14" x14ac:dyDescent="0.25">
      <c r="A2690" s="3" t="s">
        <v>2701</v>
      </c>
      <c r="B2690" s="4">
        <v>-0.59</v>
      </c>
      <c r="C2690" s="4">
        <v>-1.68</v>
      </c>
      <c r="D2690" s="4">
        <v>-0.59</v>
      </c>
      <c r="E2690" s="4">
        <v>-1.5021697881541391E-2</v>
      </c>
      <c r="F2690" s="3">
        <v>2688</v>
      </c>
      <c r="G2690" s="3">
        <v>2</v>
      </c>
      <c r="H2690" s="5">
        <v>7765809.5250000004</v>
      </c>
      <c r="I2690" s="5">
        <v>2158949.5249999999</v>
      </c>
      <c r="J2690" s="5">
        <v>0</v>
      </c>
      <c r="K2690" s="5">
        <v>5606860</v>
      </c>
      <c r="L2690" s="5">
        <v>0</v>
      </c>
      <c r="M2690" s="5">
        <v>-3657410</v>
      </c>
      <c r="N2690" s="5">
        <v>-3339200</v>
      </c>
    </row>
    <row r="2691" spans="1:14" x14ac:dyDescent="0.25">
      <c r="A2691" s="3" t="s">
        <v>2702</v>
      </c>
      <c r="B2691" s="4">
        <v>7.54</v>
      </c>
      <c r="C2691" s="4">
        <v>0.02</v>
      </c>
      <c r="D2691" s="4">
        <v>0.02</v>
      </c>
      <c r="E2691" s="4">
        <v>-1.5023938299579639E-2</v>
      </c>
      <c r="F2691" s="3">
        <v>2689</v>
      </c>
      <c r="G2691" s="3">
        <v>2</v>
      </c>
      <c r="H2691" s="5">
        <v>79339826.719999999</v>
      </c>
      <c r="I2691" s="5">
        <v>65479826.719999999</v>
      </c>
      <c r="J2691" s="5">
        <v>5000000</v>
      </c>
      <c r="K2691" s="5">
        <v>18860000</v>
      </c>
      <c r="L2691" s="5">
        <v>112919000</v>
      </c>
      <c r="M2691" s="5">
        <v>8686000</v>
      </c>
      <c r="N2691" s="5">
        <v>3460000</v>
      </c>
    </row>
    <row r="2692" spans="1:14" x14ac:dyDescent="0.25">
      <c r="A2692" s="3" t="s">
        <v>2703</v>
      </c>
      <c r="B2692" s="4">
        <v>9.42</v>
      </c>
      <c r="C2692" s="4">
        <v>0.42</v>
      </c>
      <c r="D2692" s="4">
        <v>0.05</v>
      </c>
      <c r="E2692" s="4">
        <v>-1.5025977610319371E-2</v>
      </c>
      <c r="F2692" s="3">
        <v>2690</v>
      </c>
      <c r="G2692" s="3">
        <v>2</v>
      </c>
      <c r="H2692" s="5">
        <v>7102256469.4200001</v>
      </c>
      <c r="I2692" s="5">
        <v>10569856469.42</v>
      </c>
      <c r="J2692" s="5">
        <v>3471900000</v>
      </c>
      <c r="K2692" s="5">
        <v>4300000</v>
      </c>
      <c r="L2692" s="5">
        <v>1495500000</v>
      </c>
      <c r="M2692" s="5">
        <v>1122100000</v>
      </c>
      <c r="N2692" s="5">
        <v>223100000</v>
      </c>
    </row>
    <row r="2693" spans="1:14" x14ac:dyDescent="0.25">
      <c r="A2693" s="3" t="s">
        <v>2704</v>
      </c>
      <c r="B2693" s="4">
        <v>7.78</v>
      </c>
      <c r="C2693" s="4">
        <v>7.0000000000000007E-2</v>
      </c>
      <c r="D2693" s="4">
        <v>0.03</v>
      </c>
      <c r="E2693" s="4">
        <v>-1.502608217465971E-2</v>
      </c>
      <c r="F2693" s="3">
        <v>2691</v>
      </c>
      <c r="G2693" s="3">
        <v>2</v>
      </c>
      <c r="H2693" s="5">
        <v>353316985.38</v>
      </c>
      <c r="I2693" s="5">
        <v>521174985.38</v>
      </c>
      <c r="J2693" s="5">
        <v>170000000</v>
      </c>
      <c r="K2693" s="5">
        <v>2142000</v>
      </c>
      <c r="L2693" s="5">
        <v>156742000</v>
      </c>
      <c r="M2693" s="5">
        <v>67007000</v>
      </c>
      <c r="N2693" s="5">
        <v>17227000</v>
      </c>
    </row>
    <row r="2694" spans="1:14" x14ac:dyDescent="0.25">
      <c r="A2694" s="3" t="s">
        <v>2705</v>
      </c>
      <c r="B2694" s="4">
        <v>8.4600000000000009</v>
      </c>
      <c r="C2694" s="4">
        <v>0.21</v>
      </c>
      <c r="D2694" s="4">
        <v>0.08</v>
      </c>
      <c r="E2694" s="4">
        <v>-1.5032792530971039E-2</v>
      </c>
      <c r="F2694" s="3">
        <v>2692</v>
      </c>
      <c r="G2694" s="3">
        <v>2</v>
      </c>
      <c r="H2694" s="5">
        <v>5193792000.3699999</v>
      </c>
      <c r="I2694" s="5">
        <v>8526252000.3699989</v>
      </c>
      <c r="J2694" s="5">
        <v>3745992000</v>
      </c>
      <c r="K2694" s="5">
        <v>413532000</v>
      </c>
      <c r="L2694" s="5">
        <v>2050385000</v>
      </c>
      <c r="M2694" s="5">
        <v>1008363000</v>
      </c>
      <c r="N2694" s="5">
        <v>495583000</v>
      </c>
    </row>
    <row r="2695" spans="1:14" x14ac:dyDescent="0.25">
      <c r="A2695" s="3" t="s">
        <v>2706</v>
      </c>
      <c r="B2695" s="4">
        <v>8</v>
      </c>
      <c r="C2695" s="4">
        <v>0.11</v>
      </c>
      <c r="D2695" s="4">
        <v>0.09</v>
      </c>
      <c r="E2695" s="4">
        <v>-1.5035096112472539E-2</v>
      </c>
      <c r="F2695" s="3">
        <v>2693</v>
      </c>
      <c r="G2695" s="3">
        <v>2</v>
      </c>
      <c r="H2695" s="5">
        <v>621520948.62</v>
      </c>
      <c r="I2695" s="5">
        <v>582890948.62</v>
      </c>
      <c r="J2695" s="5">
        <v>0</v>
      </c>
      <c r="K2695" s="5">
        <v>38630000</v>
      </c>
      <c r="L2695" s="5">
        <v>647706000</v>
      </c>
      <c r="M2695" s="5">
        <v>72836000</v>
      </c>
      <c r="N2695" s="5">
        <v>41020000</v>
      </c>
    </row>
    <row r="2696" spans="1:14" x14ac:dyDescent="0.25">
      <c r="A2696" s="3" t="s">
        <v>2707</v>
      </c>
      <c r="B2696" s="4">
        <v>7.95</v>
      </c>
      <c r="C2696" s="4">
        <v>0.1</v>
      </c>
      <c r="D2696" s="4">
        <v>0.06</v>
      </c>
      <c r="E2696" s="4">
        <v>-1.5038830770734131E-2</v>
      </c>
      <c r="F2696" s="3">
        <v>2694</v>
      </c>
      <c r="G2696" s="3">
        <v>2</v>
      </c>
      <c r="H2696" s="5">
        <v>22508529592.959999</v>
      </c>
      <c r="I2696" s="5">
        <v>26429329592.959999</v>
      </c>
      <c r="J2696" s="5">
        <v>6295800000</v>
      </c>
      <c r="K2696" s="5">
        <v>2375000000</v>
      </c>
      <c r="L2696" s="5">
        <v>9675900000</v>
      </c>
      <c r="M2696" s="5">
        <v>3324600000</v>
      </c>
      <c r="N2696" s="5">
        <v>1632200000</v>
      </c>
    </row>
    <row r="2697" spans="1:14" x14ac:dyDescent="0.25">
      <c r="A2697" s="3" t="s">
        <v>2708</v>
      </c>
      <c r="B2697" s="4">
        <v>8.14</v>
      </c>
      <c r="C2697" s="4">
        <v>0.14000000000000001</v>
      </c>
      <c r="D2697" s="4">
        <v>0.04</v>
      </c>
      <c r="E2697" s="4">
        <v>-1.504470930407578E-2</v>
      </c>
      <c r="F2697" s="3">
        <v>2695</v>
      </c>
      <c r="G2697" s="3">
        <v>2</v>
      </c>
      <c r="H2697" s="5">
        <v>58046644689.209999</v>
      </c>
      <c r="I2697" s="5">
        <v>117495644689.21001</v>
      </c>
      <c r="J2697" s="5">
        <v>59761000000</v>
      </c>
      <c r="K2697" s="5">
        <v>312000000</v>
      </c>
      <c r="L2697" s="5">
        <v>82671000000</v>
      </c>
      <c r="M2697" s="5">
        <v>14441000000</v>
      </c>
      <c r="N2697" s="5">
        <v>4814000000</v>
      </c>
    </row>
    <row r="2698" spans="1:14" x14ac:dyDescent="0.25">
      <c r="A2698" s="3" t="s">
        <v>2709</v>
      </c>
      <c r="B2698" s="4">
        <v>8.4</v>
      </c>
      <c r="C2698" s="4">
        <v>0.19</v>
      </c>
      <c r="D2698" s="4">
        <v>7.0000000000000007E-2</v>
      </c>
      <c r="E2698" s="4">
        <v>-1.505537353739499E-2</v>
      </c>
      <c r="F2698" s="3">
        <v>2696</v>
      </c>
      <c r="G2698" s="3">
        <v>2</v>
      </c>
      <c r="H2698" s="5">
        <v>6088611983.4399996</v>
      </c>
      <c r="I2698" s="5">
        <v>8380811983.4399986</v>
      </c>
      <c r="J2698" s="5">
        <v>2673300000</v>
      </c>
      <c r="K2698" s="5">
        <v>381100000</v>
      </c>
      <c r="L2698" s="5">
        <v>4609000000</v>
      </c>
      <c r="M2698" s="5">
        <v>997900000</v>
      </c>
      <c r="N2698" s="5">
        <v>471900000</v>
      </c>
    </row>
    <row r="2699" spans="1:14" x14ac:dyDescent="0.25">
      <c r="A2699" s="3" t="s">
        <v>2710</v>
      </c>
      <c r="B2699" s="4">
        <v>7.4</v>
      </c>
      <c r="C2699" s="4">
        <v>-0.02</v>
      </c>
      <c r="D2699" s="4">
        <v>-0.01</v>
      </c>
      <c r="E2699" s="4">
        <v>-1.505865092761091E-2</v>
      </c>
      <c r="F2699" s="3">
        <v>2697</v>
      </c>
      <c r="G2699" s="3">
        <v>2</v>
      </c>
      <c r="H2699" s="5">
        <v>2077174639.8399999</v>
      </c>
      <c r="I2699" s="5">
        <v>2391907639.8400002</v>
      </c>
      <c r="J2699" s="5">
        <v>905019000</v>
      </c>
      <c r="K2699" s="5">
        <v>590286000</v>
      </c>
      <c r="L2699" s="5">
        <v>2937587000</v>
      </c>
      <c r="M2699" s="5">
        <v>323373000</v>
      </c>
      <c r="N2699" s="5">
        <v>-31150000</v>
      </c>
    </row>
    <row r="2700" spans="1:14" x14ac:dyDescent="0.25">
      <c r="A2700" s="3" t="s">
        <v>2711</v>
      </c>
      <c r="B2700" s="4">
        <v>7.6</v>
      </c>
      <c r="C2700" s="4">
        <v>0.02</v>
      </c>
      <c r="D2700" s="4">
        <v>0.01</v>
      </c>
      <c r="E2700" s="4">
        <v>-1.5063002560339619E-2</v>
      </c>
      <c r="F2700" s="3">
        <v>2698</v>
      </c>
      <c r="G2700" s="3">
        <v>2</v>
      </c>
      <c r="H2700" s="5">
        <v>1221236495.8199999</v>
      </c>
      <c r="I2700" s="5">
        <v>705609495.81999993</v>
      </c>
      <c r="J2700" s="5">
        <v>0</v>
      </c>
      <c r="K2700" s="5">
        <v>515627000</v>
      </c>
      <c r="L2700" s="5">
        <v>1115676000</v>
      </c>
      <c r="M2700" s="5">
        <v>92845000</v>
      </c>
      <c r="N2700" s="5">
        <v>8728000</v>
      </c>
    </row>
    <row r="2701" spans="1:14" x14ac:dyDescent="0.25">
      <c r="A2701" s="3" t="s">
        <v>2712</v>
      </c>
      <c r="B2701" s="4">
        <v>8.26</v>
      </c>
      <c r="C2701" s="4">
        <v>0.16</v>
      </c>
      <c r="D2701" s="4">
        <v>0.03</v>
      </c>
      <c r="E2701" s="4">
        <v>-1.5063121584989301E-2</v>
      </c>
      <c r="F2701" s="3">
        <v>2699</v>
      </c>
      <c r="G2701" s="3">
        <v>2</v>
      </c>
      <c r="H2701" s="5">
        <v>13096085923.5</v>
      </c>
      <c r="I2701" s="5">
        <v>36787085923.5</v>
      </c>
      <c r="J2701" s="5">
        <v>26882000000</v>
      </c>
      <c r="K2701" s="5">
        <v>3191000000</v>
      </c>
      <c r="L2701" s="5">
        <v>19836000000</v>
      </c>
      <c r="M2701" s="5">
        <v>4455000000</v>
      </c>
      <c r="N2701" s="5">
        <v>1246000000</v>
      </c>
    </row>
    <row r="2702" spans="1:14" x14ac:dyDescent="0.25">
      <c r="A2702" s="3" t="s">
        <v>2713</v>
      </c>
      <c r="B2702" s="4">
        <v>7.84</v>
      </c>
      <c r="C2702" s="4">
        <v>7.0000000000000007E-2</v>
      </c>
      <c r="D2702" s="4">
        <v>0.03</v>
      </c>
      <c r="E2702" s="4">
        <v>-1.506321740884217E-2</v>
      </c>
      <c r="F2702" s="3">
        <v>2700</v>
      </c>
      <c r="G2702" s="3">
        <v>2</v>
      </c>
      <c r="H2702" s="5">
        <v>18750102307.200001</v>
      </c>
      <c r="I2702" s="5">
        <v>32955460307.200001</v>
      </c>
      <c r="J2702" s="5">
        <v>16743774000</v>
      </c>
      <c r="K2702" s="5">
        <v>2538416000</v>
      </c>
      <c r="L2702" s="5">
        <v>10105894000</v>
      </c>
      <c r="M2702" s="5">
        <v>4203102000</v>
      </c>
      <c r="N2702" s="5">
        <v>1570365000</v>
      </c>
    </row>
    <row r="2703" spans="1:14" x14ac:dyDescent="0.25">
      <c r="A2703" s="3" t="s">
        <v>2714</v>
      </c>
      <c r="B2703" s="4">
        <v>8.65</v>
      </c>
      <c r="C2703" s="4">
        <v>0.24</v>
      </c>
      <c r="D2703" s="4">
        <v>0.06</v>
      </c>
      <c r="E2703" s="4">
        <v>-1.506756467132714E-2</v>
      </c>
      <c r="F2703" s="3">
        <v>2701</v>
      </c>
      <c r="G2703" s="3">
        <v>2</v>
      </c>
      <c r="H2703" s="5">
        <v>1825406602.6500001</v>
      </c>
      <c r="I2703" s="5">
        <v>2500690602.6500001</v>
      </c>
      <c r="J2703" s="5">
        <v>948929000</v>
      </c>
      <c r="K2703" s="5">
        <v>273645000</v>
      </c>
      <c r="L2703" s="5">
        <v>845486000</v>
      </c>
      <c r="M2703" s="5">
        <v>289249000</v>
      </c>
      <c r="N2703" s="5">
        <v>112620000</v>
      </c>
    </row>
    <row r="2704" spans="1:14" x14ac:dyDescent="0.25">
      <c r="A2704" s="3" t="s">
        <v>2715</v>
      </c>
      <c r="B2704" s="4">
        <v>7.9</v>
      </c>
      <c r="C2704" s="4">
        <v>0.08</v>
      </c>
      <c r="D2704" s="4">
        <v>0.05</v>
      </c>
      <c r="E2704" s="4">
        <v>-1.5067600982855169E-2</v>
      </c>
      <c r="F2704" s="3">
        <v>2702</v>
      </c>
      <c r="G2704" s="3">
        <v>2</v>
      </c>
      <c r="H2704" s="5">
        <v>48202858.600000001</v>
      </c>
      <c r="I2704" s="5">
        <v>39219588.600000001</v>
      </c>
      <c r="J2704" s="5">
        <v>8374670</v>
      </c>
      <c r="K2704" s="5">
        <v>17357940</v>
      </c>
      <c r="L2704" s="5">
        <v>66088230</v>
      </c>
      <c r="M2704" s="5">
        <v>4965500</v>
      </c>
      <c r="N2704" s="5">
        <v>2923230</v>
      </c>
    </row>
    <row r="2705" spans="1:14" x14ac:dyDescent="0.25">
      <c r="A2705" s="3" t="s">
        <v>2716</v>
      </c>
      <c r="B2705" s="4">
        <v>8.33</v>
      </c>
      <c r="C2705" s="4">
        <v>0.17</v>
      </c>
      <c r="D2705" s="4">
        <v>0.08</v>
      </c>
      <c r="E2705" s="4">
        <v>-1.5067907284966859E-2</v>
      </c>
      <c r="F2705" s="3">
        <v>2703</v>
      </c>
      <c r="G2705" s="3">
        <v>2</v>
      </c>
      <c r="H2705" s="5">
        <v>14506439385.5</v>
      </c>
      <c r="I2705" s="5">
        <v>18884997385.5</v>
      </c>
      <c r="J2705" s="5">
        <v>4504541000</v>
      </c>
      <c r="K2705" s="5">
        <v>125983000</v>
      </c>
      <c r="L2705" s="5">
        <v>15827935000</v>
      </c>
      <c r="M2705" s="5">
        <v>2266645000</v>
      </c>
      <c r="N2705" s="5">
        <v>1142097000</v>
      </c>
    </row>
    <row r="2706" spans="1:14" x14ac:dyDescent="0.25">
      <c r="A2706" s="3" t="s">
        <v>2717</v>
      </c>
      <c r="B2706" s="4">
        <v>8.35</v>
      </c>
      <c r="C2706" s="4">
        <v>0.17</v>
      </c>
      <c r="D2706" s="4">
        <v>0.12</v>
      </c>
      <c r="E2706" s="4">
        <v>-1.507256959005099E-2</v>
      </c>
      <c r="F2706" s="3">
        <v>2704</v>
      </c>
      <c r="G2706" s="3">
        <v>2</v>
      </c>
      <c r="H2706" s="5">
        <v>2127376154.6099999</v>
      </c>
      <c r="I2706" s="5">
        <v>2458657154.6100001</v>
      </c>
      <c r="J2706" s="5">
        <v>409424000</v>
      </c>
      <c r="K2706" s="5">
        <v>78143000</v>
      </c>
      <c r="L2706" s="5">
        <v>571773000</v>
      </c>
      <c r="M2706" s="5">
        <v>294612000</v>
      </c>
      <c r="N2706" s="5">
        <v>181377000</v>
      </c>
    </row>
    <row r="2707" spans="1:14" x14ac:dyDescent="0.25">
      <c r="A2707" s="3" t="s">
        <v>2718</v>
      </c>
      <c r="B2707" s="4">
        <v>8.14</v>
      </c>
      <c r="C2707" s="4">
        <v>0.13</v>
      </c>
      <c r="D2707" s="4">
        <v>0.04</v>
      </c>
      <c r="E2707" s="4">
        <v>-1.507360291109024E-2</v>
      </c>
      <c r="F2707" s="3">
        <v>2705</v>
      </c>
      <c r="G2707" s="3">
        <v>2</v>
      </c>
      <c r="H2707" s="5">
        <v>1667822950.77</v>
      </c>
      <c r="I2707" s="5">
        <v>3345746950.77</v>
      </c>
      <c r="J2707" s="5">
        <v>1737618000</v>
      </c>
      <c r="K2707" s="5">
        <v>59694000</v>
      </c>
      <c r="L2707" s="5">
        <v>5187105000</v>
      </c>
      <c r="M2707" s="5">
        <v>411181000</v>
      </c>
      <c r="N2707" s="5">
        <v>214038000</v>
      </c>
    </row>
    <row r="2708" spans="1:14" x14ac:dyDescent="0.25">
      <c r="A2708" s="3" t="s">
        <v>2719</v>
      </c>
      <c r="B2708" s="4">
        <v>7.58</v>
      </c>
      <c r="C2708" s="4">
        <v>0.01</v>
      </c>
      <c r="D2708" s="4">
        <v>0</v>
      </c>
      <c r="E2708" s="4">
        <v>-1.508144678253742E-2</v>
      </c>
      <c r="F2708" s="3">
        <v>2706</v>
      </c>
      <c r="G2708" s="3">
        <v>2</v>
      </c>
      <c r="H2708" s="5">
        <v>316891309.07999998</v>
      </c>
      <c r="I2708" s="5">
        <v>703830309.07999992</v>
      </c>
      <c r="J2708" s="5">
        <v>407134000</v>
      </c>
      <c r="K2708" s="5">
        <v>20195000</v>
      </c>
      <c r="L2708" s="5">
        <v>317209000</v>
      </c>
      <c r="M2708" s="5">
        <v>92831000</v>
      </c>
      <c r="N2708" s="5">
        <v>4166000</v>
      </c>
    </row>
    <row r="2709" spans="1:14" x14ac:dyDescent="0.25">
      <c r="A2709" s="3" t="s">
        <v>2720</v>
      </c>
      <c r="B2709" s="4">
        <v>7.68</v>
      </c>
      <c r="C2709" s="4">
        <v>0.03</v>
      </c>
      <c r="D2709" s="4">
        <v>0.01</v>
      </c>
      <c r="E2709" s="4">
        <v>-1.508362259890178E-2</v>
      </c>
      <c r="F2709" s="3">
        <v>2707</v>
      </c>
      <c r="G2709" s="3">
        <v>2</v>
      </c>
      <c r="H2709" s="5">
        <v>488878639.38</v>
      </c>
      <c r="I2709" s="5">
        <v>710586639.38</v>
      </c>
      <c r="J2709" s="5">
        <v>237888000</v>
      </c>
      <c r="K2709" s="5">
        <v>16180000</v>
      </c>
      <c r="L2709" s="5">
        <v>1362935000</v>
      </c>
      <c r="M2709" s="5">
        <v>92559000</v>
      </c>
      <c r="N2709" s="5">
        <v>6233000</v>
      </c>
    </row>
    <row r="2710" spans="1:14" x14ac:dyDescent="0.25">
      <c r="A2710" s="3" t="s">
        <v>2721</v>
      </c>
      <c r="B2710" s="4">
        <v>8.5399999999999991</v>
      </c>
      <c r="C2710" s="4">
        <v>0.21</v>
      </c>
      <c r="D2710" s="4">
        <v>0.06</v>
      </c>
      <c r="E2710" s="4">
        <v>-1.5086164229702661E-2</v>
      </c>
      <c r="F2710" s="3">
        <v>2708</v>
      </c>
      <c r="G2710" s="3">
        <v>2</v>
      </c>
      <c r="H2710" s="5">
        <v>1047556723.0700001</v>
      </c>
      <c r="I2710" s="5">
        <v>1525550723.0699999</v>
      </c>
      <c r="J2710" s="5">
        <v>568851000</v>
      </c>
      <c r="K2710" s="5">
        <v>90857000</v>
      </c>
      <c r="L2710" s="5">
        <v>525324000</v>
      </c>
      <c r="M2710" s="5">
        <v>178547000</v>
      </c>
      <c r="N2710" s="5">
        <v>60900000</v>
      </c>
    </row>
    <row r="2711" spans="1:14" x14ac:dyDescent="0.25">
      <c r="A2711" s="3" t="s">
        <v>2722</v>
      </c>
      <c r="B2711" s="4">
        <v>8.34</v>
      </c>
      <c r="C2711" s="4">
        <v>0.16</v>
      </c>
      <c r="D2711" s="4">
        <v>0.14000000000000001</v>
      </c>
      <c r="E2711" s="4">
        <v>-1.509141593821336E-2</v>
      </c>
      <c r="F2711" s="3">
        <v>2709</v>
      </c>
      <c r="G2711" s="3">
        <v>2</v>
      </c>
      <c r="H2711" s="5">
        <v>799203071.625</v>
      </c>
      <c r="I2711" s="5">
        <v>755885221.625</v>
      </c>
      <c r="J2711" s="5">
        <v>0</v>
      </c>
      <c r="K2711" s="5">
        <v>43317850</v>
      </c>
      <c r="L2711" s="5">
        <v>268054500</v>
      </c>
      <c r="M2711" s="5">
        <v>90677110</v>
      </c>
      <c r="N2711" s="5">
        <v>66051040</v>
      </c>
    </row>
    <row r="2712" spans="1:14" x14ac:dyDescent="0.25">
      <c r="A2712" s="3" t="s">
        <v>2723</v>
      </c>
      <c r="B2712" s="4">
        <v>-1.34</v>
      </c>
      <c r="C2712" s="4">
        <v>-1.85</v>
      </c>
      <c r="D2712" s="4">
        <v>-0.82</v>
      </c>
      <c r="E2712" s="4">
        <v>-1.509306638478901E-2</v>
      </c>
      <c r="F2712" s="3">
        <v>2710</v>
      </c>
      <c r="G2712" s="3">
        <v>2</v>
      </c>
      <c r="H2712" s="5">
        <v>99305411.159999996</v>
      </c>
      <c r="I2712" s="5">
        <v>104015411.16</v>
      </c>
      <c r="J2712" s="5">
        <v>5922000</v>
      </c>
      <c r="K2712" s="5">
        <v>1212000</v>
      </c>
      <c r="L2712" s="5">
        <v>41003000</v>
      </c>
      <c r="M2712" s="5">
        <v>-77435000</v>
      </c>
      <c r="N2712" s="5">
        <v>-73297000</v>
      </c>
    </row>
    <row r="2713" spans="1:14" x14ac:dyDescent="0.25">
      <c r="A2713" s="3" t="s">
        <v>2724</v>
      </c>
      <c r="B2713" s="4">
        <v>7.56</v>
      </c>
      <c r="C2713" s="4">
        <v>0</v>
      </c>
      <c r="D2713" s="4">
        <v>0</v>
      </c>
      <c r="E2713" s="4">
        <v>-1.509796197815773E-2</v>
      </c>
      <c r="F2713" s="3">
        <v>2711</v>
      </c>
      <c r="G2713" s="3">
        <v>2</v>
      </c>
      <c r="H2713" s="5">
        <v>887970065.39999998</v>
      </c>
      <c r="I2713" s="5">
        <v>2444688065.4000001</v>
      </c>
      <c r="J2713" s="5">
        <v>1803093000</v>
      </c>
      <c r="K2713" s="5">
        <v>246375000</v>
      </c>
      <c r="L2713" s="5">
        <v>1610527000</v>
      </c>
      <c r="M2713" s="5">
        <v>323524000</v>
      </c>
      <c r="N2713" s="5">
        <v>-6944000</v>
      </c>
    </row>
    <row r="2714" spans="1:14" x14ac:dyDescent="0.25">
      <c r="A2714" s="3" t="s">
        <v>2725</v>
      </c>
      <c r="B2714" s="4">
        <v>8.19</v>
      </c>
      <c r="C2714" s="4">
        <v>0.13</v>
      </c>
      <c r="D2714" s="4">
        <v>7.0000000000000007E-2</v>
      </c>
      <c r="E2714" s="4">
        <v>-1.509876185984311E-2</v>
      </c>
      <c r="F2714" s="3">
        <v>2712</v>
      </c>
      <c r="G2714" s="3">
        <v>2</v>
      </c>
      <c r="H2714" s="5">
        <v>1356910039.3399999</v>
      </c>
      <c r="I2714" s="5">
        <v>1456610039.3399999</v>
      </c>
      <c r="J2714" s="5">
        <v>199500000</v>
      </c>
      <c r="K2714" s="5">
        <v>99800000</v>
      </c>
      <c r="L2714" s="5">
        <v>1286700000</v>
      </c>
      <c r="M2714" s="5">
        <v>177900000</v>
      </c>
      <c r="N2714" s="5">
        <v>83700000</v>
      </c>
    </row>
    <row r="2715" spans="1:14" x14ac:dyDescent="0.25">
      <c r="A2715" s="3" t="s">
        <v>2726</v>
      </c>
      <c r="B2715" s="4">
        <v>0.95</v>
      </c>
      <c r="C2715" s="4">
        <v>-1.4</v>
      </c>
      <c r="D2715" s="4">
        <v>-0.3</v>
      </c>
      <c r="E2715" s="4">
        <v>-1.5109872791738831E-2</v>
      </c>
      <c r="F2715" s="3">
        <v>2713</v>
      </c>
      <c r="G2715" s="3">
        <v>2</v>
      </c>
      <c r="H2715" s="5">
        <v>20538979.379999999</v>
      </c>
      <c r="I2715" s="5">
        <v>11387979.380000001</v>
      </c>
      <c r="J2715" s="5">
        <v>783000</v>
      </c>
      <c r="K2715" s="5">
        <v>9934000</v>
      </c>
      <c r="L2715" s="5">
        <v>185242000</v>
      </c>
      <c r="M2715" s="5">
        <v>12048000</v>
      </c>
      <c r="N2715" s="5">
        <v>-30297000</v>
      </c>
    </row>
    <row r="2716" spans="1:14" x14ac:dyDescent="0.25">
      <c r="A2716" s="3" t="s">
        <v>2727</v>
      </c>
      <c r="B2716" s="4">
        <v>0.85</v>
      </c>
      <c r="C2716" s="4">
        <v>-1.39</v>
      </c>
      <c r="D2716" s="4">
        <v>-0.8</v>
      </c>
      <c r="E2716" s="4">
        <v>-1.511553845662889E-2</v>
      </c>
      <c r="F2716" s="3">
        <v>2714</v>
      </c>
      <c r="G2716" s="3">
        <v>2</v>
      </c>
      <c r="H2716" s="5">
        <v>707787</v>
      </c>
      <c r="I2716" s="5">
        <v>-63001213</v>
      </c>
      <c r="J2716" s="5">
        <v>0</v>
      </c>
      <c r="K2716" s="5">
        <v>63709000</v>
      </c>
      <c r="L2716" s="5">
        <v>21478000</v>
      </c>
      <c r="M2716" s="5">
        <v>-74321000</v>
      </c>
      <c r="N2716" s="5">
        <v>-79464000</v>
      </c>
    </row>
    <row r="2717" spans="1:14" x14ac:dyDescent="0.25">
      <c r="A2717" s="3" t="s">
        <v>2728</v>
      </c>
      <c r="B2717" s="4">
        <v>8.58</v>
      </c>
      <c r="C2717" s="4">
        <v>0.21</v>
      </c>
      <c r="D2717" s="4">
        <v>0.03</v>
      </c>
      <c r="E2717" s="4">
        <v>-1.511670813222349E-2</v>
      </c>
      <c r="F2717" s="3">
        <v>2715</v>
      </c>
      <c r="G2717" s="3">
        <v>2</v>
      </c>
      <c r="H2717" s="5">
        <v>3171100000</v>
      </c>
      <c r="I2717" s="5">
        <v>7969100000</v>
      </c>
      <c r="J2717" s="5">
        <v>5382000000</v>
      </c>
      <c r="K2717" s="5">
        <v>584000000</v>
      </c>
      <c r="L2717" s="5">
        <v>2512000000</v>
      </c>
      <c r="M2717" s="5">
        <v>929000000</v>
      </c>
      <c r="N2717" s="5">
        <v>349000000</v>
      </c>
    </row>
    <row r="2718" spans="1:14" x14ac:dyDescent="0.25">
      <c r="A2718" s="3" t="s">
        <v>2729</v>
      </c>
      <c r="B2718" s="4">
        <v>7.55</v>
      </c>
      <c r="C2718" s="4">
        <v>-0.01</v>
      </c>
      <c r="D2718" s="4">
        <v>0</v>
      </c>
      <c r="E2718" s="4">
        <v>-1.5120666379475111E-2</v>
      </c>
      <c r="F2718" s="3">
        <v>2716</v>
      </c>
      <c r="G2718" s="3">
        <v>2</v>
      </c>
      <c r="H2718" s="5">
        <v>527745622.80000001</v>
      </c>
      <c r="I2718" s="5">
        <v>828755622.79999995</v>
      </c>
      <c r="J2718" s="5">
        <v>321772000</v>
      </c>
      <c r="K2718" s="5">
        <v>20762000</v>
      </c>
      <c r="L2718" s="5">
        <v>1195334000</v>
      </c>
      <c r="M2718" s="5">
        <v>109781000</v>
      </c>
      <c r="N2718" s="5">
        <v>-5182000</v>
      </c>
    </row>
    <row r="2719" spans="1:14" x14ac:dyDescent="0.25">
      <c r="A2719" s="3" t="s">
        <v>2730</v>
      </c>
      <c r="B2719" s="4">
        <v>7.79</v>
      </c>
      <c r="C2719" s="4">
        <v>0.04</v>
      </c>
      <c r="D2719" s="4">
        <v>0.02</v>
      </c>
      <c r="E2719" s="4">
        <v>-1.512088122797766E-2</v>
      </c>
      <c r="F2719" s="3">
        <v>2717</v>
      </c>
      <c r="G2719" s="3">
        <v>2</v>
      </c>
      <c r="H2719" s="5">
        <v>390684996.69</v>
      </c>
      <c r="I2719" s="5">
        <v>653778996.69000006</v>
      </c>
      <c r="J2719" s="5">
        <v>275006000</v>
      </c>
      <c r="K2719" s="5">
        <v>11912000</v>
      </c>
      <c r="L2719" s="5">
        <v>1941672000</v>
      </c>
      <c r="M2719" s="5">
        <v>83891000</v>
      </c>
      <c r="N2719" s="5">
        <v>22980000</v>
      </c>
    </row>
    <row r="2720" spans="1:14" x14ac:dyDescent="0.25">
      <c r="A2720" s="3" t="s">
        <v>2731</v>
      </c>
      <c r="B2720" s="4">
        <v>7.01</v>
      </c>
      <c r="C2720" s="4">
        <v>-0.12</v>
      </c>
      <c r="D2720" s="4">
        <v>-0.09</v>
      </c>
      <c r="E2720" s="4">
        <v>-1.512164018818951E-2</v>
      </c>
      <c r="F2720" s="3">
        <v>2718</v>
      </c>
      <c r="G2720" s="3">
        <v>2</v>
      </c>
      <c r="H2720" s="5">
        <v>159733614.41999999</v>
      </c>
      <c r="I2720" s="5">
        <v>159622614.41999999</v>
      </c>
      <c r="J2720" s="5">
        <v>17365000</v>
      </c>
      <c r="K2720" s="5">
        <v>17476000</v>
      </c>
      <c r="L2720" s="5">
        <v>167211000</v>
      </c>
      <c r="M2720" s="5">
        <v>22770000</v>
      </c>
      <c r="N2720" s="5">
        <v>-18075000</v>
      </c>
    </row>
    <row r="2721" spans="1:14" x14ac:dyDescent="0.25">
      <c r="A2721" s="3" t="s">
        <v>2732</v>
      </c>
      <c r="B2721" s="4">
        <v>2.83</v>
      </c>
      <c r="C2721" s="4">
        <v>-1.02</v>
      </c>
      <c r="D2721" s="4">
        <v>-0.04</v>
      </c>
      <c r="E2721" s="4">
        <v>-1.512533170522483E-2</v>
      </c>
      <c r="F2721" s="3">
        <v>2719</v>
      </c>
      <c r="G2721" s="3">
        <v>2</v>
      </c>
      <c r="H2721" s="5">
        <v>287988582.5</v>
      </c>
      <c r="I2721" s="5">
        <v>637988582.5</v>
      </c>
      <c r="J2721" s="5">
        <v>379200000</v>
      </c>
      <c r="K2721" s="5">
        <v>29200000</v>
      </c>
      <c r="L2721" s="5">
        <v>2672200000</v>
      </c>
      <c r="M2721" s="5">
        <v>225300000</v>
      </c>
      <c r="N2721" s="5">
        <v>-50900000</v>
      </c>
    </row>
    <row r="2722" spans="1:14" x14ac:dyDescent="0.25">
      <c r="A2722" s="3" t="s">
        <v>2733</v>
      </c>
      <c r="B2722" s="4">
        <v>8.2899999999999991</v>
      </c>
      <c r="C2722" s="4">
        <v>0.14000000000000001</v>
      </c>
      <c r="D2722" s="4">
        <v>0.06</v>
      </c>
      <c r="E2722" s="4">
        <v>-1.513368933637693E-2</v>
      </c>
      <c r="F2722" s="3">
        <v>2720</v>
      </c>
      <c r="G2722" s="3">
        <v>2</v>
      </c>
      <c r="H2722" s="5">
        <v>1375638555.72</v>
      </c>
      <c r="I2722" s="5">
        <v>2256960555.7199998</v>
      </c>
      <c r="J2722" s="5">
        <v>905781000</v>
      </c>
      <c r="K2722" s="5">
        <v>24459000</v>
      </c>
      <c r="L2722" s="5">
        <v>1307015000</v>
      </c>
      <c r="M2722" s="5">
        <v>272183000</v>
      </c>
      <c r="N2722" s="5">
        <v>132423000</v>
      </c>
    </row>
    <row r="2723" spans="1:14" x14ac:dyDescent="0.25">
      <c r="A2723" s="3" t="s">
        <v>2734</v>
      </c>
      <c r="B2723" s="4">
        <v>7.81</v>
      </c>
      <c r="C2723" s="4">
        <v>0.04</v>
      </c>
      <c r="D2723" s="4">
        <v>0.01</v>
      </c>
      <c r="E2723" s="4">
        <v>-1.5135188665949329E-2</v>
      </c>
      <c r="F2723" s="3">
        <v>2721</v>
      </c>
      <c r="G2723" s="3">
        <v>2</v>
      </c>
      <c r="H2723" s="5">
        <v>16352443629.6</v>
      </c>
      <c r="I2723" s="5">
        <v>15542443629.6</v>
      </c>
      <c r="J2723" s="5">
        <v>6699000000</v>
      </c>
      <c r="K2723" s="5">
        <v>7509000000</v>
      </c>
      <c r="L2723" s="5">
        <v>27483000000</v>
      </c>
      <c r="M2723" s="5">
        <v>1990000000</v>
      </c>
      <c r="N2723" s="5">
        <v>465000000</v>
      </c>
    </row>
    <row r="2724" spans="1:14" x14ac:dyDescent="0.25">
      <c r="A2724" s="3" t="s">
        <v>2735</v>
      </c>
      <c r="B2724" s="4">
        <v>7.01</v>
      </c>
      <c r="C2724" s="4">
        <v>-0.13</v>
      </c>
      <c r="D2724" s="4">
        <v>-0.02</v>
      </c>
      <c r="E2724" s="4">
        <v>-1.5137030609161431E-2</v>
      </c>
      <c r="F2724" s="3">
        <v>2722</v>
      </c>
      <c r="G2724" s="3">
        <v>2</v>
      </c>
      <c r="H2724" s="5">
        <v>143287291.06</v>
      </c>
      <c r="I2724" s="5">
        <v>97963291.060000002</v>
      </c>
      <c r="J2724" s="5">
        <v>70153000</v>
      </c>
      <c r="K2724" s="5">
        <v>115477000</v>
      </c>
      <c r="L2724" s="5">
        <v>347518000</v>
      </c>
      <c r="M2724" s="5">
        <v>13978000</v>
      </c>
      <c r="N2724" s="5">
        <v>-8604000</v>
      </c>
    </row>
    <row r="2725" spans="1:14" x14ac:dyDescent="0.25">
      <c r="A2725" s="3" t="s">
        <v>2736</v>
      </c>
      <c r="B2725" s="4">
        <v>0.33</v>
      </c>
      <c r="C2725" s="4">
        <v>-1.49</v>
      </c>
      <c r="D2725" s="4">
        <v>-1.1000000000000001</v>
      </c>
      <c r="E2725" s="4">
        <v>-1.514050662785062E-2</v>
      </c>
      <c r="F2725" s="3">
        <v>2723</v>
      </c>
      <c r="G2725" s="3">
        <v>2</v>
      </c>
      <c r="H2725" s="5">
        <v>159.091814</v>
      </c>
      <c r="I2725" s="5">
        <v>-79731840.908186004</v>
      </c>
      <c r="J2725" s="5">
        <v>1157000</v>
      </c>
      <c r="K2725" s="5">
        <v>80889000</v>
      </c>
      <c r="L2725" s="5">
        <v>70936000</v>
      </c>
      <c r="M2725" s="5">
        <v>-240436000</v>
      </c>
      <c r="N2725" s="5">
        <v>-373464000</v>
      </c>
    </row>
    <row r="2726" spans="1:14" x14ac:dyDescent="0.25">
      <c r="A2726" s="3" t="s">
        <v>2737</v>
      </c>
      <c r="B2726" s="4">
        <v>7.02</v>
      </c>
      <c r="C2726" s="4">
        <v>-0.13</v>
      </c>
      <c r="D2726" s="4">
        <v>-0.04</v>
      </c>
      <c r="E2726" s="4">
        <v>-1.5147077868013521E-2</v>
      </c>
      <c r="F2726" s="3">
        <v>2724</v>
      </c>
      <c r="G2726" s="3">
        <v>2</v>
      </c>
      <c r="H2726" s="5">
        <v>5091247499.5200005</v>
      </c>
      <c r="I2726" s="5">
        <v>10515251499.52</v>
      </c>
      <c r="J2726" s="5">
        <v>7036109000</v>
      </c>
      <c r="K2726" s="5">
        <v>1612105000</v>
      </c>
      <c r="L2726" s="5">
        <v>4519571000</v>
      </c>
      <c r="M2726" s="5">
        <v>1497194000</v>
      </c>
      <c r="N2726" s="5">
        <v>-574962000</v>
      </c>
    </row>
    <row r="2727" spans="1:14" x14ac:dyDescent="0.25">
      <c r="A2727" s="3" t="s">
        <v>2738</v>
      </c>
      <c r="B2727" s="4">
        <v>-1.8</v>
      </c>
      <c r="C2727" s="4">
        <v>-1.99</v>
      </c>
      <c r="D2727" s="4">
        <v>-0.5</v>
      </c>
      <c r="E2727" s="4">
        <v>-1.515114457044567E-2</v>
      </c>
      <c r="F2727" s="3">
        <v>2725</v>
      </c>
      <c r="G2727" s="3">
        <v>2</v>
      </c>
      <c r="H2727" s="5">
        <v>8878.5820000000003</v>
      </c>
      <c r="I2727" s="5">
        <v>36194878.582000002</v>
      </c>
      <c r="J2727" s="5">
        <v>39335000</v>
      </c>
      <c r="K2727" s="5">
        <v>3149000</v>
      </c>
      <c r="L2727" s="5">
        <v>50294000</v>
      </c>
      <c r="M2727" s="5">
        <v>-20099000</v>
      </c>
      <c r="N2727" s="5">
        <v>-34112000</v>
      </c>
    </row>
    <row r="2728" spans="1:14" x14ac:dyDescent="0.25">
      <c r="A2728" s="3" t="s">
        <v>2739</v>
      </c>
      <c r="B2728" s="4">
        <v>7.41</v>
      </c>
      <c r="C2728" s="4">
        <v>-0.05</v>
      </c>
      <c r="D2728" s="4">
        <v>-0.02</v>
      </c>
      <c r="E2728" s="4">
        <v>-1.5153449980928871E-2</v>
      </c>
      <c r="F2728" s="3">
        <v>2726</v>
      </c>
      <c r="G2728" s="3">
        <v>2</v>
      </c>
      <c r="H2728" s="5">
        <v>66495687</v>
      </c>
      <c r="I2728" s="5">
        <v>205558057</v>
      </c>
      <c r="J2728" s="5">
        <v>140949070</v>
      </c>
      <c r="K2728" s="5">
        <v>1886700</v>
      </c>
      <c r="L2728" s="5">
        <v>69236340</v>
      </c>
      <c r="M2728" s="5">
        <v>27739330</v>
      </c>
      <c r="N2728" s="5">
        <v>-4427810</v>
      </c>
    </row>
    <row r="2729" spans="1:14" x14ac:dyDescent="0.25">
      <c r="A2729" s="3" t="s">
        <v>2740</v>
      </c>
      <c r="B2729" s="4">
        <v>-0.12</v>
      </c>
      <c r="C2729" s="4">
        <v>-1.62</v>
      </c>
      <c r="D2729" s="4">
        <v>-0.68</v>
      </c>
      <c r="E2729" s="4">
        <v>-1.515659014641484E-2</v>
      </c>
      <c r="F2729" s="3">
        <v>2727</v>
      </c>
      <c r="G2729" s="3">
        <v>2</v>
      </c>
      <c r="H2729" s="5">
        <v>21310.067999999999</v>
      </c>
      <c r="I2729" s="5">
        <v>3979310.068</v>
      </c>
      <c r="J2729" s="5">
        <v>5528000</v>
      </c>
      <c r="K2729" s="5">
        <v>1570000</v>
      </c>
      <c r="L2729" s="5">
        <v>27509000</v>
      </c>
      <c r="M2729" s="5">
        <v>-32830000</v>
      </c>
      <c r="N2729" s="5">
        <v>-47724000</v>
      </c>
    </row>
    <row r="2730" spans="1:14" x14ac:dyDescent="0.25">
      <c r="A2730" s="3" t="s">
        <v>2741</v>
      </c>
      <c r="B2730" s="4">
        <v>7.91</v>
      </c>
      <c r="C2730" s="4">
        <v>0.05</v>
      </c>
      <c r="D2730" s="4">
        <v>0.02</v>
      </c>
      <c r="E2730" s="4">
        <v>-1.516625808932813E-2</v>
      </c>
      <c r="F2730" s="3">
        <v>2728</v>
      </c>
      <c r="G2730" s="3">
        <v>3</v>
      </c>
      <c r="H2730" s="5">
        <v>791824366.40999997</v>
      </c>
      <c r="I2730" s="5">
        <v>832228366.40999997</v>
      </c>
      <c r="J2730" s="5">
        <v>66500000</v>
      </c>
      <c r="K2730" s="5">
        <v>26096000</v>
      </c>
      <c r="L2730" s="5">
        <v>1357302000</v>
      </c>
      <c r="M2730" s="5">
        <v>105239000</v>
      </c>
      <c r="N2730" s="5">
        <v>16687000</v>
      </c>
    </row>
    <row r="2731" spans="1:14" x14ac:dyDescent="0.25">
      <c r="A2731" s="3" t="s">
        <v>2742</v>
      </c>
      <c r="B2731" s="4">
        <v>6.23</v>
      </c>
      <c r="C2731" s="4">
        <v>-0.3</v>
      </c>
      <c r="D2731" s="4">
        <v>-0.13</v>
      </c>
      <c r="E2731" s="4">
        <v>-1.516668317638775E-2</v>
      </c>
      <c r="F2731" s="3">
        <v>2729</v>
      </c>
      <c r="G2731" s="3">
        <v>3</v>
      </c>
      <c r="H2731" s="5">
        <v>55286400</v>
      </c>
      <c r="I2731" s="5">
        <v>-379383600</v>
      </c>
      <c r="J2731" s="5">
        <v>7188000</v>
      </c>
      <c r="K2731" s="5">
        <v>441858000</v>
      </c>
      <c r="L2731" s="5">
        <v>2031806000</v>
      </c>
      <c r="M2731" s="5">
        <v>-60871000</v>
      </c>
      <c r="N2731" s="5">
        <v>-69580000</v>
      </c>
    </row>
    <row r="2732" spans="1:14" x14ac:dyDescent="0.25">
      <c r="A2732" s="3" t="s">
        <v>2743</v>
      </c>
      <c r="B2732" s="4">
        <v>8.5</v>
      </c>
      <c r="C2732" s="4">
        <v>0.17</v>
      </c>
      <c r="D2732" s="4">
        <v>0.11</v>
      </c>
      <c r="E2732" s="4">
        <v>-1.516733670208466E-2</v>
      </c>
      <c r="F2732" s="3">
        <v>2730</v>
      </c>
      <c r="G2732" s="3">
        <v>3</v>
      </c>
      <c r="H2732" s="5">
        <v>3435037901.2800002</v>
      </c>
      <c r="I2732" s="5">
        <v>3109746901.2800002</v>
      </c>
      <c r="J2732" s="5">
        <v>17552000</v>
      </c>
      <c r="K2732" s="5">
        <v>342843000</v>
      </c>
      <c r="L2732" s="5">
        <v>1129814000</v>
      </c>
      <c r="M2732" s="5">
        <v>366051000</v>
      </c>
      <c r="N2732" s="5">
        <v>185407000</v>
      </c>
    </row>
    <row r="2733" spans="1:14" x14ac:dyDescent="0.25">
      <c r="A2733" s="3" t="s">
        <v>2744</v>
      </c>
      <c r="B2733" s="4">
        <v>8.11</v>
      </c>
      <c r="C2733" s="4">
        <v>0.09</v>
      </c>
      <c r="D2733" s="4">
        <v>0.05</v>
      </c>
      <c r="E2733" s="4">
        <v>-1.5168680695479331E-2</v>
      </c>
      <c r="F2733" s="3">
        <v>2731</v>
      </c>
      <c r="G2733" s="3">
        <v>3</v>
      </c>
      <c r="H2733" s="5">
        <v>1272862601.8399999</v>
      </c>
      <c r="I2733" s="5">
        <v>1696362601.8399999</v>
      </c>
      <c r="J2733" s="5">
        <v>802700000</v>
      </c>
      <c r="K2733" s="5">
        <v>379200000</v>
      </c>
      <c r="L2733" s="5">
        <v>1662400000</v>
      </c>
      <c r="M2733" s="5">
        <v>209100000</v>
      </c>
      <c r="N2733" s="5">
        <v>167900000</v>
      </c>
    </row>
    <row r="2734" spans="1:14" x14ac:dyDescent="0.25">
      <c r="A2734" s="3" t="s">
        <v>2745</v>
      </c>
      <c r="B2734" s="4">
        <v>8.15</v>
      </c>
      <c r="C2734" s="4">
        <v>0.1</v>
      </c>
      <c r="D2734" s="4">
        <v>0.02</v>
      </c>
      <c r="E2734" s="4">
        <v>-1.5170330990985701E-2</v>
      </c>
      <c r="F2734" s="3">
        <v>2732</v>
      </c>
      <c r="G2734" s="3">
        <v>3</v>
      </c>
      <c r="H2734" s="5">
        <v>849734686.08000004</v>
      </c>
      <c r="I2734" s="5">
        <v>752258686.08000004</v>
      </c>
      <c r="J2734" s="5">
        <v>0</v>
      </c>
      <c r="K2734" s="5">
        <v>97476000</v>
      </c>
      <c r="L2734" s="5">
        <v>425660000</v>
      </c>
      <c r="M2734" s="5">
        <v>92317000</v>
      </c>
      <c r="N2734" s="5">
        <v>38243000</v>
      </c>
    </row>
    <row r="2735" spans="1:14" x14ac:dyDescent="0.25">
      <c r="A2735" s="3" t="s">
        <v>2746</v>
      </c>
      <c r="B2735" s="4">
        <v>-1.84</v>
      </c>
      <c r="C2735" s="4">
        <v>-1.99</v>
      </c>
      <c r="D2735" s="4">
        <v>-0.73</v>
      </c>
      <c r="E2735" s="4">
        <v>-1.517075535894E-2</v>
      </c>
      <c r="F2735" s="3">
        <v>2733</v>
      </c>
      <c r="G2735" s="3">
        <v>3</v>
      </c>
      <c r="H2735" s="5">
        <v>85771231.739999995</v>
      </c>
      <c r="I2735" s="5">
        <v>80123551.739999995</v>
      </c>
      <c r="J2735" s="5">
        <v>9889800</v>
      </c>
      <c r="K2735" s="5">
        <v>15537480</v>
      </c>
      <c r="L2735" s="5">
        <v>667130</v>
      </c>
      <c r="M2735" s="5">
        <v>-43659630</v>
      </c>
      <c r="N2735" s="5">
        <v>-42241200</v>
      </c>
    </row>
    <row r="2736" spans="1:14" x14ac:dyDescent="0.25">
      <c r="A2736" s="3" t="s">
        <v>2747</v>
      </c>
      <c r="B2736" s="4">
        <v>8.74</v>
      </c>
      <c r="C2736" s="4">
        <v>0.22</v>
      </c>
      <c r="D2736" s="4">
        <v>0.11</v>
      </c>
      <c r="E2736" s="4">
        <v>-1.517140960374223E-2</v>
      </c>
      <c r="F2736" s="3">
        <v>2734</v>
      </c>
      <c r="G2736" s="3">
        <v>3</v>
      </c>
      <c r="H2736" s="5">
        <v>2747000728.5</v>
      </c>
      <c r="I2736" s="5">
        <v>3195059728.5</v>
      </c>
      <c r="J2736" s="5">
        <v>460183000</v>
      </c>
      <c r="K2736" s="5">
        <v>12124000</v>
      </c>
      <c r="L2736" s="5">
        <v>1634393000</v>
      </c>
      <c r="M2736" s="5">
        <v>365556000</v>
      </c>
      <c r="N2736" s="5">
        <v>166074000</v>
      </c>
    </row>
    <row r="2737" spans="1:14" x14ac:dyDescent="0.25">
      <c r="A2737" s="3" t="s">
        <v>2748</v>
      </c>
      <c r="B2737" s="4">
        <v>6.54</v>
      </c>
      <c r="C2737" s="4">
        <v>-0.25</v>
      </c>
      <c r="D2737" s="4">
        <v>0.09</v>
      </c>
      <c r="E2737" s="4">
        <v>-1.517164193321972E-2</v>
      </c>
      <c r="F2737" s="3">
        <v>2735</v>
      </c>
      <c r="G2737" s="3">
        <v>3</v>
      </c>
      <c r="H2737" s="5">
        <v>415179061</v>
      </c>
      <c r="I2737" s="5">
        <v>305430061</v>
      </c>
      <c r="J2737" s="5">
        <v>1300000</v>
      </c>
      <c r="K2737" s="5">
        <v>111049000</v>
      </c>
      <c r="L2737" s="5">
        <v>420933000</v>
      </c>
      <c r="M2737" s="5">
        <v>46684000</v>
      </c>
      <c r="N2737" s="5">
        <v>25534000</v>
      </c>
    </row>
    <row r="2738" spans="1:14" x14ac:dyDescent="0.25">
      <c r="A2738" s="3" t="s">
        <v>2749</v>
      </c>
      <c r="B2738" s="4">
        <v>12.56</v>
      </c>
      <c r="C2738" s="4">
        <v>1.04</v>
      </c>
      <c r="D2738" s="4">
        <v>0.06</v>
      </c>
      <c r="E2738" s="4">
        <v>-1.517605553772778E-2</v>
      </c>
      <c r="F2738" s="3">
        <v>2736</v>
      </c>
      <c r="G2738" s="3">
        <v>3</v>
      </c>
      <c r="H2738" s="5">
        <v>16840500</v>
      </c>
      <c r="I2738" s="5">
        <v>18497500</v>
      </c>
      <c r="J2738" s="5">
        <v>5000000</v>
      </c>
      <c r="K2738" s="5">
        <v>3343000</v>
      </c>
      <c r="L2738" s="5">
        <v>629832000</v>
      </c>
      <c r="M2738" s="5">
        <v>1473000</v>
      </c>
      <c r="N2738" s="5">
        <v>1412000</v>
      </c>
    </row>
    <row r="2739" spans="1:14" x14ac:dyDescent="0.25">
      <c r="A2739" s="3" t="s">
        <v>2750</v>
      </c>
      <c r="B2739" s="4">
        <v>-0.26</v>
      </c>
      <c r="C2739" s="4">
        <v>-1.67</v>
      </c>
      <c r="D2739" s="4">
        <v>-0.5</v>
      </c>
      <c r="E2739" s="4">
        <v>-1.517968682333294E-2</v>
      </c>
      <c r="F2739" s="3">
        <v>2737</v>
      </c>
      <c r="G2739" s="3">
        <v>3</v>
      </c>
      <c r="H2739" s="5">
        <v>799.98080000000004</v>
      </c>
      <c r="I2739" s="5">
        <v>4276799.9807999991</v>
      </c>
      <c r="J2739" s="5">
        <v>8578000</v>
      </c>
      <c r="K2739" s="5">
        <v>4302000</v>
      </c>
      <c r="L2739" s="5">
        <v>31187000</v>
      </c>
      <c r="M2739" s="5">
        <v>-16722000</v>
      </c>
      <c r="N2739" s="5">
        <v>-23039000</v>
      </c>
    </row>
    <row r="2740" spans="1:14" x14ac:dyDescent="0.25">
      <c r="A2740" s="3" t="s">
        <v>2751</v>
      </c>
      <c r="B2740" s="4">
        <v>11.4</v>
      </c>
      <c r="C2740" s="4">
        <v>0.79</v>
      </c>
      <c r="D2740" s="4">
        <v>0.06</v>
      </c>
      <c r="E2740" s="4">
        <v>-1.5180447852228249E-2</v>
      </c>
      <c r="F2740" s="3">
        <v>2738</v>
      </c>
      <c r="G2740" s="3">
        <v>3</v>
      </c>
      <c r="H2740" s="5">
        <v>26451628801.23</v>
      </c>
      <c r="I2740" s="5">
        <v>28534628801.23</v>
      </c>
      <c r="J2740" s="5">
        <v>6266000000</v>
      </c>
      <c r="K2740" s="5">
        <v>4183000000</v>
      </c>
      <c r="L2740" s="5">
        <v>13691000000</v>
      </c>
      <c r="M2740" s="5">
        <v>2502000000</v>
      </c>
      <c r="N2740" s="5">
        <v>1234000000</v>
      </c>
    </row>
    <row r="2741" spans="1:14" x14ac:dyDescent="0.25">
      <c r="A2741" s="3" t="s">
        <v>2752</v>
      </c>
      <c r="B2741" s="4">
        <v>8.57</v>
      </c>
      <c r="C2741" s="4">
        <v>0.18</v>
      </c>
      <c r="D2741" s="4">
        <v>0.11</v>
      </c>
      <c r="E2741" s="4">
        <v>-1.518176753494974E-2</v>
      </c>
      <c r="F2741" s="3">
        <v>2739</v>
      </c>
      <c r="G2741" s="3">
        <v>3</v>
      </c>
      <c r="H2741" s="5">
        <v>108053582</v>
      </c>
      <c r="I2741" s="5">
        <v>89359242</v>
      </c>
      <c r="J2741" s="5">
        <v>1622020</v>
      </c>
      <c r="K2741" s="5">
        <v>20316360</v>
      </c>
      <c r="L2741" s="5">
        <v>64168030</v>
      </c>
      <c r="M2741" s="5">
        <v>10428050</v>
      </c>
      <c r="N2741" s="5">
        <v>7534230</v>
      </c>
    </row>
    <row r="2742" spans="1:14" x14ac:dyDescent="0.25">
      <c r="A2742" s="3" t="s">
        <v>2753</v>
      </c>
      <c r="B2742" s="4">
        <v>-3.29</v>
      </c>
      <c r="C2742" s="4">
        <v>-2.25</v>
      </c>
      <c r="D2742" s="4">
        <v>-1.56</v>
      </c>
      <c r="E2742" s="4">
        <v>-1.518466352117266E-2</v>
      </c>
      <c r="F2742" s="3">
        <v>2740</v>
      </c>
      <c r="G2742" s="3">
        <v>3</v>
      </c>
      <c r="H2742" s="5">
        <v>133658353.16</v>
      </c>
      <c r="I2742" s="5">
        <v>103337353.16</v>
      </c>
      <c r="J2742" s="5">
        <v>0</v>
      </c>
      <c r="K2742" s="5">
        <v>30321000</v>
      </c>
      <c r="L2742" s="5">
        <v>10992000</v>
      </c>
      <c r="M2742" s="5">
        <v>-31364000</v>
      </c>
      <c r="N2742" s="5">
        <v>-57532000</v>
      </c>
    </row>
    <row r="2743" spans="1:14" x14ac:dyDescent="0.25">
      <c r="A2743" s="3" t="s">
        <v>2754</v>
      </c>
      <c r="B2743" s="4">
        <v>-0.84</v>
      </c>
      <c r="C2743" s="4">
        <v>-1.73</v>
      </c>
      <c r="D2743" s="4">
        <v>-1.49</v>
      </c>
      <c r="E2743" s="4">
        <v>-1.518504816616228E-2</v>
      </c>
      <c r="F2743" s="3">
        <v>2741</v>
      </c>
      <c r="G2743" s="3">
        <v>3</v>
      </c>
      <c r="H2743" s="5">
        <v>24652427.060699999</v>
      </c>
      <c r="I2743" s="5">
        <v>7414427.0606999993</v>
      </c>
      <c r="J2743" s="5">
        <v>0</v>
      </c>
      <c r="K2743" s="5">
        <v>17238000</v>
      </c>
      <c r="L2743" s="5">
        <v>1300000</v>
      </c>
      <c r="M2743" s="5">
        <v>-8856000</v>
      </c>
      <c r="N2743" s="5">
        <v>-30708000</v>
      </c>
    </row>
    <row r="2744" spans="1:14" x14ac:dyDescent="0.25">
      <c r="A2744" s="3" t="s">
        <v>2755</v>
      </c>
      <c r="B2744" s="4">
        <v>9.36</v>
      </c>
      <c r="C2744" s="4">
        <v>0.35</v>
      </c>
      <c r="D2744" s="4">
        <v>0.05</v>
      </c>
      <c r="E2744" s="4">
        <v>-1.519109762523811E-2</v>
      </c>
      <c r="F2744" s="3">
        <v>2742</v>
      </c>
      <c r="G2744" s="3">
        <v>3</v>
      </c>
      <c r="H2744" s="5">
        <v>2402369458</v>
      </c>
      <c r="I2744" s="5">
        <v>2770255458</v>
      </c>
      <c r="J2744" s="5">
        <v>452062000</v>
      </c>
      <c r="K2744" s="5">
        <v>84176000</v>
      </c>
      <c r="L2744" s="5">
        <v>3581699000</v>
      </c>
      <c r="M2744" s="5">
        <v>295893000</v>
      </c>
      <c r="N2744" s="5">
        <v>156783000</v>
      </c>
    </row>
    <row r="2745" spans="1:14" x14ac:dyDescent="0.25">
      <c r="A2745" s="3" t="s">
        <v>2756</v>
      </c>
      <c r="B2745" s="4">
        <v>7.76</v>
      </c>
      <c r="C2745" s="4">
        <v>0.01</v>
      </c>
      <c r="D2745" s="4">
        <v>0</v>
      </c>
      <c r="E2745" s="4">
        <v>-1.5192852485084819E-2</v>
      </c>
      <c r="F2745" s="3">
        <v>2743</v>
      </c>
      <c r="G2745" s="3">
        <v>3</v>
      </c>
      <c r="H2745" s="5">
        <v>1674306150</v>
      </c>
      <c r="I2745" s="5">
        <v>5777032150</v>
      </c>
      <c r="J2745" s="5">
        <v>5804213000</v>
      </c>
      <c r="K2745" s="5">
        <v>1701487000</v>
      </c>
      <c r="L2745" s="5">
        <v>5993409000</v>
      </c>
      <c r="M2745" s="5">
        <v>744552000</v>
      </c>
      <c r="N2745" s="5">
        <v>36051000</v>
      </c>
    </row>
    <row r="2746" spans="1:14" x14ac:dyDescent="0.25">
      <c r="A2746" s="3" t="s">
        <v>2757</v>
      </c>
      <c r="B2746" s="4">
        <v>8.58</v>
      </c>
      <c r="C2746" s="4">
        <v>0.18</v>
      </c>
      <c r="D2746" s="4">
        <v>0.08</v>
      </c>
      <c r="E2746" s="4">
        <v>-1.519374382037933E-2</v>
      </c>
      <c r="F2746" s="3">
        <v>2744</v>
      </c>
      <c r="G2746" s="3">
        <v>3</v>
      </c>
      <c r="H2746" s="5">
        <v>3461395952</v>
      </c>
      <c r="I2746" s="5">
        <v>4180093952</v>
      </c>
      <c r="J2746" s="5">
        <v>1013349000</v>
      </c>
      <c r="K2746" s="5">
        <v>294651000</v>
      </c>
      <c r="L2746" s="5">
        <v>1330548000</v>
      </c>
      <c r="M2746" s="5">
        <v>487371000</v>
      </c>
      <c r="N2746" s="5">
        <v>301662000</v>
      </c>
    </row>
    <row r="2747" spans="1:14" x14ac:dyDescent="0.25">
      <c r="A2747" s="3" t="s">
        <v>2758</v>
      </c>
      <c r="B2747" s="4">
        <v>9.68</v>
      </c>
      <c r="C2747" s="4">
        <v>0.43</v>
      </c>
      <c r="D2747" s="4">
        <v>-0.14000000000000001</v>
      </c>
      <c r="E2747" s="4">
        <v>-1.519465485640153E-2</v>
      </c>
      <c r="F2747" s="3">
        <v>2745</v>
      </c>
      <c r="G2747" s="3">
        <v>3</v>
      </c>
      <c r="H2747" s="5">
        <v>1846785.9698999999</v>
      </c>
      <c r="I2747" s="5">
        <v>3412015.9698999999</v>
      </c>
      <c r="J2747" s="5">
        <v>1722400</v>
      </c>
      <c r="K2747" s="5">
        <v>157170</v>
      </c>
      <c r="L2747" s="5">
        <v>2131930</v>
      </c>
      <c r="M2747" s="5">
        <v>352320</v>
      </c>
      <c r="N2747" s="5">
        <v>-259240</v>
      </c>
    </row>
    <row r="2748" spans="1:14" x14ac:dyDescent="0.25">
      <c r="A2748" s="3" t="s">
        <v>2759</v>
      </c>
      <c r="B2748" s="4">
        <v>8.69</v>
      </c>
      <c r="C2748" s="4">
        <v>0.21</v>
      </c>
      <c r="D2748" s="4">
        <v>-0.04</v>
      </c>
      <c r="E2748" s="4">
        <v>-1.519829258093388E-2</v>
      </c>
      <c r="F2748" s="3">
        <v>2746</v>
      </c>
      <c r="G2748" s="3">
        <v>3</v>
      </c>
      <c r="H2748" s="5">
        <v>77883110.159999996</v>
      </c>
      <c r="I2748" s="5">
        <v>691883110.15999997</v>
      </c>
      <c r="J2748" s="5">
        <v>662800000</v>
      </c>
      <c r="K2748" s="5">
        <v>48800000</v>
      </c>
      <c r="L2748" s="5">
        <v>1107100000</v>
      </c>
      <c r="M2748" s="5">
        <v>79600000</v>
      </c>
      <c r="N2748" s="5">
        <v>-34600000</v>
      </c>
    </row>
    <row r="2749" spans="1:14" x14ac:dyDescent="0.25">
      <c r="A2749" s="3" t="s">
        <v>2760</v>
      </c>
      <c r="B2749" s="4">
        <v>8.44</v>
      </c>
      <c r="C2749" s="4">
        <v>0.15</v>
      </c>
      <c r="D2749" s="4">
        <v>0.04</v>
      </c>
      <c r="E2749" s="4">
        <v>-1.5201491867973651E-2</v>
      </c>
      <c r="F2749" s="3">
        <v>2747</v>
      </c>
      <c r="G2749" s="3">
        <v>3</v>
      </c>
      <c r="H2749" s="5">
        <v>8960861895.2999992</v>
      </c>
      <c r="I2749" s="5">
        <v>15685861895.299999</v>
      </c>
      <c r="J2749" s="5">
        <v>6857000000</v>
      </c>
      <c r="K2749" s="5">
        <v>132000000</v>
      </c>
      <c r="L2749" s="5">
        <v>10253000000</v>
      </c>
      <c r="M2749" s="5">
        <v>1859000000</v>
      </c>
      <c r="N2749" s="5">
        <v>602000000</v>
      </c>
    </row>
    <row r="2750" spans="1:14" x14ac:dyDescent="0.25">
      <c r="A2750" s="3" t="s">
        <v>2761</v>
      </c>
      <c r="B2750" s="4">
        <v>-0.75</v>
      </c>
      <c r="C2750" s="4">
        <v>-1.77</v>
      </c>
      <c r="D2750" s="4">
        <v>-0.69</v>
      </c>
      <c r="E2750" s="4">
        <v>-1.520200331929334E-2</v>
      </c>
      <c r="F2750" s="3">
        <v>2748</v>
      </c>
      <c r="G2750" s="3">
        <v>3</v>
      </c>
      <c r="H2750" s="5">
        <v>249978055.91999999</v>
      </c>
      <c r="I2750" s="5">
        <v>175871055.91999999</v>
      </c>
      <c r="J2750" s="5">
        <v>57434000</v>
      </c>
      <c r="K2750" s="5">
        <v>131541000</v>
      </c>
      <c r="L2750" s="5">
        <v>32314000</v>
      </c>
      <c r="M2750" s="5">
        <v>-233111000</v>
      </c>
      <c r="N2750" s="5">
        <v>-237093000</v>
      </c>
    </row>
    <row r="2751" spans="1:14" x14ac:dyDescent="0.25">
      <c r="A2751" s="3" t="s">
        <v>2762</v>
      </c>
      <c r="B2751" s="4">
        <v>7.75</v>
      </c>
      <c r="C2751" s="4">
        <v>0</v>
      </c>
      <c r="D2751" s="4">
        <v>0</v>
      </c>
      <c r="E2751" s="4">
        <v>-1.52155568864022E-2</v>
      </c>
      <c r="F2751" s="3">
        <v>2749</v>
      </c>
      <c r="G2751" s="3">
        <v>3</v>
      </c>
      <c r="H2751" s="5">
        <v>32748240.420000002</v>
      </c>
      <c r="I2751" s="5">
        <v>-90632759.579999998</v>
      </c>
      <c r="J2751" s="5">
        <v>87390000</v>
      </c>
      <c r="K2751" s="5">
        <v>210771000</v>
      </c>
      <c r="L2751" s="5">
        <v>251076000</v>
      </c>
      <c r="M2751" s="5">
        <v>-11698000</v>
      </c>
      <c r="N2751" s="5">
        <v>801000</v>
      </c>
    </row>
    <row r="2752" spans="1:14" x14ac:dyDescent="0.25">
      <c r="A2752" s="3" t="s">
        <v>2763</v>
      </c>
      <c r="B2752" s="4">
        <v>8.9499999999999993</v>
      </c>
      <c r="C2752" s="4">
        <v>0.24</v>
      </c>
      <c r="D2752" s="4">
        <v>0.22</v>
      </c>
      <c r="E2752" s="4">
        <v>-1.522237641699938E-2</v>
      </c>
      <c r="F2752" s="3">
        <v>2750</v>
      </c>
      <c r="G2752" s="3">
        <v>3</v>
      </c>
      <c r="H2752" s="5">
        <v>2826244576.0799999</v>
      </c>
      <c r="I2752" s="5">
        <v>2848725576.0799999</v>
      </c>
      <c r="J2752" s="5">
        <v>25000000</v>
      </c>
      <c r="K2752" s="5">
        <v>2519000</v>
      </c>
      <c r="L2752" s="5">
        <v>433699000</v>
      </c>
      <c r="M2752" s="5">
        <v>318302000</v>
      </c>
      <c r="N2752" s="5">
        <v>271326000</v>
      </c>
    </row>
    <row r="2753" spans="1:14" x14ac:dyDescent="0.25">
      <c r="A2753" s="3" t="s">
        <v>2764</v>
      </c>
      <c r="B2753" s="4">
        <v>7.14</v>
      </c>
      <c r="C2753" s="4">
        <v>-0.13</v>
      </c>
      <c r="D2753" s="4">
        <v>-0.06</v>
      </c>
      <c r="E2753" s="4">
        <v>-1.5225206389533461E-2</v>
      </c>
      <c r="F2753" s="3">
        <v>2751</v>
      </c>
      <c r="G2753" s="3">
        <v>3</v>
      </c>
      <c r="H2753" s="5">
        <v>981779953.85000002</v>
      </c>
      <c r="I2753" s="5">
        <v>1290326953.8499999</v>
      </c>
      <c r="J2753" s="5">
        <v>585321000</v>
      </c>
      <c r="K2753" s="5">
        <v>276774000</v>
      </c>
      <c r="L2753" s="5">
        <v>700966000</v>
      </c>
      <c r="M2753" s="5">
        <v>180831000</v>
      </c>
      <c r="N2753" s="5">
        <v>-99560000</v>
      </c>
    </row>
    <row r="2754" spans="1:14" x14ac:dyDescent="0.25">
      <c r="A2754" s="3" t="s">
        <v>2765</v>
      </c>
      <c r="B2754" s="4">
        <v>0.69</v>
      </c>
      <c r="C2754" s="4">
        <v>-1.46</v>
      </c>
      <c r="D2754" s="4">
        <v>-0.85</v>
      </c>
      <c r="E2754" s="4">
        <v>-1.5228411547464391E-2</v>
      </c>
      <c r="F2754" s="3">
        <v>2752</v>
      </c>
      <c r="G2754" s="3">
        <v>3</v>
      </c>
      <c r="H2754" s="5">
        <v>1072.3857</v>
      </c>
      <c r="I2754" s="5">
        <v>-14036927.6143</v>
      </c>
      <c r="J2754" s="5">
        <v>5124000</v>
      </c>
      <c r="K2754" s="5">
        <v>19162000</v>
      </c>
      <c r="L2754" s="5">
        <v>6426000</v>
      </c>
      <c r="M2754" s="5">
        <v>-20430000</v>
      </c>
      <c r="N2754" s="5">
        <v>-22027000</v>
      </c>
    </row>
    <row r="2755" spans="1:14" x14ac:dyDescent="0.25">
      <c r="A2755" s="3" t="s">
        <v>2766</v>
      </c>
      <c r="B2755" s="4">
        <v>8.2200000000000006</v>
      </c>
      <c r="C2755" s="4">
        <v>0.09</v>
      </c>
      <c r="D2755" s="4">
        <v>0.06</v>
      </c>
      <c r="E2755" s="4">
        <v>-1.5234832931569679E-2</v>
      </c>
      <c r="F2755" s="3">
        <v>2753</v>
      </c>
      <c r="G2755" s="3">
        <v>3</v>
      </c>
      <c r="H2755" s="5">
        <v>144523546.08000001</v>
      </c>
      <c r="I2755" s="5">
        <v>166035536.08000001</v>
      </c>
      <c r="J2755" s="5">
        <v>27910680</v>
      </c>
      <c r="K2755" s="5">
        <v>6398690</v>
      </c>
      <c r="L2755" s="5">
        <v>194489990</v>
      </c>
      <c r="M2755" s="5">
        <v>20209170</v>
      </c>
      <c r="N2755" s="5">
        <v>10022350</v>
      </c>
    </row>
    <row r="2756" spans="1:14" x14ac:dyDescent="0.25">
      <c r="A2756" s="3" t="s">
        <v>2767</v>
      </c>
      <c r="B2756" s="4">
        <v>8.2200000000000006</v>
      </c>
      <c r="C2756" s="4">
        <v>0.09</v>
      </c>
      <c r="D2756" s="4">
        <v>0.05</v>
      </c>
      <c r="E2756" s="4">
        <v>-1.523676195814719E-2</v>
      </c>
      <c r="F2756" s="3">
        <v>2754</v>
      </c>
      <c r="G2756" s="3">
        <v>3</v>
      </c>
      <c r="H2756" s="5">
        <v>1261093080.4000001</v>
      </c>
      <c r="I2756" s="5">
        <v>1497494250.4000001</v>
      </c>
      <c r="J2756" s="5">
        <v>553278750</v>
      </c>
      <c r="K2756" s="5">
        <v>316877580</v>
      </c>
      <c r="L2756" s="5">
        <v>353341480</v>
      </c>
      <c r="M2756" s="5">
        <v>182244430</v>
      </c>
      <c r="N2756" s="5">
        <v>90170480</v>
      </c>
    </row>
    <row r="2757" spans="1:14" x14ac:dyDescent="0.25">
      <c r="A2757" s="3" t="s">
        <v>2768</v>
      </c>
      <c r="B2757" s="4">
        <v>9.31</v>
      </c>
      <c r="C2757" s="4">
        <v>0.31</v>
      </c>
      <c r="D2757" s="4">
        <v>0.25</v>
      </c>
      <c r="E2757" s="4">
        <v>-1.523714549326044E-2</v>
      </c>
      <c r="F2757" s="3">
        <v>2755</v>
      </c>
      <c r="G2757" s="3">
        <v>3</v>
      </c>
      <c r="H2757" s="5">
        <v>50814425.299999997</v>
      </c>
      <c r="I2757" s="5">
        <v>32894425.300000001</v>
      </c>
      <c r="J2757" s="5">
        <v>0</v>
      </c>
      <c r="K2757" s="5">
        <v>17920000</v>
      </c>
      <c r="L2757" s="5">
        <v>42440000</v>
      </c>
      <c r="M2757" s="5">
        <v>3533000</v>
      </c>
      <c r="N2757" s="5">
        <v>13401000</v>
      </c>
    </row>
    <row r="2758" spans="1:14" x14ac:dyDescent="0.25">
      <c r="A2758" s="3" t="s">
        <v>2769</v>
      </c>
      <c r="B2758" s="4">
        <v>7.5</v>
      </c>
      <c r="C2758" s="4">
        <v>-0.06</v>
      </c>
      <c r="D2758" s="4">
        <v>-0.02</v>
      </c>
      <c r="E2758" s="4">
        <v>-1.523804643921702E-2</v>
      </c>
      <c r="F2758" s="3">
        <v>2756</v>
      </c>
      <c r="G2758" s="3">
        <v>3</v>
      </c>
      <c r="H2758" s="5">
        <v>342219037.24000001</v>
      </c>
      <c r="I2758" s="5">
        <v>838718037.24000001</v>
      </c>
      <c r="J2758" s="5">
        <v>552586000</v>
      </c>
      <c r="K2758" s="5">
        <v>56087000</v>
      </c>
      <c r="L2758" s="5">
        <v>602224000</v>
      </c>
      <c r="M2758" s="5">
        <v>111836000</v>
      </c>
      <c r="N2758" s="5">
        <v>-23235000</v>
      </c>
    </row>
    <row r="2759" spans="1:14" x14ac:dyDescent="0.25">
      <c r="A2759" s="3" t="s">
        <v>2770</v>
      </c>
      <c r="B2759" s="4">
        <v>8.1199999999999992</v>
      </c>
      <c r="C2759" s="4">
        <v>7.0000000000000007E-2</v>
      </c>
      <c r="D2759" s="4">
        <v>0.02</v>
      </c>
      <c r="E2759" s="4">
        <v>-1.523844419493784E-2</v>
      </c>
      <c r="F2759" s="3">
        <v>2757</v>
      </c>
      <c r="G2759" s="3">
        <v>3</v>
      </c>
      <c r="H2759" s="5">
        <v>4295016403.6000004</v>
      </c>
      <c r="I2759" s="5">
        <v>6366616403.6000004</v>
      </c>
      <c r="J2759" s="5">
        <v>2340600000</v>
      </c>
      <c r="K2759" s="5">
        <v>269000000</v>
      </c>
      <c r="L2759" s="5">
        <v>5237100000</v>
      </c>
      <c r="M2759" s="5">
        <v>784200000</v>
      </c>
      <c r="N2759" s="5">
        <v>130100000</v>
      </c>
    </row>
    <row r="2760" spans="1:14" x14ac:dyDescent="0.25">
      <c r="A2760" s="3" t="s">
        <v>2771</v>
      </c>
      <c r="B2760" s="4">
        <v>8.5</v>
      </c>
      <c r="C2760" s="4">
        <v>0.15</v>
      </c>
      <c r="D2760" s="4">
        <v>0.03</v>
      </c>
      <c r="E2760" s="4">
        <v>-1.524055612873362E-2</v>
      </c>
      <c r="F2760" s="3">
        <v>2758</v>
      </c>
      <c r="G2760" s="3">
        <v>3</v>
      </c>
      <c r="H2760" s="5">
        <v>1536259491.97</v>
      </c>
      <c r="I2760" s="5">
        <v>3245749491.9699998</v>
      </c>
      <c r="J2760" s="5">
        <v>1717698000</v>
      </c>
      <c r="K2760" s="5">
        <v>8208000</v>
      </c>
      <c r="L2760" s="5">
        <v>17163566000</v>
      </c>
      <c r="M2760" s="5">
        <v>381906000</v>
      </c>
      <c r="N2760" s="5">
        <v>110327000</v>
      </c>
    </row>
    <row r="2761" spans="1:14" x14ac:dyDescent="0.25">
      <c r="A2761" s="3" t="s">
        <v>2772</v>
      </c>
      <c r="B2761" s="4">
        <v>8.32</v>
      </c>
      <c r="C2761" s="4">
        <v>0.11</v>
      </c>
      <c r="D2761" s="4">
        <v>0.04</v>
      </c>
      <c r="E2761" s="4">
        <v>-1.524279582766655E-2</v>
      </c>
      <c r="F2761" s="3">
        <v>2759</v>
      </c>
      <c r="G2761" s="3">
        <v>3</v>
      </c>
      <c r="H2761" s="5">
        <v>208318775</v>
      </c>
      <c r="I2761" s="5">
        <v>248370505</v>
      </c>
      <c r="J2761" s="5">
        <v>79645810</v>
      </c>
      <c r="K2761" s="5">
        <v>39594080</v>
      </c>
      <c r="L2761" s="5">
        <v>554419770</v>
      </c>
      <c r="M2761" s="5">
        <v>29856200</v>
      </c>
      <c r="N2761" s="5">
        <v>20319820</v>
      </c>
    </row>
    <row r="2762" spans="1:14" x14ac:dyDescent="0.25">
      <c r="A2762" s="3" t="s">
        <v>2773</v>
      </c>
      <c r="B2762" s="4">
        <v>10.119999999999999</v>
      </c>
      <c r="C2762" s="4">
        <v>0.49</v>
      </c>
      <c r="D2762" s="4">
        <v>0.12</v>
      </c>
      <c r="E2762" s="4">
        <v>-1.524346357397104E-2</v>
      </c>
      <c r="F2762" s="3">
        <v>2760</v>
      </c>
      <c r="G2762" s="3">
        <v>3</v>
      </c>
      <c r="H2762" s="5">
        <v>15605836481.25</v>
      </c>
      <c r="I2762" s="5">
        <v>22453051481.25</v>
      </c>
      <c r="J2762" s="5">
        <v>7937679000</v>
      </c>
      <c r="K2762" s="5">
        <v>1090464000</v>
      </c>
      <c r="L2762" s="5">
        <v>3605223000</v>
      </c>
      <c r="M2762" s="5">
        <v>2218210000</v>
      </c>
      <c r="N2762" s="5">
        <v>1573571000</v>
      </c>
    </row>
    <row r="2763" spans="1:14" x14ac:dyDescent="0.25">
      <c r="A2763" s="3" t="s">
        <v>2774</v>
      </c>
      <c r="B2763" s="4">
        <v>8.65</v>
      </c>
      <c r="C2763" s="4">
        <v>0.18</v>
      </c>
      <c r="D2763" s="4">
        <v>0.03</v>
      </c>
      <c r="E2763" s="4">
        <v>-1.5246713393146399E-2</v>
      </c>
      <c r="F2763" s="3">
        <v>2761</v>
      </c>
      <c r="G2763" s="3">
        <v>3</v>
      </c>
      <c r="H2763" s="5">
        <v>820629234.36000001</v>
      </c>
      <c r="I2763" s="5">
        <v>3076071234.3600001</v>
      </c>
      <c r="J2763" s="5">
        <v>2264552000</v>
      </c>
      <c r="K2763" s="5">
        <v>9110000</v>
      </c>
      <c r="L2763" s="5">
        <v>569223000</v>
      </c>
      <c r="M2763" s="5">
        <v>355599000</v>
      </c>
      <c r="N2763" s="5">
        <v>108612000</v>
      </c>
    </row>
    <row r="2764" spans="1:14" x14ac:dyDescent="0.25">
      <c r="A2764" s="3" t="s">
        <v>2775</v>
      </c>
      <c r="B2764" s="4">
        <v>8.14</v>
      </c>
      <c r="C2764" s="4">
        <v>7.0000000000000007E-2</v>
      </c>
      <c r="D2764" s="4">
        <v>0.04</v>
      </c>
      <c r="E2764" s="4">
        <v>-1.524696455317699E-2</v>
      </c>
      <c r="F2764" s="3">
        <v>2762</v>
      </c>
      <c r="G2764" s="3">
        <v>3</v>
      </c>
      <c r="H2764" s="5">
        <v>1926560591.3399999</v>
      </c>
      <c r="I2764" s="5">
        <v>2383785591.3400002</v>
      </c>
      <c r="J2764" s="5">
        <v>597765000</v>
      </c>
      <c r="K2764" s="5">
        <v>140540000</v>
      </c>
      <c r="L2764" s="5">
        <v>1966845000</v>
      </c>
      <c r="M2764" s="5">
        <v>292944000</v>
      </c>
      <c r="N2764" s="5">
        <v>93125000</v>
      </c>
    </row>
    <row r="2765" spans="1:14" x14ac:dyDescent="0.25">
      <c r="A2765" s="3" t="s">
        <v>2776</v>
      </c>
      <c r="B2765" s="4">
        <v>6.25</v>
      </c>
      <c r="C2765" s="4">
        <v>-0.33</v>
      </c>
      <c r="D2765" s="4">
        <v>-0.08</v>
      </c>
      <c r="E2765" s="4">
        <v>-1.5256097275937739E-2</v>
      </c>
      <c r="F2765" s="3">
        <v>2763</v>
      </c>
      <c r="G2765" s="3">
        <v>3</v>
      </c>
      <c r="H2765" s="5">
        <v>22828382.5</v>
      </c>
      <c r="I2765" s="5">
        <v>39345382.5</v>
      </c>
      <c r="J2765" s="5">
        <v>25003000</v>
      </c>
      <c r="K2765" s="5">
        <v>8486000</v>
      </c>
      <c r="L2765" s="5">
        <v>168903000</v>
      </c>
      <c r="M2765" s="5">
        <v>6298000</v>
      </c>
      <c r="N2765" s="5">
        <v>-5292000</v>
      </c>
    </row>
    <row r="2766" spans="1:14" x14ac:dyDescent="0.25">
      <c r="A2766" s="3" t="s">
        <v>2777</v>
      </c>
      <c r="B2766" s="4">
        <v>8.16</v>
      </c>
      <c r="C2766" s="4">
        <v>7.0000000000000007E-2</v>
      </c>
      <c r="D2766" s="4">
        <v>0.05</v>
      </c>
      <c r="E2766" s="4">
        <v>-1.525741393799364E-2</v>
      </c>
      <c r="F2766" s="3">
        <v>2764</v>
      </c>
      <c r="G2766" s="3">
        <v>3</v>
      </c>
      <c r="H2766" s="5">
        <v>1787511514.3199999</v>
      </c>
      <c r="I2766" s="5">
        <v>1650437514.3199999</v>
      </c>
      <c r="J2766" s="5">
        <v>0</v>
      </c>
      <c r="K2766" s="5">
        <v>137074000</v>
      </c>
      <c r="L2766" s="5">
        <v>1219930000</v>
      </c>
      <c r="M2766" s="5">
        <v>202354000</v>
      </c>
      <c r="N2766" s="5">
        <v>112684000</v>
      </c>
    </row>
    <row r="2767" spans="1:14" x14ac:dyDescent="0.25">
      <c r="A2767" s="3" t="s">
        <v>2778</v>
      </c>
      <c r="B2767" s="4">
        <v>-1.47</v>
      </c>
      <c r="C2767" s="4">
        <v>-1.9</v>
      </c>
      <c r="D2767" s="4">
        <v>-1.35</v>
      </c>
      <c r="E2767" s="4">
        <v>-1.52593131544071E-2</v>
      </c>
      <c r="F2767" s="3">
        <v>2765</v>
      </c>
      <c r="G2767" s="3">
        <v>3</v>
      </c>
      <c r="H2767" s="5">
        <v>9835778</v>
      </c>
      <c r="I2767" s="5">
        <v>12229908</v>
      </c>
      <c r="J2767" s="5">
        <v>2683560</v>
      </c>
      <c r="K2767" s="5">
        <v>289430</v>
      </c>
      <c r="L2767" s="5">
        <v>869460</v>
      </c>
      <c r="M2767" s="5">
        <v>-8321310</v>
      </c>
      <c r="N2767" s="5">
        <v>-28301330</v>
      </c>
    </row>
    <row r="2768" spans="1:14" x14ac:dyDescent="0.25">
      <c r="A2768" s="3" t="s">
        <v>2779</v>
      </c>
      <c r="B2768" s="4">
        <v>8.68</v>
      </c>
      <c r="C2768" s="4">
        <v>0.18</v>
      </c>
      <c r="D2768" s="4">
        <v>0.06</v>
      </c>
      <c r="E2768" s="4">
        <v>-1.525949393050512E-2</v>
      </c>
      <c r="F2768" s="3">
        <v>2766</v>
      </c>
      <c r="G2768" s="3">
        <v>3</v>
      </c>
      <c r="H2768" s="5">
        <v>3079221524.8499999</v>
      </c>
      <c r="I2768" s="5">
        <v>5275221524.8500004</v>
      </c>
      <c r="J2768" s="5">
        <v>2584000000</v>
      </c>
      <c r="K2768" s="5">
        <v>388000000</v>
      </c>
      <c r="L2768" s="5">
        <v>5127000000</v>
      </c>
      <c r="M2768" s="5">
        <v>608000000</v>
      </c>
      <c r="N2768" s="5">
        <v>335000000</v>
      </c>
    </row>
    <row r="2769" spans="1:14" x14ac:dyDescent="0.25">
      <c r="A2769" s="3" t="s">
        <v>2780</v>
      </c>
      <c r="B2769" s="4">
        <v>8.17</v>
      </c>
      <c r="C2769" s="4">
        <v>7.0000000000000007E-2</v>
      </c>
      <c r="D2769" s="4">
        <v>0.05</v>
      </c>
      <c r="E2769" s="4">
        <v>-1.526360314369072E-2</v>
      </c>
      <c r="F2769" s="3">
        <v>2767</v>
      </c>
      <c r="G2769" s="3">
        <v>3</v>
      </c>
      <c r="H2769" s="5">
        <v>1739957378.3399999</v>
      </c>
      <c r="I2769" s="5">
        <v>1957757378.3399999</v>
      </c>
      <c r="J2769" s="5">
        <v>250400000</v>
      </c>
      <c r="K2769" s="5">
        <v>32600000</v>
      </c>
      <c r="L2769" s="5">
        <v>4280200000</v>
      </c>
      <c r="M2769" s="5">
        <v>239500000</v>
      </c>
      <c r="N2769" s="5">
        <v>142200000</v>
      </c>
    </row>
    <row r="2770" spans="1:14" x14ac:dyDescent="0.25">
      <c r="A2770" s="3" t="s">
        <v>2781</v>
      </c>
      <c r="B2770" s="4">
        <v>8.42</v>
      </c>
      <c r="C2770" s="4">
        <v>0.13</v>
      </c>
      <c r="D2770" s="4">
        <v>-0.06</v>
      </c>
      <c r="E2770" s="4">
        <v>-1.526619093638347E-2</v>
      </c>
      <c r="F2770" s="3">
        <v>2768</v>
      </c>
      <c r="G2770" s="3">
        <v>3</v>
      </c>
      <c r="H2770" s="5">
        <v>65234219.232000001</v>
      </c>
      <c r="I2770" s="5">
        <v>102078639.23199999</v>
      </c>
      <c r="J2770" s="5">
        <v>54962460</v>
      </c>
      <c r="K2770" s="5">
        <v>18118040</v>
      </c>
      <c r="L2770" s="5">
        <v>31737470</v>
      </c>
      <c r="M2770" s="5">
        <v>12121280</v>
      </c>
      <c r="N2770" s="5">
        <v>-2627110</v>
      </c>
    </row>
    <row r="2771" spans="1:14" x14ac:dyDescent="0.25">
      <c r="A2771" s="3" t="s">
        <v>2782</v>
      </c>
      <c r="B2771" s="4">
        <v>7.07</v>
      </c>
      <c r="C2771" s="4">
        <v>-0.16</v>
      </c>
      <c r="D2771" s="4">
        <v>-0.06</v>
      </c>
      <c r="E2771" s="4">
        <v>-1.5268562770697301E-2</v>
      </c>
      <c r="F2771" s="3">
        <v>2769</v>
      </c>
      <c r="G2771" s="3">
        <v>3</v>
      </c>
      <c r="H2771" s="5">
        <v>14072.948700000001</v>
      </c>
      <c r="I2771" s="5">
        <v>407542072.94870001</v>
      </c>
      <c r="J2771" s="5">
        <v>452721000</v>
      </c>
      <c r="K2771" s="5">
        <v>45193000</v>
      </c>
      <c r="L2771" s="5">
        <v>347477000</v>
      </c>
      <c r="M2771" s="5">
        <v>57632000</v>
      </c>
      <c r="N2771" s="5">
        <v>-48004000</v>
      </c>
    </row>
    <row r="2772" spans="1:14" x14ac:dyDescent="0.25">
      <c r="A2772" s="3" t="s">
        <v>2783</v>
      </c>
      <c r="B2772" s="4">
        <v>7.56</v>
      </c>
      <c r="C2772" s="4">
        <v>-0.06</v>
      </c>
      <c r="D2772" s="4">
        <v>-0.02</v>
      </c>
      <c r="E2772" s="4">
        <v>-1.5275181673399489E-2</v>
      </c>
      <c r="F2772" s="3">
        <v>2770</v>
      </c>
      <c r="G2772" s="3">
        <v>3</v>
      </c>
      <c r="H2772" s="5">
        <v>14032092.060000001</v>
      </c>
      <c r="I2772" s="5">
        <v>105343092.06</v>
      </c>
      <c r="J2772" s="5">
        <v>97723000</v>
      </c>
      <c r="K2772" s="5">
        <v>6412000</v>
      </c>
      <c r="L2772" s="5">
        <v>45439000</v>
      </c>
      <c r="M2772" s="5">
        <v>13933000</v>
      </c>
      <c r="N2772" s="5">
        <v>-3383000</v>
      </c>
    </row>
    <row r="2773" spans="1:14" x14ac:dyDescent="0.25">
      <c r="A2773" s="3" t="s">
        <v>2784</v>
      </c>
      <c r="B2773" s="4">
        <v>8.18</v>
      </c>
      <c r="C2773" s="4">
        <v>7.0000000000000007E-2</v>
      </c>
      <c r="D2773" s="4">
        <v>0.01</v>
      </c>
      <c r="E2773" s="4">
        <v>-1.527750845569782E-2</v>
      </c>
      <c r="F2773" s="3">
        <v>2771</v>
      </c>
      <c r="G2773" s="3">
        <v>3</v>
      </c>
      <c r="H2773" s="5">
        <v>304486924.01999998</v>
      </c>
      <c r="I2773" s="5">
        <v>275215924.01999998</v>
      </c>
      <c r="J2773" s="5">
        <v>0</v>
      </c>
      <c r="K2773" s="5">
        <v>29271000</v>
      </c>
      <c r="L2773" s="5">
        <v>245001000</v>
      </c>
      <c r="M2773" s="5">
        <v>33631000</v>
      </c>
      <c r="N2773" s="5">
        <v>14912000</v>
      </c>
    </row>
    <row r="2774" spans="1:14" x14ac:dyDescent="0.25">
      <c r="A2774" s="3" t="s">
        <v>2785</v>
      </c>
      <c r="B2774" s="4">
        <v>8.82</v>
      </c>
      <c r="C2774" s="4">
        <v>0.2</v>
      </c>
      <c r="D2774" s="4">
        <v>7.0000000000000007E-2</v>
      </c>
      <c r="E2774" s="4">
        <v>-1.528642656965779E-2</v>
      </c>
      <c r="F2774" s="3">
        <v>2772</v>
      </c>
      <c r="G2774" s="3">
        <v>3</v>
      </c>
      <c r="H2774" s="5">
        <v>2443550424.3200002</v>
      </c>
      <c r="I2774" s="5">
        <v>3361575424.3200002</v>
      </c>
      <c r="J2774" s="5">
        <v>1224788000</v>
      </c>
      <c r="K2774" s="5">
        <v>306763000</v>
      </c>
      <c r="L2774" s="5">
        <v>1360824000</v>
      </c>
      <c r="M2774" s="5">
        <v>381078000</v>
      </c>
      <c r="N2774" s="5">
        <v>167679000</v>
      </c>
    </row>
    <row r="2775" spans="1:14" x14ac:dyDescent="0.25">
      <c r="A2775" s="3" t="s">
        <v>2786</v>
      </c>
      <c r="B2775" s="4">
        <v>8.58</v>
      </c>
      <c r="C2775" s="4">
        <v>0.15</v>
      </c>
      <c r="D2775" s="4">
        <v>0.03</v>
      </c>
      <c r="E2775" s="4">
        <v>-1.5290069774310241E-2</v>
      </c>
      <c r="F2775" s="3">
        <v>2773</v>
      </c>
      <c r="G2775" s="3">
        <v>3</v>
      </c>
      <c r="H2775" s="5">
        <v>11375609306.280001</v>
      </c>
      <c r="I2775" s="5">
        <v>16665609306.280001</v>
      </c>
      <c r="J2775" s="5">
        <v>6208000000</v>
      </c>
      <c r="K2775" s="5">
        <v>918000000</v>
      </c>
      <c r="L2775" s="5">
        <v>11801000000</v>
      </c>
      <c r="M2775" s="5">
        <v>1942000000</v>
      </c>
      <c r="N2775" s="5">
        <v>424000000</v>
      </c>
    </row>
    <row r="2776" spans="1:14" x14ac:dyDescent="0.25">
      <c r="A2776" s="3" t="s">
        <v>2787</v>
      </c>
      <c r="B2776" s="4">
        <v>9.01</v>
      </c>
      <c r="C2776" s="4">
        <v>0.23</v>
      </c>
      <c r="D2776" s="4">
        <v>0.19</v>
      </c>
      <c r="E2776" s="4">
        <v>-1.529419233792881E-2</v>
      </c>
      <c r="F2776" s="3">
        <v>2774</v>
      </c>
      <c r="G2776" s="3">
        <v>3</v>
      </c>
      <c r="H2776" s="5">
        <v>2616719793.8000002</v>
      </c>
      <c r="I2776" s="5">
        <v>2099166793.8</v>
      </c>
      <c r="J2776" s="5">
        <v>0</v>
      </c>
      <c r="K2776" s="5">
        <v>517553000</v>
      </c>
      <c r="L2776" s="5">
        <v>491734000</v>
      </c>
      <c r="M2776" s="5">
        <v>232898000</v>
      </c>
      <c r="N2776" s="5">
        <v>163889000</v>
      </c>
    </row>
    <row r="2777" spans="1:14" x14ac:dyDescent="0.25">
      <c r="A2777" s="3" t="s">
        <v>2788</v>
      </c>
      <c r="B2777" s="4">
        <v>5.22</v>
      </c>
      <c r="C2777" s="4">
        <v>-0.57999999999999996</v>
      </c>
      <c r="D2777" s="4">
        <v>0.16</v>
      </c>
      <c r="E2777" s="4">
        <v>-1.529465262664007E-2</v>
      </c>
      <c r="F2777" s="3">
        <v>2775</v>
      </c>
      <c r="G2777" s="3">
        <v>3</v>
      </c>
      <c r="H2777" s="5">
        <v>4876336172.3999996</v>
      </c>
      <c r="I2777" s="5">
        <v>8086336172.3999996</v>
      </c>
      <c r="J2777" s="5">
        <v>3884000000</v>
      </c>
      <c r="K2777" s="5">
        <v>674000000</v>
      </c>
      <c r="L2777" s="5">
        <v>7307000000</v>
      </c>
      <c r="M2777" s="5">
        <v>1548000000</v>
      </c>
      <c r="N2777" s="5">
        <v>798000000</v>
      </c>
    </row>
    <row r="2778" spans="1:14" x14ac:dyDescent="0.25">
      <c r="A2778" s="3" t="s">
        <v>2789</v>
      </c>
      <c r="B2778" s="4">
        <v>6.56</v>
      </c>
      <c r="C2778" s="4">
        <v>-0.28000000000000003</v>
      </c>
      <c r="D2778" s="4">
        <v>-0.04</v>
      </c>
      <c r="E2778" s="4">
        <v>-1.529577851116483E-2</v>
      </c>
      <c r="F2778" s="3">
        <v>2776</v>
      </c>
      <c r="G2778" s="3">
        <v>3</v>
      </c>
      <c r="H2778" s="5">
        <v>441374379.44999999</v>
      </c>
      <c r="I2778" s="5">
        <v>1419974379.45</v>
      </c>
      <c r="J2778" s="5">
        <v>1017400000</v>
      </c>
      <c r="K2778" s="5">
        <v>38800000</v>
      </c>
      <c r="L2778" s="5">
        <v>630900000</v>
      </c>
      <c r="M2778" s="5">
        <v>216500000</v>
      </c>
      <c r="N2778" s="5">
        <v>-58800000</v>
      </c>
    </row>
    <row r="2779" spans="1:14" x14ac:dyDescent="0.25">
      <c r="A2779" s="3" t="s">
        <v>2790</v>
      </c>
      <c r="B2779" s="4">
        <v>0.56000000000000005</v>
      </c>
      <c r="C2779" s="4">
        <v>-1.53</v>
      </c>
      <c r="D2779" s="4">
        <v>-0.56999999999999995</v>
      </c>
      <c r="E2779" s="4">
        <v>-1.5296194378333419E-2</v>
      </c>
      <c r="F2779" s="3">
        <v>2777</v>
      </c>
      <c r="G2779" s="3">
        <v>3</v>
      </c>
      <c r="H2779" s="5">
        <v>34957473.359999999</v>
      </c>
      <c r="I2779" s="5">
        <v>-41343526.640000001</v>
      </c>
      <c r="J2779" s="5">
        <v>0</v>
      </c>
      <c r="K2779" s="5">
        <v>76301000</v>
      </c>
      <c r="L2779" s="5">
        <v>19892000</v>
      </c>
      <c r="M2779" s="5">
        <v>-74003000</v>
      </c>
      <c r="N2779" s="5">
        <v>-131668000</v>
      </c>
    </row>
    <row r="2780" spans="1:14" x14ac:dyDescent="0.25">
      <c r="A2780" s="3" t="s">
        <v>2791</v>
      </c>
      <c r="B2780" s="4">
        <v>8.23</v>
      </c>
      <c r="C2780" s="4">
        <v>7.0000000000000007E-2</v>
      </c>
      <c r="D2780" s="4">
        <v>0.05</v>
      </c>
      <c r="E2780" s="4">
        <v>-1.530073837787318E-2</v>
      </c>
      <c r="F2780" s="3">
        <v>2778</v>
      </c>
      <c r="G2780" s="3">
        <v>3</v>
      </c>
      <c r="H2780" s="5">
        <v>2232501761.2800002</v>
      </c>
      <c r="I2780" s="5">
        <v>2023522761.28</v>
      </c>
      <c r="J2780" s="5">
        <v>2840000</v>
      </c>
      <c r="K2780" s="5">
        <v>211819000</v>
      </c>
      <c r="L2780" s="5">
        <v>2012926000</v>
      </c>
      <c r="M2780" s="5">
        <v>245785000</v>
      </c>
      <c r="N2780" s="5">
        <v>59695000</v>
      </c>
    </row>
    <row r="2781" spans="1:14" x14ac:dyDescent="0.25">
      <c r="A2781" s="3" t="s">
        <v>2792</v>
      </c>
      <c r="B2781" s="4">
        <v>8.08</v>
      </c>
      <c r="C2781" s="4">
        <v>0.04</v>
      </c>
      <c r="D2781" s="4">
        <v>0.01</v>
      </c>
      <c r="E2781" s="4">
        <v>-1.530229721977041E-2</v>
      </c>
      <c r="F2781" s="3">
        <v>2779</v>
      </c>
      <c r="G2781" s="3">
        <v>3</v>
      </c>
      <c r="H2781" s="5">
        <v>520491402.75</v>
      </c>
      <c r="I2781" s="5">
        <v>1394831402.75</v>
      </c>
      <c r="J2781" s="5">
        <v>1098666000</v>
      </c>
      <c r="K2781" s="5">
        <v>224326000</v>
      </c>
      <c r="L2781" s="5">
        <v>2431008000</v>
      </c>
      <c r="M2781" s="5">
        <v>172713000</v>
      </c>
      <c r="N2781" s="5">
        <v>38066000</v>
      </c>
    </row>
    <row r="2782" spans="1:14" x14ac:dyDescent="0.25">
      <c r="A2782" s="3" t="s">
        <v>2793</v>
      </c>
      <c r="B2782" s="4">
        <v>7.52</v>
      </c>
      <c r="C2782" s="4">
        <v>-0.08</v>
      </c>
      <c r="D2782" s="4">
        <v>0</v>
      </c>
      <c r="E2782" s="4">
        <v>-1.5304354011485079E-2</v>
      </c>
      <c r="F2782" s="3">
        <v>2780</v>
      </c>
      <c r="G2782" s="3">
        <v>3</v>
      </c>
      <c r="H2782" s="5">
        <v>3082941.72</v>
      </c>
      <c r="I2782" s="5">
        <v>301408941.72000003</v>
      </c>
      <c r="J2782" s="5">
        <v>312755000</v>
      </c>
      <c r="K2782" s="5">
        <v>14429000</v>
      </c>
      <c r="L2782" s="5">
        <v>155057000</v>
      </c>
      <c r="M2782" s="5">
        <v>40107000</v>
      </c>
      <c r="N2782" s="5">
        <v>1661000</v>
      </c>
    </row>
    <row r="2783" spans="1:14" x14ac:dyDescent="0.25">
      <c r="A2783" s="3" t="s">
        <v>2794</v>
      </c>
      <c r="B2783" s="4">
        <v>8.85</v>
      </c>
      <c r="C2783" s="4">
        <v>0.2</v>
      </c>
      <c r="D2783" s="4">
        <v>0.04</v>
      </c>
      <c r="E2783" s="4">
        <v>-1.5310781266481541E-2</v>
      </c>
      <c r="F2783" s="3">
        <v>2781</v>
      </c>
      <c r="G2783" s="3">
        <v>3</v>
      </c>
      <c r="H2783" s="5">
        <v>1882279941.48</v>
      </c>
      <c r="I2783" s="5">
        <v>3596551941.48</v>
      </c>
      <c r="J2783" s="5">
        <v>1790885000</v>
      </c>
      <c r="K2783" s="5">
        <v>76613000</v>
      </c>
      <c r="L2783" s="5">
        <v>830682000</v>
      </c>
      <c r="M2783" s="5">
        <v>406611000</v>
      </c>
      <c r="N2783" s="5">
        <v>112776000</v>
      </c>
    </row>
    <row r="2784" spans="1:14" x14ac:dyDescent="0.25">
      <c r="A2784" s="3" t="s">
        <v>2795</v>
      </c>
      <c r="B2784" s="4">
        <v>7.78</v>
      </c>
      <c r="C2784" s="4">
        <v>-0.03</v>
      </c>
      <c r="D2784" s="4">
        <v>0.01</v>
      </c>
      <c r="E2784" s="4">
        <v>-1.53188762979593E-2</v>
      </c>
      <c r="F2784" s="3">
        <v>2782</v>
      </c>
      <c r="G2784" s="3">
        <v>3</v>
      </c>
      <c r="H2784" s="5">
        <v>1596757860.48</v>
      </c>
      <c r="I2784" s="5">
        <v>2981660860.48</v>
      </c>
      <c r="J2784" s="5">
        <v>1618885000</v>
      </c>
      <c r="K2784" s="5">
        <v>233982000</v>
      </c>
      <c r="L2784" s="5">
        <v>3403079000</v>
      </c>
      <c r="M2784" s="5">
        <v>383478000</v>
      </c>
      <c r="N2784" s="5">
        <v>14952000</v>
      </c>
    </row>
    <row r="2785" spans="1:14" x14ac:dyDescent="0.25">
      <c r="A2785" s="3" t="s">
        <v>2796</v>
      </c>
      <c r="B2785" s="4">
        <v>-0.19</v>
      </c>
      <c r="C2785" s="4">
        <v>-1.68</v>
      </c>
      <c r="D2785" s="4">
        <v>-0.87</v>
      </c>
      <c r="E2785" s="4">
        <v>-1.5323278853594651E-2</v>
      </c>
      <c r="F2785" s="3">
        <v>2783</v>
      </c>
      <c r="G2785" s="3">
        <v>3</v>
      </c>
      <c r="H2785" s="5">
        <v>709.29808200000002</v>
      </c>
      <c r="I2785" s="5">
        <v>88089.298081999994</v>
      </c>
      <c r="J2785" s="5">
        <v>87500</v>
      </c>
      <c r="K2785" s="5">
        <v>120</v>
      </c>
      <c r="L2785" s="5">
        <v>2440</v>
      </c>
      <c r="M2785" s="5">
        <v>-472760</v>
      </c>
      <c r="N2785" s="5">
        <v>-608660</v>
      </c>
    </row>
    <row r="2786" spans="1:14" x14ac:dyDescent="0.25">
      <c r="A2786" s="3" t="s">
        <v>2797</v>
      </c>
      <c r="B2786" s="4">
        <v>7.02</v>
      </c>
      <c r="C2786" s="4">
        <v>-0.19</v>
      </c>
      <c r="D2786" s="4">
        <v>-0.08</v>
      </c>
      <c r="E2786" s="4">
        <v>-1.532815561641029E-2</v>
      </c>
      <c r="F2786" s="3">
        <v>2784</v>
      </c>
      <c r="G2786" s="3">
        <v>3</v>
      </c>
      <c r="H2786" s="5">
        <v>7448109004.6800003</v>
      </c>
      <c r="I2786" s="5">
        <v>17661109004.68</v>
      </c>
      <c r="J2786" s="5">
        <v>10375000000</v>
      </c>
      <c r="K2786" s="5">
        <v>162000000</v>
      </c>
      <c r="L2786" s="5">
        <v>8699000000</v>
      </c>
      <c r="M2786" s="5">
        <v>2517000000</v>
      </c>
      <c r="N2786" s="5">
        <v>-2075000000</v>
      </c>
    </row>
    <row r="2787" spans="1:14" x14ac:dyDescent="0.25">
      <c r="A2787" s="3" t="s">
        <v>2798</v>
      </c>
      <c r="B2787" s="4">
        <v>9.4</v>
      </c>
      <c r="C2787" s="4">
        <v>0.31</v>
      </c>
      <c r="D2787" s="4">
        <v>0.06</v>
      </c>
      <c r="E2787" s="4">
        <v>-1.5329499849506739E-2</v>
      </c>
      <c r="F2787" s="3">
        <v>2785</v>
      </c>
      <c r="G2787" s="3">
        <v>3</v>
      </c>
      <c r="H2787" s="5">
        <v>17920792.5</v>
      </c>
      <c r="I2787" s="5">
        <v>17042432.5</v>
      </c>
      <c r="J2787" s="5">
        <v>2480700</v>
      </c>
      <c r="K2787" s="5">
        <v>3359060</v>
      </c>
      <c r="L2787" s="5">
        <v>18193500</v>
      </c>
      <c r="M2787" s="5">
        <v>1813870</v>
      </c>
      <c r="N2787" s="5">
        <v>761330</v>
      </c>
    </row>
    <row r="2788" spans="1:14" x14ac:dyDescent="0.25">
      <c r="A2788" s="3" t="s">
        <v>2799</v>
      </c>
      <c r="B2788" s="4">
        <v>7.89</v>
      </c>
      <c r="C2788" s="4">
        <v>-0.01</v>
      </c>
      <c r="D2788" s="4">
        <v>0</v>
      </c>
      <c r="E2788" s="4">
        <v>-1.5331099373175739E-2</v>
      </c>
      <c r="F2788" s="3">
        <v>2786</v>
      </c>
      <c r="G2788" s="3">
        <v>3</v>
      </c>
      <c r="H2788" s="5">
        <v>507967372.64999998</v>
      </c>
      <c r="I2788" s="5">
        <v>879907372.6500001</v>
      </c>
      <c r="J2788" s="5">
        <v>567914000</v>
      </c>
      <c r="K2788" s="5">
        <v>195974000</v>
      </c>
      <c r="L2788" s="5">
        <v>1845937000</v>
      </c>
      <c r="M2788" s="5">
        <v>111584000</v>
      </c>
      <c r="N2788" s="5">
        <v>-5560000</v>
      </c>
    </row>
    <row r="2789" spans="1:14" x14ac:dyDescent="0.25">
      <c r="A2789" s="3" t="s">
        <v>2800</v>
      </c>
      <c r="B2789" s="4">
        <v>10.16</v>
      </c>
      <c r="C2789" s="4">
        <v>0.46</v>
      </c>
      <c r="D2789" s="4">
        <v>0.21</v>
      </c>
      <c r="E2789" s="4">
        <v>-1.533753997860517E-2</v>
      </c>
      <c r="F2789" s="3">
        <v>2787</v>
      </c>
      <c r="G2789" s="3">
        <v>3</v>
      </c>
      <c r="H2789" s="5">
        <v>2953783585.2399998</v>
      </c>
      <c r="I2789" s="5">
        <v>2686854585.2399998</v>
      </c>
      <c r="J2789" s="5">
        <v>0</v>
      </c>
      <c r="K2789" s="5">
        <v>266929000</v>
      </c>
      <c r="L2789" s="5">
        <v>1217689000</v>
      </c>
      <c r="M2789" s="5">
        <v>264357000</v>
      </c>
      <c r="N2789" s="5">
        <v>195468000</v>
      </c>
    </row>
    <row r="2790" spans="1:14" x14ac:dyDescent="0.25">
      <c r="A2790" s="3" t="s">
        <v>2801</v>
      </c>
      <c r="B2790" s="4">
        <v>8.3000000000000007</v>
      </c>
      <c r="C2790" s="4">
        <v>7.0000000000000007E-2</v>
      </c>
      <c r="D2790" s="4">
        <v>0.04</v>
      </c>
      <c r="E2790" s="4">
        <v>-1.5345991844330231E-2</v>
      </c>
      <c r="F2790" s="3">
        <v>2788</v>
      </c>
      <c r="G2790" s="3">
        <v>3</v>
      </c>
      <c r="H2790" s="5">
        <v>836130049.27999997</v>
      </c>
      <c r="I2790" s="5">
        <v>921630049.27999997</v>
      </c>
      <c r="J2790" s="5">
        <v>143500000</v>
      </c>
      <c r="K2790" s="5">
        <v>58000000</v>
      </c>
      <c r="L2790" s="5">
        <v>1234700000</v>
      </c>
      <c r="M2790" s="5">
        <v>111000000</v>
      </c>
      <c r="N2790" s="5">
        <v>36700000</v>
      </c>
    </row>
    <row r="2791" spans="1:14" x14ac:dyDescent="0.25">
      <c r="A2791" s="3" t="s">
        <v>2802</v>
      </c>
      <c r="B2791" s="4">
        <v>8.57</v>
      </c>
      <c r="C2791" s="4">
        <v>0.12</v>
      </c>
      <c r="D2791" s="4">
        <v>0.12</v>
      </c>
      <c r="E2791" s="4">
        <v>-1.5353200150458979E-2</v>
      </c>
      <c r="F2791" s="3">
        <v>2789</v>
      </c>
      <c r="G2791" s="3">
        <v>3</v>
      </c>
      <c r="H2791" s="5">
        <v>562347208.12</v>
      </c>
      <c r="I2791" s="5">
        <v>561198208.12</v>
      </c>
      <c r="J2791" s="5">
        <v>0</v>
      </c>
      <c r="K2791" s="5">
        <v>1149000</v>
      </c>
      <c r="L2791" s="5">
        <v>184191000</v>
      </c>
      <c r="M2791" s="5">
        <v>65516000</v>
      </c>
      <c r="N2791" s="5">
        <v>61642000</v>
      </c>
    </row>
    <row r="2792" spans="1:14" x14ac:dyDescent="0.25">
      <c r="A2792" s="3" t="s">
        <v>2803</v>
      </c>
      <c r="B2792" s="4">
        <v>8.8699999999999992</v>
      </c>
      <c r="C2792" s="4">
        <v>0.19</v>
      </c>
      <c r="D2792" s="4">
        <v>0.03</v>
      </c>
      <c r="E2792" s="4">
        <v>-1.5353982311467651E-2</v>
      </c>
      <c r="F2792" s="3">
        <v>2790</v>
      </c>
      <c r="G2792" s="3">
        <v>3</v>
      </c>
      <c r="H2792" s="5">
        <v>38845394.25</v>
      </c>
      <c r="I2792" s="5">
        <v>37264004.25</v>
      </c>
      <c r="J2792" s="5">
        <v>5722550</v>
      </c>
      <c r="K2792" s="5">
        <v>7303940</v>
      </c>
      <c r="L2792" s="5">
        <v>84467050</v>
      </c>
      <c r="M2792" s="5">
        <v>4200600</v>
      </c>
      <c r="N2792" s="5">
        <v>1831940</v>
      </c>
    </row>
    <row r="2793" spans="1:14" x14ac:dyDescent="0.25">
      <c r="A2793" s="3" t="s">
        <v>2804</v>
      </c>
      <c r="B2793" s="4">
        <v>9.08</v>
      </c>
      <c r="C2793" s="4">
        <v>0.23</v>
      </c>
      <c r="D2793" s="4">
        <v>7.0000000000000007E-2</v>
      </c>
      <c r="E2793" s="4">
        <v>-1.536066509673842E-2</v>
      </c>
      <c r="F2793" s="3">
        <v>2791</v>
      </c>
      <c r="G2793" s="3">
        <v>3</v>
      </c>
      <c r="H2793" s="5">
        <v>4244148932.2199998</v>
      </c>
      <c r="I2793" s="5">
        <v>6408148932.2199993</v>
      </c>
      <c r="J2793" s="5">
        <v>2220000000</v>
      </c>
      <c r="K2793" s="5">
        <v>56000000</v>
      </c>
      <c r="L2793" s="5">
        <v>7479000000</v>
      </c>
      <c r="M2793" s="5">
        <v>706000000</v>
      </c>
      <c r="N2793" s="5">
        <v>362000000</v>
      </c>
    </row>
    <row r="2794" spans="1:14" x14ac:dyDescent="0.25">
      <c r="A2794" s="3" t="s">
        <v>2805</v>
      </c>
      <c r="B2794" s="4">
        <v>8.4700000000000006</v>
      </c>
      <c r="C2794" s="4">
        <v>0.1</v>
      </c>
      <c r="D2794" s="4">
        <v>0.06</v>
      </c>
      <c r="E2794" s="4">
        <v>-1.536066946698216E-2</v>
      </c>
      <c r="F2794" s="3">
        <v>2792</v>
      </c>
      <c r="G2794" s="3">
        <v>3</v>
      </c>
      <c r="H2794" s="5">
        <v>33340023676.75</v>
      </c>
      <c r="I2794" s="5">
        <v>36732023676.75</v>
      </c>
      <c r="J2794" s="5">
        <v>6950000000</v>
      </c>
      <c r="K2794" s="5">
        <v>3558000000</v>
      </c>
      <c r="L2794" s="5">
        <v>30734000000</v>
      </c>
      <c r="M2794" s="5">
        <v>4335000000</v>
      </c>
      <c r="N2794" s="5">
        <v>2027000000</v>
      </c>
    </row>
    <row r="2795" spans="1:14" x14ac:dyDescent="0.25">
      <c r="A2795" s="3" t="s">
        <v>2806</v>
      </c>
      <c r="B2795" s="4">
        <v>8.7799999999999994</v>
      </c>
      <c r="C2795" s="4">
        <v>0.16</v>
      </c>
      <c r="D2795" s="4">
        <v>0.15</v>
      </c>
      <c r="E2795" s="4">
        <v>-1.5361811962307259E-2</v>
      </c>
      <c r="F2795" s="3">
        <v>2793</v>
      </c>
      <c r="G2795" s="3">
        <v>3</v>
      </c>
      <c r="H2795" s="5">
        <v>5179948848.8000002</v>
      </c>
      <c r="I2795" s="5">
        <v>4946630078.8000002</v>
      </c>
      <c r="J2795" s="5">
        <v>0</v>
      </c>
      <c r="K2795" s="5">
        <v>233318770</v>
      </c>
      <c r="L2795" s="5">
        <v>2313314330</v>
      </c>
      <c r="M2795" s="5">
        <v>563305930</v>
      </c>
      <c r="N2795" s="5">
        <v>404487740</v>
      </c>
    </row>
    <row r="2796" spans="1:14" x14ac:dyDescent="0.25">
      <c r="A2796" s="3" t="s">
        <v>2807</v>
      </c>
      <c r="B2796" s="4">
        <v>-0.39</v>
      </c>
      <c r="C2796" s="4">
        <v>-1.79</v>
      </c>
      <c r="D2796" s="4">
        <v>-7.0000000000000007E-2</v>
      </c>
      <c r="E2796" s="4">
        <v>-1.5363002290611679E-2</v>
      </c>
      <c r="F2796" s="3">
        <v>2794</v>
      </c>
      <c r="G2796" s="3">
        <v>3</v>
      </c>
      <c r="H2796" s="5">
        <v>97288.786999999997</v>
      </c>
      <c r="I2796" s="5">
        <v>46327288.787</v>
      </c>
      <c r="J2796" s="5">
        <v>105363000</v>
      </c>
      <c r="K2796" s="5">
        <v>59133000</v>
      </c>
      <c r="L2796" s="5">
        <v>159918000</v>
      </c>
      <c r="M2796" s="5">
        <v>-119144000</v>
      </c>
      <c r="N2796" s="5">
        <v>-108110000</v>
      </c>
    </row>
    <row r="2797" spans="1:14" x14ac:dyDescent="0.25">
      <c r="A2797" s="3" t="s">
        <v>2808</v>
      </c>
      <c r="B2797" s="4">
        <v>5.44</v>
      </c>
      <c r="C2797" s="4">
        <v>-0.55000000000000004</v>
      </c>
      <c r="D2797" s="4">
        <v>0.06</v>
      </c>
      <c r="E2797" s="4">
        <v>-1.536342459670746E-2</v>
      </c>
      <c r="F2797" s="3">
        <v>2795</v>
      </c>
      <c r="G2797" s="3">
        <v>3</v>
      </c>
      <c r="H2797" s="5">
        <v>161047298.23500001</v>
      </c>
      <c r="I2797" s="5">
        <v>430709298.23500001</v>
      </c>
      <c r="J2797" s="5">
        <v>303206000</v>
      </c>
      <c r="K2797" s="5">
        <v>33544000</v>
      </c>
      <c r="L2797" s="5">
        <v>480601000</v>
      </c>
      <c r="M2797" s="5">
        <v>79212000</v>
      </c>
      <c r="N2797" s="5">
        <v>19521000</v>
      </c>
    </row>
    <row r="2798" spans="1:14" x14ac:dyDescent="0.25">
      <c r="A2798" s="3" t="s">
        <v>2809</v>
      </c>
      <c r="B2798" s="4">
        <v>7.27</v>
      </c>
      <c r="C2798" s="4">
        <v>-0.15</v>
      </c>
      <c r="D2798" s="4">
        <v>-0.06</v>
      </c>
      <c r="E2798" s="4">
        <v>-1.5363453277624379E-2</v>
      </c>
      <c r="F2798" s="3">
        <v>2796</v>
      </c>
      <c r="G2798" s="3">
        <v>3</v>
      </c>
      <c r="H2798" s="5">
        <v>43744784.135300003</v>
      </c>
      <c r="I2798" s="5">
        <v>115392784.1353</v>
      </c>
      <c r="J2798" s="5">
        <v>78930000</v>
      </c>
      <c r="K2798" s="5">
        <v>7282000</v>
      </c>
      <c r="L2798" s="5">
        <v>157964000</v>
      </c>
      <c r="M2798" s="5">
        <v>15866000</v>
      </c>
      <c r="N2798" s="5">
        <v>-12164000</v>
      </c>
    </row>
    <row r="2799" spans="1:14" x14ac:dyDescent="0.25">
      <c r="A2799" s="3" t="s">
        <v>2810</v>
      </c>
      <c r="B2799" s="4">
        <v>8.83</v>
      </c>
      <c r="C2799" s="4">
        <v>0.17</v>
      </c>
      <c r="D2799" s="4">
        <v>0.15</v>
      </c>
      <c r="E2799" s="4">
        <v>-1.5363864383778181E-2</v>
      </c>
      <c r="F2799" s="3">
        <v>2797</v>
      </c>
      <c r="G2799" s="3">
        <v>3</v>
      </c>
      <c r="H2799" s="5">
        <v>199006500</v>
      </c>
      <c r="I2799" s="5">
        <v>179617150</v>
      </c>
      <c r="J2799" s="5">
        <v>0</v>
      </c>
      <c r="K2799" s="5">
        <v>19389350</v>
      </c>
      <c r="L2799" s="5">
        <v>303435420</v>
      </c>
      <c r="M2799" s="5">
        <v>20337570</v>
      </c>
      <c r="N2799" s="5">
        <v>24497970</v>
      </c>
    </row>
    <row r="2800" spans="1:14" x14ac:dyDescent="0.25">
      <c r="A2800" s="3" t="s">
        <v>2811</v>
      </c>
      <c r="B2800" s="4">
        <v>8.43</v>
      </c>
      <c r="C2800" s="4">
        <v>0.09</v>
      </c>
      <c r="D2800" s="4">
        <v>0.06</v>
      </c>
      <c r="E2800" s="4">
        <v>-1.5364806251208309E-2</v>
      </c>
      <c r="F2800" s="3">
        <v>2798</v>
      </c>
      <c r="G2800" s="3">
        <v>3</v>
      </c>
      <c r="H2800" s="5">
        <v>1659428111.8399999</v>
      </c>
      <c r="I2800" s="5">
        <v>1586722111.8399999</v>
      </c>
      <c r="J2800" s="5">
        <v>688000</v>
      </c>
      <c r="K2800" s="5">
        <v>73394000</v>
      </c>
      <c r="L2800" s="5">
        <v>1574755000</v>
      </c>
      <c r="M2800" s="5">
        <v>188156000</v>
      </c>
      <c r="N2800" s="5">
        <v>86551000</v>
      </c>
    </row>
    <row r="2801" spans="1:14" x14ac:dyDescent="0.25">
      <c r="A2801" s="3" t="s">
        <v>2812</v>
      </c>
      <c r="B2801" s="4">
        <v>8.74</v>
      </c>
      <c r="C2801" s="4">
        <v>0.15</v>
      </c>
      <c r="D2801" s="4">
        <v>0.13</v>
      </c>
      <c r="E2801" s="4">
        <v>-1.5369806799688419E-2</v>
      </c>
      <c r="F2801" s="3">
        <v>2799</v>
      </c>
      <c r="G2801" s="3">
        <v>3</v>
      </c>
      <c r="H2801" s="5">
        <v>98723739.599999994</v>
      </c>
      <c r="I2801" s="5">
        <v>85202439.599999994</v>
      </c>
      <c r="J2801" s="5">
        <v>0</v>
      </c>
      <c r="K2801" s="5">
        <v>13521300</v>
      </c>
      <c r="L2801" s="5">
        <v>51933620</v>
      </c>
      <c r="M2801" s="5">
        <v>9751860</v>
      </c>
      <c r="N2801" s="5">
        <v>8611260</v>
      </c>
    </row>
    <row r="2802" spans="1:14" x14ac:dyDescent="0.25">
      <c r="A2802" s="3" t="s">
        <v>2813</v>
      </c>
      <c r="B2802" s="4">
        <v>8.1999999999999993</v>
      </c>
      <c r="C2802" s="4">
        <v>0.04</v>
      </c>
      <c r="D2802" s="4">
        <v>0.02</v>
      </c>
      <c r="E2802" s="4">
        <v>-1.5374638661557839E-2</v>
      </c>
      <c r="F2802" s="3">
        <v>2800</v>
      </c>
      <c r="G2802" s="3">
        <v>3</v>
      </c>
      <c r="H2802" s="5">
        <v>992861716</v>
      </c>
      <c r="I2802" s="5">
        <v>1518635716</v>
      </c>
      <c r="J2802" s="5">
        <v>625439000</v>
      </c>
      <c r="K2802" s="5">
        <v>99665000</v>
      </c>
      <c r="L2802" s="5">
        <v>2180274000</v>
      </c>
      <c r="M2802" s="5">
        <v>185277000</v>
      </c>
      <c r="N2802" s="5">
        <v>50370000</v>
      </c>
    </row>
    <row r="2803" spans="1:14" x14ac:dyDescent="0.25">
      <c r="A2803" s="3" t="s">
        <v>2814</v>
      </c>
      <c r="B2803" s="4">
        <v>6.3</v>
      </c>
      <c r="C2803" s="4">
        <v>-0.36</v>
      </c>
      <c r="D2803" s="4">
        <v>-0.18</v>
      </c>
      <c r="E2803" s="4">
        <v>-1.539301439124156E-2</v>
      </c>
      <c r="F2803" s="3">
        <v>2801</v>
      </c>
      <c r="G2803" s="3">
        <v>3</v>
      </c>
      <c r="H2803" s="5">
        <v>224708356.88</v>
      </c>
      <c r="I2803" s="5">
        <v>279568356.88</v>
      </c>
      <c r="J2803" s="5">
        <v>61922000</v>
      </c>
      <c r="K2803" s="5">
        <v>7062000</v>
      </c>
      <c r="L2803" s="5">
        <v>598025000</v>
      </c>
      <c r="M2803" s="5">
        <v>44353000</v>
      </c>
      <c r="N2803" s="5">
        <v>-64565000</v>
      </c>
    </row>
    <row r="2804" spans="1:14" x14ac:dyDescent="0.25">
      <c r="A2804" s="3" t="s">
        <v>2815</v>
      </c>
      <c r="B2804" s="4">
        <v>8.43</v>
      </c>
      <c r="C2804" s="4">
        <v>0.08</v>
      </c>
      <c r="D2804" s="4">
        <v>0.06</v>
      </c>
      <c r="E2804" s="4">
        <v>-1.5393699858222769E-2</v>
      </c>
      <c r="F2804" s="3">
        <v>2802</v>
      </c>
      <c r="G2804" s="3">
        <v>3</v>
      </c>
      <c r="H2804" s="5">
        <v>165230827.65000001</v>
      </c>
      <c r="I2804" s="5">
        <v>186631827.65000001</v>
      </c>
      <c r="J2804" s="5">
        <v>25595000</v>
      </c>
      <c r="K2804" s="5">
        <v>4194000</v>
      </c>
      <c r="L2804" s="5">
        <v>251510000</v>
      </c>
      <c r="M2804" s="5">
        <v>22140000</v>
      </c>
      <c r="N2804" s="5">
        <v>12986000</v>
      </c>
    </row>
    <row r="2805" spans="1:14" x14ac:dyDescent="0.25">
      <c r="A2805" s="3" t="s">
        <v>2816</v>
      </c>
      <c r="B2805" s="4">
        <v>8.39</v>
      </c>
      <c r="C2805" s="4">
        <v>7.0000000000000007E-2</v>
      </c>
      <c r="D2805" s="4">
        <v>0.04</v>
      </c>
      <c r="E2805" s="4">
        <v>-1.5401694695603931E-2</v>
      </c>
      <c r="F2805" s="3">
        <v>2803</v>
      </c>
      <c r="G2805" s="3">
        <v>3</v>
      </c>
      <c r="H2805" s="5">
        <v>98638514.400000006</v>
      </c>
      <c r="I2805" s="5">
        <v>80900514.400000006</v>
      </c>
      <c r="J2805" s="5">
        <v>8142000</v>
      </c>
      <c r="K2805" s="5">
        <v>25880000</v>
      </c>
      <c r="L2805" s="5">
        <v>162557000</v>
      </c>
      <c r="M2805" s="5">
        <v>9641000</v>
      </c>
      <c r="N2805" s="5">
        <v>6593000</v>
      </c>
    </row>
    <row r="2806" spans="1:14" x14ac:dyDescent="0.25">
      <c r="A2806" s="3" t="s">
        <v>2817</v>
      </c>
      <c r="B2806" s="4">
        <v>8.06</v>
      </c>
      <c r="C2806" s="4">
        <v>0</v>
      </c>
      <c r="D2806" s="4">
        <v>0</v>
      </c>
      <c r="E2806" s="4">
        <v>-1.5407422263011601E-2</v>
      </c>
      <c r="F2806" s="3">
        <v>2804</v>
      </c>
      <c r="G2806" s="3">
        <v>3</v>
      </c>
      <c r="H2806" s="5">
        <v>752039786.75999999</v>
      </c>
      <c r="I2806" s="5">
        <v>516739786.75999999</v>
      </c>
      <c r="J2806" s="5">
        <v>5400000</v>
      </c>
      <c r="K2806" s="5">
        <v>240700000</v>
      </c>
      <c r="L2806" s="5">
        <v>1084000000</v>
      </c>
      <c r="M2806" s="5">
        <v>64100000</v>
      </c>
      <c r="N2806" s="5">
        <v>1300000</v>
      </c>
    </row>
    <row r="2807" spans="1:14" x14ac:dyDescent="0.25">
      <c r="A2807" s="3" t="s">
        <v>2818</v>
      </c>
      <c r="B2807" s="4">
        <v>-2.68</v>
      </c>
      <c r="C2807" s="4">
        <v>-2.2200000000000002</v>
      </c>
      <c r="D2807" s="4">
        <v>-1.22</v>
      </c>
      <c r="E2807" s="4">
        <v>-1.5409937344015809E-2</v>
      </c>
      <c r="F2807" s="3">
        <v>2805</v>
      </c>
      <c r="G2807" s="3">
        <v>3</v>
      </c>
      <c r="H2807" s="5">
        <v>48742718.359999999</v>
      </c>
      <c r="I2807" s="5">
        <v>41178718.359999999</v>
      </c>
      <c r="J2807" s="5">
        <v>0</v>
      </c>
      <c r="K2807" s="5">
        <v>7564000</v>
      </c>
      <c r="L2807" s="5">
        <v>3291000</v>
      </c>
      <c r="M2807" s="5">
        <v>-15364000</v>
      </c>
      <c r="N2807" s="5">
        <v>-15318000</v>
      </c>
    </row>
    <row r="2808" spans="1:14" x14ac:dyDescent="0.25">
      <c r="A2808" s="3" t="s">
        <v>2819</v>
      </c>
      <c r="B2808" s="4">
        <v>9.9</v>
      </c>
      <c r="C2808" s="4">
        <v>0.38</v>
      </c>
      <c r="D2808" s="4">
        <v>0.19</v>
      </c>
      <c r="E2808" s="4">
        <v>-1.5411627539751831E-2</v>
      </c>
      <c r="F2808" s="3">
        <v>2806</v>
      </c>
      <c r="G2808" s="3">
        <v>3</v>
      </c>
      <c r="H2808" s="5">
        <v>441508448.39999998</v>
      </c>
      <c r="I2808" s="5">
        <v>429211448.39999998</v>
      </c>
      <c r="J2808" s="5">
        <v>8872000</v>
      </c>
      <c r="K2808" s="5">
        <v>21169000</v>
      </c>
      <c r="L2808" s="5">
        <v>248585000</v>
      </c>
      <c r="M2808" s="5">
        <v>43334000</v>
      </c>
      <c r="N2808" s="5">
        <v>29672000</v>
      </c>
    </row>
    <row r="2809" spans="1:14" x14ac:dyDescent="0.25">
      <c r="A2809" s="3" t="s">
        <v>2820</v>
      </c>
      <c r="B2809" s="4">
        <v>8.07</v>
      </c>
      <c r="C2809" s="4">
        <v>0</v>
      </c>
      <c r="D2809" s="4">
        <v>0</v>
      </c>
      <c r="E2809" s="4">
        <v>-1.541361146870868E-2</v>
      </c>
      <c r="F2809" s="3">
        <v>2807</v>
      </c>
      <c r="G2809" s="3">
        <v>3</v>
      </c>
      <c r="H2809" s="5">
        <v>13999971.779999999</v>
      </c>
      <c r="I2809" s="5">
        <v>31417891.780000001</v>
      </c>
      <c r="J2809" s="5">
        <v>17738800</v>
      </c>
      <c r="K2809" s="5">
        <v>320880</v>
      </c>
      <c r="L2809" s="5">
        <v>39782440</v>
      </c>
      <c r="M2809" s="5">
        <v>3895470</v>
      </c>
      <c r="N2809" s="5">
        <v>-117890</v>
      </c>
    </row>
    <row r="2810" spans="1:14" x14ac:dyDescent="0.25">
      <c r="A2810" s="3" t="s">
        <v>2821</v>
      </c>
      <c r="B2810" s="4">
        <v>-1.45</v>
      </c>
      <c r="C2810" s="4">
        <v>-2.02</v>
      </c>
      <c r="D2810" s="4">
        <v>-0.31</v>
      </c>
      <c r="E2810" s="4">
        <v>-1.541779608591414E-2</v>
      </c>
      <c r="F2810" s="3">
        <v>2808</v>
      </c>
      <c r="G2810" s="3">
        <v>3</v>
      </c>
      <c r="H2810" s="5">
        <v>238203252</v>
      </c>
      <c r="I2810" s="5">
        <v>310724252</v>
      </c>
      <c r="J2810" s="5">
        <v>297092000</v>
      </c>
      <c r="K2810" s="5">
        <v>224571000</v>
      </c>
      <c r="L2810" s="5">
        <v>417083000</v>
      </c>
      <c r="M2810" s="5">
        <v>-213980000</v>
      </c>
      <c r="N2810" s="5">
        <v>-277066000</v>
      </c>
    </row>
    <row r="2811" spans="1:14" x14ac:dyDescent="0.25">
      <c r="A2811" s="3" t="s">
        <v>2822</v>
      </c>
      <c r="B2811" s="4">
        <v>8.6999999999999993</v>
      </c>
      <c r="C2811" s="4">
        <v>0.13</v>
      </c>
      <c r="D2811" s="4">
        <v>0.05</v>
      </c>
      <c r="E2811" s="4">
        <v>-1.5418269403549069E-2</v>
      </c>
      <c r="F2811" s="3">
        <v>2809</v>
      </c>
      <c r="G2811" s="3">
        <v>3</v>
      </c>
      <c r="H2811" s="5">
        <v>1827833210.0999999</v>
      </c>
      <c r="I2811" s="5">
        <v>1928633210.0999999</v>
      </c>
      <c r="J2811" s="5">
        <v>447100000</v>
      </c>
      <c r="K2811" s="5">
        <v>346300000</v>
      </c>
      <c r="L2811" s="5">
        <v>3166000000</v>
      </c>
      <c r="M2811" s="5">
        <v>221800000</v>
      </c>
      <c r="N2811" s="5">
        <v>120700000</v>
      </c>
    </row>
    <row r="2812" spans="1:14" x14ac:dyDescent="0.25">
      <c r="A2812" s="3" t="s">
        <v>2823</v>
      </c>
      <c r="B2812" s="4">
        <v>8.08</v>
      </c>
      <c r="C2812" s="4">
        <v>0</v>
      </c>
      <c r="D2812" s="4">
        <v>0</v>
      </c>
      <c r="E2812" s="4">
        <v>-1.5419800674405751E-2</v>
      </c>
      <c r="F2812" s="3">
        <v>2810</v>
      </c>
      <c r="G2812" s="3">
        <v>3</v>
      </c>
      <c r="H2812" s="5">
        <v>712683789.29999995</v>
      </c>
      <c r="I2812" s="5">
        <v>869783789.29999995</v>
      </c>
      <c r="J2812" s="5">
        <v>281100000</v>
      </c>
      <c r="K2812" s="5">
        <v>124000000</v>
      </c>
      <c r="L2812" s="5">
        <v>1625500000</v>
      </c>
      <c r="M2812" s="5">
        <v>107600000</v>
      </c>
      <c r="N2812" s="5">
        <v>-1900000</v>
      </c>
    </row>
    <row r="2813" spans="1:14" x14ac:dyDescent="0.25">
      <c r="A2813" s="3" t="s">
        <v>2824</v>
      </c>
      <c r="B2813" s="4">
        <v>6.02</v>
      </c>
      <c r="C2813" s="4">
        <v>-0.43</v>
      </c>
      <c r="D2813" s="4">
        <v>-0.18</v>
      </c>
      <c r="E2813" s="4">
        <v>-1.54219718808246E-2</v>
      </c>
      <c r="F2813" s="3">
        <v>2811</v>
      </c>
      <c r="G2813" s="3">
        <v>3</v>
      </c>
      <c r="H2813" s="5">
        <v>12289711.48</v>
      </c>
      <c r="I2813" s="5">
        <v>7784711.4800000004</v>
      </c>
      <c r="J2813" s="5">
        <v>0</v>
      </c>
      <c r="K2813" s="5">
        <v>4505000</v>
      </c>
      <c r="L2813" s="5">
        <v>21224000</v>
      </c>
      <c r="M2813" s="5">
        <v>1294000</v>
      </c>
      <c r="N2813" s="5">
        <v>-5565000</v>
      </c>
    </row>
    <row r="2814" spans="1:14" x14ac:dyDescent="0.25">
      <c r="A2814" s="3" t="s">
        <v>2825</v>
      </c>
      <c r="B2814" s="4">
        <v>8.85</v>
      </c>
      <c r="C2814" s="4">
        <v>0.16</v>
      </c>
      <c r="D2814" s="4">
        <v>0.06</v>
      </c>
      <c r="E2814" s="4">
        <v>-1.542249764138435E-2</v>
      </c>
      <c r="F2814" s="3">
        <v>2812</v>
      </c>
      <c r="G2814" s="3">
        <v>3</v>
      </c>
      <c r="H2814" s="5">
        <v>1507099280.4400001</v>
      </c>
      <c r="I2814" s="5">
        <v>1903730280.4400001</v>
      </c>
      <c r="J2814" s="5">
        <v>475456000</v>
      </c>
      <c r="K2814" s="5">
        <v>78825000</v>
      </c>
      <c r="L2814" s="5">
        <v>376024000</v>
      </c>
      <c r="M2814" s="5">
        <v>215041000</v>
      </c>
      <c r="N2814" s="5">
        <v>64623000</v>
      </c>
    </row>
    <row r="2815" spans="1:14" x14ac:dyDescent="0.25">
      <c r="A2815" s="3" t="s">
        <v>2826</v>
      </c>
      <c r="B2815" s="4">
        <v>8.57</v>
      </c>
      <c r="C2815" s="4">
        <v>0.1</v>
      </c>
      <c r="D2815" s="4">
        <v>0.06</v>
      </c>
      <c r="E2815" s="4">
        <v>-1.5422561523952929E-2</v>
      </c>
      <c r="F2815" s="3">
        <v>2813</v>
      </c>
      <c r="G2815" s="3">
        <v>3</v>
      </c>
      <c r="H2815" s="5">
        <v>1096130448</v>
      </c>
      <c r="I2815" s="5">
        <v>1254625448</v>
      </c>
      <c r="J2815" s="5">
        <v>329008000</v>
      </c>
      <c r="K2815" s="5">
        <v>170513000</v>
      </c>
      <c r="L2815" s="5">
        <v>1161602000</v>
      </c>
      <c r="M2815" s="5">
        <v>146457000</v>
      </c>
      <c r="N2815" s="5">
        <v>83095000</v>
      </c>
    </row>
    <row r="2816" spans="1:14" x14ac:dyDescent="0.25">
      <c r="A2816" s="3" t="s">
        <v>2827</v>
      </c>
      <c r="B2816" s="4">
        <v>9.11</v>
      </c>
      <c r="C2816" s="4">
        <v>0.21</v>
      </c>
      <c r="D2816" s="4">
        <v>0.14000000000000001</v>
      </c>
      <c r="E2816" s="4">
        <v>-1.542351674181603E-2</v>
      </c>
      <c r="F2816" s="3">
        <v>2814</v>
      </c>
      <c r="G2816" s="3">
        <v>3</v>
      </c>
      <c r="H2816" s="5">
        <v>832310166.24000001</v>
      </c>
      <c r="I2816" s="5">
        <v>821669166.24000001</v>
      </c>
      <c r="J2816" s="5">
        <v>39817000</v>
      </c>
      <c r="K2816" s="5">
        <v>50458000</v>
      </c>
      <c r="L2816" s="5">
        <v>485572000</v>
      </c>
      <c r="M2816" s="5">
        <v>90220000</v>
      </c>
      <c r="N2816" s="5">
        <v>53996000</v>
      </c>
    </row>
    <row r="2817" spans="1:14" x14ac:dyDescent="0.25">
      <c r="A2817" s="3" t="s">
        <v>2828</v>
      </c>
      <c r="B2817" s="4">
        <v>8.8000000000000007</v>
      </c>
      <c r="C2817" s="4">
        <v>0.15</v>
      </c>
      <c r="D2817" s="4">
        <v>0.02</v>
      </c>
      <c r="E2817" s="4">
        <v>-1.542816132622345E-2</v>
      </c>
      <c r="F2817" s="3">
        <v>2815</v>
      </c>
      <c r="G2817" s="3">
        <v>3</v>
      </c>
      <c r="H2817" s="5">
        <v>11015750353.41</v>
      </c>
      <c r="I2817" s="5">
        <v>11291150353.41</v>
      </c>
      <c r="J2817" s="5">
        <v>2083100000</v>
      </c>
      <c r="K2817" s="5">
        <v>1807700000</v>
      </c>
      <c r="L2817" s="5">
        <v>11902600000</v>
      </c>
      <c r="M2817" s="5">
        <v>1282900000</v>
      </c>
      <c r="N2817" s="5">
        <v>760200000</v>
      </c>
    </row>
    <row r="2818" spans="1:14" x14ac:dyDescent="0.25">
      <c r="A2818" s="3" t="s">
        <v>2829</v>
      </c>
      <c r="B2818" s="4">
        <v>8.59</v>
      </c>
      <c r="C2818" s="4">
        <v>0.1</v>
      </c>
      <c r="D2818" s="4">
        <v>0.08</v>
      </c>
      <c r="E2818" s="4">
        <v>-1.5431081882192081E-2</v>
      </c>
      <c r="F2818" s="3">
        <v>2816</v>
      </c>
      <c r="G2818" s="3">
        <v>3</v>
      </c>
      <c r="H2818" s="5">
        <v>376858033.10000002</v>
      </c>
      <c r="I2818" s="5">
        <v>306724033.10000002</v>
      </c>
      <c r="J2818" s="5">
        <v>0</v>
      </c>
      <c r="K2818" s="5">
        <v>70134000</v>
      </c>
      <c r="L2818" s="5">
        <v>237118000</v>
      </c>
      <c r="M2818" s="5">
        <v>35701000</v>
      </c>
      <c r="N2818" s="5">
        <v>24388000</v>
      </c>
    </row>
    <row r="2819" spans="1:14" x14ac:dyDescent="0.25">
      <c r="A2819" s="3" t="s">
        <v>2830</v>
      </c>
      <c r="B2819" s="4">
        <v>-1.77</v>
      </c>
      <c r="C2819" s="4">
        <v>0.14000000000000001</v>
      </c>
      <c r="D2819" s="4">
        <v>-33.799999999999997</v>
      </c>
      <c r="E2819" s="4">
        <v>-1.543903239655189E-2</v>
      </c>
      <c r="F2819" s="3">
        <v>2817</v>
      </c>
      <c r="G2819" s="3">
        <v>3</v>
      </c>
      <c r="H2819" s="5">
        <v>5711.2506000000003</v>
      </c>
      <c r="I2819" s="5">
        <v>772611.25060000003</v>
      </c>
      <c r="J2819" s="5">
        <v>773280</v>
      </c>
      <c r="K2819" s="5">
        <v>6380</v>
      </c>
      <c r="L2819" s="5">
        <v>0</v>
      </c>
      <c r="M2819" s="5">
        <v>-435470</v>
      </c>
      <c r="N2819" s="5">
        <v>-511380</v>
      </c>
    </row>
    <row r="2820" spans="1:14" x14ac:dyDescent="0.25">
      <c r="A2820" s="3" t="s">
        <v>2831</v>
      </c>
      <c r="B2820" s="4">
        <v>11.01</v>
      </c>
      <c r="C2820" s="4">
        <v>0.61</v>
      </c>
      <c r="D2820" s="4">
        <v>0.15</v>
      </c>
      <c r="E2820" s="4">
        <v>-1.5441792517104921E-2</v>
      </c>
      <c r="F2820" s="3">
        <v>2818</v>
      </c>
      <c r="G2820" s="3">
        <v>3</v>
      </c>
      <c r="H2820" s="5">
        <v>4272925018.3200002</v>
      </c>
      <c r="I2820" s="5">
        <v>4679174018.3199997</v>
      </c>
      <c r="J2820" s="5">
        <v>740315000</v>
      </c>
      <c r="K2820" s="5">
        <v>334066000</v>
      </c>
      <c r="L2820" s="5">
        <v>2607578000</v>
      </c>
      <c r="M2820" s="5">
        <v>424924000</v>
      </c>
      <c r="N2820" s="5">
        <v>245802000</v>
      </c>
    </row>
    <row r="2821" spans="1:14" x14ac:dyDescent="0.25">
      <c r="A2821" s="3" t="s">
        <v>2832</v>
      </c>
      <c r="B2821" s="4">
        <v>8.7899999999999991</v>
      </c>
      <c r="C2821" s="4">
        <v>0.14000000000000001</v>
      </c>
      <c r="D2821" s="4">
        <v>0.05</v>
      </c>
      <c r="E2821" s="4">
        <v>-1.544507864780831E-2</v>
      </c>
      <c r="F2821" s="3">
        <v>2819</v>
      </c>
      <c r="G2821" s="3">
        <v>3</v>
      </c>
      <c r="H2821" s="5">
        <v>70689705735.039993</v>
      </c>
      <c r="I2821" s="5">
        <v>93633705735.039993</v>
      </c>
      <c r="J2821" s="5">
        <v>31232000000</v>
      </c>
      <c r="K2821" s="5">
        <v>8288000000</v>
      </c>
      <c r="L2821" s="5">
        <v>176810000000</v>
      </c>
      <c r="M2821" s="5">
        <v>10650000000.000099</v>
      </c>
      <c r="N2821" s="5">
        <v>5980000000</v>
      </c>
    </row>
    <row r="2822" spans="1:14" x14ac:dyDescent="0.25">
      <c r="A2822" s="3" t="s">
        <v>2833</v>
      </c>
      <c r="B2822" s="4">
        <v>8.56</v>
      </c>
      <c r="C2822" s="4">
        <v>0.09</v>
      </c>
      <c r="D2822" s="4">
        <v>0.04</v>
      </c>
      <c r="E2822" s="4">
        <v>-1.5449123978425331E-2</v>
      </c>
      <c r="F2822" s="3">
        <v>2820</v>
      </c>
      <c r="G2822" s="3">
        <v>3</v>
      </c>
      <c r="H2822" s="5">
        <v>139925262854.72</v>
      </c>
      <c r="I2822" s="5">
        <v>203233262854.72</v>
      </c>
      <c r="J2822" s="5">
        <v>64351000000</v>
      </c>
      <c r="K2822" s="5">
        <v>1043000000</v>
      </c>
      <c r="L2822" s="5">
        <v>63627000000</v>
      </c>
      <c r="M2822" s="5">
        <v>23742000000</v>
      </c>
      <c r="N2822" s="5">
        <v>8031000000</v>
      </c>
    </row>
    <row r="2823" spans="1:14" x14ac:dyDescent="0.25">
      <c r="A2823" s="3" t="s">
        <v>2834</v>
      </c>
      <c r="B2823" s="4">
        <v>8.32</v>
      </c>
      <c r="C2823" s="4">
        <v>0.03</v>
      </c>
      <c r="D2823" s="4">
        <v>0.01</v>
      </c>
      <c r="E2823" s="4">
        <v>-1.5479731763514731E-2</v>
      </c>
      <c r="F2823" s="3">
        <v>2821</v>
      </c>
      <c r="G2823" s="3">
        <v>3</v>
      </c>
      <c r="H2823" s="5">
        <v>1221366538.0799999</v>
      </c>
      <c r="I2823" s="5">
        <v>1399966538.0799999</v>
      </c>
      <c r="J2823" s="5">
        <v>492500000</v>
      </c>
      <c r="K2823" s="5">
        <v>313900000</v>
      </c>
      <c r="L2823" s="5">
        <v>2097600000</v>
      </c>
      <c r="M2823" s="5">
        <v>168300000</v>
      </c>
      <c r="N2823" s="5">
        <v>23700000</v>
      </c>
    </row>
    <row r="2824" spans="1:14" x14ac:dyDescent="0.25">
      <c r="A2824" s="3" t="s">
        <v>2835</v>
      </c>
      <c r="B2824" s="4">
        <v>8.8000000000000007</v>
      </c>
      <c r="C2824" s="4">
        <v>0.13</v>
      </c>
      <c r="D2824" s="4">
        <v>0.05</v>
      </c>
      <c r="E2824" s="4">
        <v>-1.548016146051984E-2</v>
      </c>
      <c r="F2824" s="3">
        <v>2822</v>
      </c>
      <c r="G2824" s="3">
        <v>3</v>
      </c>
      <c r="H2824" s="5">
        <v>76074510.030300006</v>
      </c>
      <c r="I2824" s="5">
        <v>70268510.030300006</v>
      </c>
      <c r="J2824" s="5">
        <v>37191000</v>
      </c>
      <c r="K2824" s="5">
        <v>42997000</v>
      </c>
      <c r="L2824" s="5">
        <v>149828000</v>
      </c>
      <c r="M2824" s="5">
        <v>7988000</v>
      </c>
      <c r="N2824" s="5">
        <v>7114000</v>
      </c>
    </row>
    <row r="2825" spans="1:14" x14ac:dyDescent="0.25">
      <c r="A2825" s="3" t="s">
        <v>2836</v>
      </c>
      <c r="B2825" s="4">
        <v>7.85</v>
      </c>
      <c r="C2825" s="4">
        <v>-7.0000000000000007E-2</v>
      </c>
      <c r="D2825" s="4">
        <v>-0.01</v>
      </c>
      <c r="E2825" s="4">
        <v>-1.548163321905169E-2</v>
      </c>
      <c r="F2825" s="3">
        <v>2823</v>
      </c>
      <c r="G2825" s="3">
        <v>3</v>
      </c>
      <c r="H2825" s="5">
        <v>4067871303.9899998</v>
      </c>
      <c r="I2825" s="5">
        <v>28242871303.990002</v>
      </c>
      <c r="J2825" s="5">
        <v>25041000000</v>
      </c>
      <c r="K2825" s="5">
        <v>866000000</v>
      </c>
      <c r="L2825" s="5">
        <v>11245000000</v>
      </c>
      <c r="M2825" s="5">
        <v>3599000000</v>
      </c>
      <c r="N2825" s="5">
        <v>-278000000</v>
      </c>
    </row>
    <row r="2826" spans="1:14" x14ac:dyDescent="0.25">
      <c r="A2826" s="3" t="s">
        <v>2837</v>
      </c>
      <c r="B2826" s="4">
        <v>7.62</v>
      </c>
      <c r="C2826" s="4">
        <v>-0.12</v>
      </c>
      <c r="D2826" s="4">
        <v>0</v>
      </c>
      <c r="E2826" s="4">
        <v>-1.5481820496513679E-2</v>
      </c>
      <c r="F2826" s="3">
        <v>2824</v>
      </c>
      <c r="G2826" s="3">
        <v>3</v>
      </c>
      <c r="H2826" s="5">
        <v>11138491016.4</v>
      </c>
      <c r="I2826" s="5">
        <v>27155491016.400002</v>
      </c>
      <c r="J2826" s="5">
        <v>17906000000</v>
      </c>
      <c r="K2826" s="5">
        <v>1889000000</v>
      </c>
      <c r="L2826" s="5">
        <v>13108000000</v>
      </c>
      <c r="M2826" s="5">
        <v>3563000000</v>
      </c>
      <c r="N2826" s="5">
        <v>-55000000</v>
      </c>
    </row>
    <row r="2827" spans="1:14" x14ac:dyDescent="0.25">
      <c r="A2827" s="3" t="s">
        <v>2838</v>
      </c>
      <c r="B2827" s="4">
        <v>8.85</v>
      </c>
      <c r="C2827" s="4">
        <v>0.14000000000000001</v>
      </c>
      <c r="D2827" s="4">
        <v>0.03</v>
      </c>
      <c r="E2827" s="4">
        <v>-1.5486071935145789E-2</v>
      </c>
      <c r="F2827" s="3">
        <v>2825</v>
      </c>
      <c r="G2827" s="3">
        <v>3</v>
      </c>
      <c r="H2827" s="5">
        <v>4210181633</v>
      </c>
      <c r="I2827" s="5">
        <v>7524180633</v>
      </c>
      <c r="J2827" s="5">
        <v>4136853000</v>
      </c>
      <c r="K2827" s="5">
        <v>822854000</v>
      </c>
      <c r="L2827" s="5">
        <v>5854694000</v>
      </c>
      <c r="M2827" s="5">
        <v>850476000</v>
      </c>
      <c r="N2827" s="5">
        <v>276378000</v>
      </c>
    </row>
    <row r="2828" spans="1:14" x14ac:dyDescent="0.25">
      <c r="A2828" s="3" t="s">
        <v>2839</v>
      </c>
      <c r="B2828" s="4">
        <v>8.7200000000000006</v>
      </c>
      <c r="C2828" s="4">
        <v>0.11</v>
      </c>
      <c r="D2828" s="4">
        <v>0.05</v>
      </c>
      <c r="E2828" s="4">
        <v>-1.5488435028972141E-2</v>
      </c>
      <c r="F2828" s="3">
        <v>2826</v>
      </c>
      <c r="G2828" s="3">
        <v>3</v>
      </c>
      <c r="H2828" s="5">
        <v>1533685183.0799999</v>
      </c>
      <c r="I2828" s="5">
        <v>1954341183.0799999</v>
      </c>
      <c r="J2828" s="5">
        <v>425616000</v>
      </c>
      <c r="K2828" s="5">
        <v>4960000</v>
      </c>
      <c r="L2828" s="5">
        <v>2019787000</v>
      </c>
      <c r="M2828" s="5">
        <v>224200000</v>
      </c>
      <c r="N2828" s="5">
        <v>110170000</v>
      </c>
    </row>
    <row r="2829" spans="1:14" x14ac:dyDescent="0.25">
      <c r="A2829" s="3" t="s">
        <v>2840</v>
      </c>
      <c r="B2829" s="4">
        <v>8.2899999999999991</v>
      </c>
      <c r="C2829" s="4">
        <v>0.02</v>
      </c>
      <c r="D2829" s="4">
        <v>0.01</v>
      </c>
      <c r="E2829" s="4">
        <v>-1.5490057753437959E-2</v>
      </c>
      <c r="F2829" s="3">
        <v>2827</v>
      </c>
      <c r="G2829" s="3">
        <v>3</v>
      </c>
      <c r="H2829" s="5">
        <v>6367348602.54</v>
      </c>
      <c r="I2829" s="5">
        <v>6678391602.54</v>
      </c>
      <c r="J2829" s="5">
        <v>1354295000</v>
      </c>
      <c r="K2829" s="5">
        <v>1043252000</v>
      </c>
      <c r="L2829" s="5">
        <v>7798480000</v>
      </c>
      <c r="M2829" s="5">
        <v>805799000</v>
      </c>
      <c r="N2829" s="5">
        <v>84662000</v>
      </c>
    </row>
    <row r="2830" spans="1:14" x14ac:dyDescent="0.25">
      <c r="A2830" s="3" t="s">
        <v>2841</v>
      </c>
      <c r="B2830" s="4">
        <v>8.48</v>
      </c>
      <c r="C2830" s="4">
        <v>0.06</v>
      </c>
      <c r="D2830" s="4">
        <v>0.02</v>
      </c>
      <c r="E2830" s="4">
        <v>-1.5490149207047089E-2</v>
      </c>
      <c r="F2830" s="3">
        <v>2828</v>
      </c>
      <c r="G2830" s="3">
        <v>3</v>
      </c>
      <c r="H2830" s="5">
        <v>7242945742.1999998</v>
      </c>
      <c r="I2830" s="5">
        <v>14172945742.200001</v>
      </c>
      <c r="J2830" s="5">
        <v>7143000000</v>
      </c>
      <c r="K2830" s="5">
        <v>213000000</v>
      </c>
      <c r="L2830" s="5">
        <v>7210000000</v>
      </c>
      <c r="M2830" s="5">
        <v>1671000000</v>
      </c>
      <c r="N2830" s="5">
        <v>269000000</v>
      </c>
    </row>
    <row r="2831" spans="1:14" x14ac:dyDescent="0.25">
      <c r="A2831" s="3" t="s">
        <v>2842</v>
      </c>
      <c r="B2831" s="4">
        <v>8.67</v>
      </c>
      <c r="C2831" s="4">
        <v>0.1</v>
      </c>
      <c r="D2831" s="4">
        <v>0.02</v>
      </c>
      <c r="E2831" s="4">
        <v>-1.549216968723373E-2</v>
      </c>
      <c r="F2831" s="3">
        <v>2829</v>
      </c>
      <c r="G2831" s="3">
        <v>3</v>
      </c>
      <c r="H2831" s="5">
        <v>21848209039.68</v>
      </c>
      <c r="I2831" s="5">
        <v>58236209039.68</v>
      </c>
      <c r="J2831" s="5">
        <v>36581000000</v>
      </c>
      <c r="K2831" s="5">
        <v>193000000</v>
      </c>
      <c r="L2831" s="5">
        <v>17596000000</v>
      </c>
      <c r="M2831" s="5">
        <v>6717000000</v>
      </c>
      <c r="N2831" s="5">
        <v>1546000000</v>
      </c>
    </row>
    <row r="2832" spans="1:14" x14ac:dyDescent="0.25">
      <c r="A2832" s="3" t="s">
        <v>2843</v>
      </c>
      <c r="B2832" s="4">
        <v>9.2100000000000009</v>
      </c>
      <c r="C2832" s="4">
        <v>0.21</v>
      </c>
      <c r="D2832" s="4">
        <v>0.1</v>
      </c>
      <c r="E2832" s="4">
        <v>-1.549312490509683E-2</v>
      </c>
      <c r="F2832" s="3">
        <v>2830</v>
      </c>
      <c r="G2832" s="3">
        <v>3</v>
      </c>
      <c r="H2832" s="5">
        <v>6765164350.3199997</v>
      </c>
      <c r="I2832" s="5">
        <v>7355750350.3199997</v>
      </c>
      <c r="J2832" s="5">
        <v>1238832000</v>
      </c>
      <c r="K2832" s="5">
        <v>648246000</v>
      </c>
      <c r="L2832" s="5">
        <v>4767139000</v>
      </c>
      <c r="M2832" s="5">
        <v>798360000</v>
      </c>
      <c r="N2832" s="5">
        <v>513670000</v>
      </c>
    </row>
    <row r="2833" spans="1:14" x14ac:dyDescent="0.25">
      <c r="A2833" s="3" t="s">
        <v>2844</v>
      </c>
      <c r="B2833" s="4">
        <v>8.44</v>
      </c>
      <c r="C2833" s="4">
        <v>0.05</v>
      </c>
      <c r="D2833" s="4">
        <v>0.02</v>
      </c>
      <c r="E2833" s="4">
        <v>-1.5494285991273241E-2</v>
      </c>
      <c r="F2833" s="3">
        <v>2831</v>
      </c>
      <c r="G2833" s="3">
        <v>3</v>
      </c>
      <c r="H2833" s="5">
        <v>573391941.75</v>
      </c>
      <c r="I2833" s="5">
        <v>1929464941.75</v>
      </c>
      <c r="J2833" s="5">
        <v>1396710000</v>
      </c>
      <c r="K2833" s="5">
        <v>40637000</v>
      </c>
      <c r="L2833" s="5">
        <v>731783000</v>
      </c>
      <c r="M2833" s="5">
        <v>228571000</v>
      </c>
      <c r="N2833" s="5">
        <v>43642000</v>
      </c>
    </row>
    <row r="2834" spans="1:14" x14ac:dyDescent="0.25">
      <c r="A2834" s="3" t="s">
        <v>2845</v>
      </c>
      <c r="B2834" s="4">
        <v>8.36</v>
      </c>
      <c r="C2834" s="4">
        <v>0.03</v>
      </c>
      <c r="D2834" s="4">
        <v>0.01</v>
      </c>
      <c r="E2834" s="4">
        <v>-1.5504488586303039E-2</v>
      </c>
      <c r="F2834" s="3">
        <v>2832</v>
      </c>
      <c r="G2834" s="3">
        <v>3</v>
      </c>
      <c r="H2834" s="5">
        <v>7174873492.3999996</v>
      </c>
      <c r="I2834" s="5">
        <v>9915594492.3999996</v>
      </c>
      <c r="J2834" s="5">
        <v>2778943000</v>
      </c>
      <c r="K2834" s="5">
        <v>38222000</v>
      </c>
      <c r="L2834" s="5">
        <v>1944810000</v>
      </c>
      <c r="M2834" s="5">
        <v>1185879000</v>
      </c>
      <c r="N2834" s="5">
        <v>77513000</v>
      </c>
    </row>
    <row r="2835" spans="1:14" x14ac:dyDescent="0.25">
      <c r="A2835" s="3" t="s">
        <v>2846</v>
      </c>
      <c r="B2835" s="4">
        <v>8.23</v>
      </c>
      <c r="C2835" s="4">
        <v>0</v>
      </c>
      <c r="D2835" s="4">
        <v>0</v>
      </c>
      <c r="E2835" s="4">
        <v>-1.551263875986192E-2</v>
      </c>
      <c r="F2835" s="3">
        <v>2833</v>
      </c>
      <c r="G2835" s="3">
        <v>3</v>
      </c>
      <c r="H2835" s="5">
        <v>176006134.56</v>
      </c>
      <c r="I2835" s="5">
        <v>1250559134.5599999</v>
      </c>
      <c r="J2835" s="5">
        <v>1210018000</v>
      </c>
      <c r="K2835" s="5">
        <v>135465000</v>
      </c>
      <c r="L2835" s="5">
        <v>728404000</v>
      </c>
      <c r="M2835" s="5">
        <v>151934000</v>
      </c>
      <c r="N2835" s="5">
        <v>-1693000</v>
      </c>
    </row>
    <row r="2836" spans="1:14" x14ac:dyDescent="0.25">
      <c r="A2836" s="3" t="s">
        <v>2847</v>
      </c>
      <c r="B2836" s="4">
        <v>9.66</v>
      </c>
      <c r="C2836" s="4">
        <v>0.3</v>
      </c>
      <c r="D2836" s="4">
        <v>0.09</v>
      </c>
      <c r="E2836" s="4">
        <v>-1.55135257249127E-2</v>
      </c>
      <c r="F2836" s="3">
        <v>2834</v>
      </c>
      <c r="G2836" s="3">
        <v>3</v>
      </c>
      <c r="H2836" s="5">
        <v>54336805391.220001</v>
      </c>
      <c r="I2836" s="5">
        <v>67285805391.220001</v>
      </c>
      <c r="J2836" s="5">
        <v>13406000000</v>
      </c>
      <c r="K2836" s="5">
        <v>457000000</v>
      </c>
      <c r="L2836" s="5">
        <v>15345000000</v>
      </c>
      <c r="M2836" s="5">
        <v>6968000000</v>
      </c>
      <c r="N2836" s="5">
        <v>2575000000</v>
      </c>
    </row>
    <row r="2837" spans="1:14" x14ac:dyDescent="0.25">
      <c r="A2837" s="3" t="s">
        <v>2848</v>
      </c>
      <c r="B2837" s="4">
        <v>8.0500000000000007</v>
      </c>
      <c r="C2837" s="4">
        <v>-0.04</v>
      </c>
      <c r="D2837" s="4">
        <v>-0.02</v>
      </c>
      <c r="E2837" s="4">
        <v>-1.5520665538527359E-2</v>
      </c>
      <c r="F2837" s="3">
        <v>2835</v>
      </c>
      <c r="G2837" s="3">
        <v>3</v>
      </c>
      <c r="H2837" s="5">
        <v>2077500491.4000001</v>
      </c>
      <c r="I2837" s="5">
        <v>5136800491.3999996</v>
      </c>
      <c r="J2837" s="5">
        <v>3618100000</v>
      </c>
      <c r="K2837" s="5">
        <v>558800000</v>
      </c>
      <c r="L2837" s="5">
        <v>4373400000</v>
      </c>
      <c r="M2837" s="5">
        <v>637800000</v>
      </c>
      <c r="N2837" s="5">
        <v>-171800000</v>
      </c>
    </row>
    <row r="2838" spans="1:14" x14ac:dyDescent="0.25">
      <c r="A2838" s="3" t="s">
        <v>2849</v>
      </c>
      <c r="B2838" s="4">
        <v>8.58</v>
      </c>
      <c r="C2838" s="4">
        <v>7.0000000000000007E-2</v>
      </c>
      <c r="D2838" s="4">
        <v>0.03</v>
      </c>
      <c r="E2838" s="4">
        <v>-1.5521218630425901E-2</v>
      </c>
      <c r="F2838" s="3">
        <v>2836</v>
      </c>
      <c r="G2838" s="3">
        <v>3</v>
      </c>
      <c r="H2838" s="5">
        <v>709132288.495</v>
      </c>
      <c r="I2838" s="5">
        <v>1051759288.495</v>
      </c>
      <c r="J2838" s="5">
        <v>385312000</v>
      </c>
      <c r="K2838" s="5">
        <v>42685000</v>
      </c>
      <c r="L2838" s="5">
        <v>1578887000</v>
      </c>
      <c r="M2838" s="5">
        <v>122546000</v>
      </c>
      <c r="N2838" s="5">
        <v>41224000</v>
      </c>
    </row>
    <row r="2839" spans="1:14" x14ac:dyDescent="0.25">
      <c r="A2839" s="3" t="s">
        <v>2850</v>
      </c>
      <c r="B2839" s="4">
        <v>-1.49</v>
      </c>
      <c r="C2839" s="4">
        <v>-2.0099999999999998</v>
      </c>
      <c r="D2839" s="4">
        <v>-1.1299999999999999</v>
      </c>
      <c r="E2839" s="4">
        <v>-1.552232583546685E-2</v>
      </c>
      <c r="F2839" s="3">
        <v>2837</v>
      </c>
      <c r="G2839" s="3">
        <v>3</v>
      </c>
      <c r="H2839" s="5">
        <v>45314968.549999997</v>
      </c>
      <c r="I2839" s="5">
        <v>39634968.549999997</v>
      </c>
      <c r="J2839" s="5">
        <v>5444000</v>
      </c>
      <c r="K2839" s="5">
        <v>11124000</v>
      </c>
      <c r="L2839" s="5">
        <v>10805000</v>
      </c>
      <c r="M2839" s="5">
        <v>-26551000</v>
      </c>
      <c r="N2839" s="5">
        <v>-31734000</v>
      </c>
    </row>
    <row r="2840" spans="1:14" x14ac:dyDescent="0.25">
      <c r="A2840" s="3" t="s">
        <v>2851</v>
      </c>
      <c r="B2840" s="4">
        <v>3.84</v>
      </c>
      <c r="C2840" s="4">
        <v>-0.93</v>
      </c>
      <c r="D2840" s="4">
        <v>-0.24</v>
      </c>
      <c r="E2840" s="4">
        <v>-1.552897954904965E-2</v>
      </c>
      <c r="F2840" s="3">
        <v>2838</v>
      </c>
      <c r="G2840" s="3">
        <v>3</v>
      </c>
      <c r="H2840" s="5">
        <v>575.15740000000005</v>
      </c>
      <c r="I2840" s="5">
        <v>-9900144.8425999992</v>
      </c>
      <c r="J2840" s="5">
        <v>0</v>
      </c>
      <c r="K2840" s="5">
        <v>9900720</v>
      </c>
      <c r="L2840" s="5">
        <v>6457730</v>
      </c>
      <c r="M2840" s="5">
        <v>-2579570</v>
      </c>
      <c r="N2840" s="5">
        <v>-2766910</v>
      </c>
    </row>
    <row r="2841" spans="1:14" x14ac:dyDescent="0.25">
      <c r="A2841" s="3" t="s">
        <v>2852</v>
      </c>
      <c r="B2841" s="4">
        <v>8.16</v>
      </c>
      <c r="C2841" s="4">
        <v>-0.02</v>
      </c>
      <c r="D2841" s="4">
        <v>-0.01</v>
      </c>
      <c r="E2841" s="4">
        <v>-1.55290305605888E-2</v>
      </c>
      <c r="F2841" s="3">
        <v>2839</v>
      </c>
      <c r="G2841" s="3">
        <v>3</v>
      </c>
      <c r="H2841" s="5">
        <v>10373497.199999999</v>
      </c>
      <c r="I2841" s="5">
        <v>-3804502.8000000012</v>
      </c>
      <c r="J2841" s="5">
        <v>32750</v>
      </c>
      <c r="K2841" s="5">
        <v>14210750</v>
      </c>
      <c r="L2841" s="5">
        <v>15649450</v>
      </c>
      <c r="M2841" s="5">
        <v>-466200</v>
      </c>
      <c r="N2841" s="5">
        <v>-369630</v>
      </c>
    </row>
    <row r="2842" spans="1:14" x14ac:dyDescent="0.25">
      <c r="A2842" s="3" t="s">
        <v>2853</v>
      </c>
      <c r="B2842" s="4">
        <v>8.2100000000000009</v>
      </c>
      <c r="C2842" s="4">
        <v>-0.01</v>
      </c>
      <c r="D2842" s="4">
        <v>0</v>
      </c>
      <c r="E2842" s="4">
        <v>-1.552915395548222E-2</v>
      </c>
      <c r="F2842" s="3">
        <v>2840</v>
      </c>
      <c r="G2842" s="3">
        <v>3</v>
      </c>
      <c r="H2842" s="5">
        <v>850395431.29999995</v>
      </c>
      <c r="I2842" s="5">
        <v>5881395431.3000002</v>
      </c>
      <c r="J2842" s="5">
        <v>5314000000</v>
      </c>
      <c r="K2842" s="5">
        <v>283000000</v>
      </c>
      <c r="L2842" s="5">
        <v>1230000000</v>
      </c>
      <c r="M2842" s="5">
        <v>716000000</v>
      </c>
      <c r="N2842" s="5">
        <v>-23000000</v>
      </c>
    </row>
    <row r="2843" spans="1:14" x14ac:dyDescent="0.25">
      <c r="A2843" s="3" t="s">
        <v>2854</v>
      </c>
      <c r="B2843" s="4">
        <v>9.0500000000000007</v>
      </c>
      <c r="C2843" s="4">
        <v>0.16</v>
      </c>
      <c r="D2843" s="4">
        <v>0.11</v>
      </c>
      <c r="E2843" s="4">
        <v>-1.5536636622438369E-2</v>
      </c>
      <c r="F2843" s="3">
        <v>2841</v>
      </c>
      <c r="G2843" s="3">
        <v>3</v>
      </c>
      <c r="H2843" s="5">
        <v>128117884.20999999</v>
      </c>
      <c r="I2843" s="5">
        <v>119838884.20999999</v>
      </c>
      <c r="J2843" s="5">
        <v>19005000</v>
      </c>
      <c r="K2843" s="5">
        <v>27284000</v>
      </c>
      <c r="L2843" s="5">
        <v>159199000</v>
      </c>
      <c r="M2843" s="5">
        <v>13244000</v>
      </c>
      <c r="N2843" s="5">
        <v>14741000</v>
      </c>
    </row>
    <row r="2844" spans="1:14" x14ac:dyDescent="0.25">
      <c r="A2844" s="3" t="s">
        <v>2855</v>
      </c>
      <c r="B2844" s="4">
        <v>9.09</v>
      </c>
      <c r="C2844" s="4">
        <v>0.17</v>
      </c>
      <c r="D2844" s="4">
        <v>0.08</v>
      </c>
      <c r="E2844" s="4">
        <v>-1.5538286917944739E-2</v>
      </c>
      <c r="F2844" s="3">
        <v>2842</v>
      </c>
      <c r="G2844" s="3">
        <v>3</v>
      </c>
      <c r="H2844" s="5">
        <v>3696640780.1399999</v>
      </c>
      <c r="I2844" s="5">
        <v>4411140780.1399994</v>
      </c>
      <c r="J2844" s="5">
        <v>1082700000</v>
      </c>
      <c r="K2844" s="5">
        <v>368200000</v>
      </c>
      <c r="L2844" s="5">
        <v>2362600000</v>
      </c>
      <c r="M2844" s="5">
        <v>485400000</v>
      </c>
      <c r="N2844" s="5">
        <v>373400000</v>
      </c>
    </row>
    <row r="2845" spans="1:14" x14ac:dyDescent="0.25">
      <c r="A2845" s="3" t="s">
        <v>2856</v>
      </c>
      <c r="B2845" s="4">
        <v>8.52</v>
      </c>
      <c r="C2845" s="4">
        <v>0.05</v>
      </c>
      <c r="D2845" s="4">
        <v>0.04</v>
      </c>
      <c r="E2845" s="4">
        <v>-1.5539941583694849E-2</v>
      </c>
      <c r="F2845" s="3">
        <v>2843</v>
      </c>
      <c r="G2845" s="3">
        <v>3</v>
      </c>
      <c r="H2845" s="5">
        <v>9220977.3049999997</v>
      </c>
      <c r="I2845" s="5">
        <v>3415977.3050000002</v>
      </c>
      <c r="J2845" s="5">
        <v>0</v>
      </c>
      <c r="K2845" s="5">
        <v>5805000</v>
      </c>
      <c r="L2845" s="5">
        <v>15383000</v>
      </c>
      <c r="M2845" s="5">
        <v>401000</v>
      </c>
      <c r="N2845" s="5">
        <v>734000</v>
      </c>
    </row>
    <row r="2846" spans="1:14" x14ac:dyDescent="0.25">
      <c r="A2846" s="3" t="s">
        <v>2857</v>
      </c>
      <c r="B2846" s="4">
        <v>8.3800000000000008</v>
      </c>
      <c r="C2846" s="4">
        <v>0.02</v>
      </c>
      <c r="D2846" s="4">
        <v>0.01</v>
      </c>
      <c r="E2846" s="4">
        <v>-1.554576060471166E-2</v>
      </c>
      <c r="F2846" s="3">
        <v>2844</v>
      </c>
      <c r="G2846" s="3">
        <v>3</v>
      </c>
      <c r="H2846" s="5">
        <v>5513053920.75</v>
      </c>
      <c r="I2846" s="5">
        <v>6878736920.75</v>
      </c>
      <c r="J2846" s="5">
        <v>1655871000</v>
      </c>
      <c r="K2846" s="5">
        <v>290188000</v>
      </c>
      <c r="L2846" s="5">
        <v>3047324000</v>
      </c>
      <c r="M2846" s="5">
        <v>820368000</v>
      </c>
      <c r="N2846" s="5">
        <v>69675000</v>
      </c>
    </row>
    <row r="2847" spans="1:14" x14ac:dyDescent="0.25">
      <c r="A2847" s="3" t="s">
        <v>2858</v>
      </c>
      <c r="B2847" s="4">
        <v>8.73</v>
      </c>
      <c r="C2847" s="4">
        <v>0.09</v>
      </c>
      <c r="D2847" s="4">
        <v>0.06</v>
      </c>
      <c r="E2847" s="4">
        <v>-1.5550482422120629E-2</v>
      </c>
      <c r="F2847" s="3">
        <v>2845</v>
      </c>
      <c r="G2847" s="3">
        <v>3</v>
      </c>
      <c r="H2847" s="5">
        <v>6687283702.3199997</v>
      </c>
      <c r="I2847" s="5">
        <v>5847583702.3199997</v>
      </c>
      <c r="J2847" s="5">
        <v>395100000</v>
      </c>
      <c r="K2847" s="5">
        <v>1234800000</v>
      </c>
      <c r="L2847" s="5">
        <v>2473200000</v>
      </c>
      <c r="M2847" s="5">
        <v>670200000</v>
      </c>
      <c r="N2847" s="5">
        <v>408900000</v>
      </c>
    </row>
    <row r="2848" spans="1:14" x14ac:dyDescent="0.25">
      <c r="A2848" s="3" t="s">
        <v>2859</v>
      </c>
      <c r="B2848" s="4">
        <v>7.66</v>
      </c>
      <c r="C2848" s="4">
        <v>-0.13</v>
      </c>
      <c r="D2848" s="4">
        <v>-0.08</v>
      </c>
      <c r="E2848" s="4">
        <v>-1.5550903138936501E-2</v>
      </c>
      <c r="F2848" s="3">
        <v>2846</v>
      </c>
      <c r="G2848" s="3">
        <v>3</v>
      </c>
      <c r="H2848" s="5">
        <v>136281414.28</v>
      </c>
      <c r="I2848" s="5">
        <v>610903414.27999997</v>
      </c>
      <c r="J2848" s="5">
        <v>490222000</v>
      </c>
      <c r="K2848" s="5">
        <v>15600000</v>
      </c>
      <c r="L2848" s="5">
        <v>164055000</v>
      </c>
      <c r="M2848" s="5">
        <v>79797000</v>
      </c>
      <c r="N2848" s="5">
        <v>-103012000</v>
      </c>
    </row>
    <row r="2849" spans="1:14" x14ac:dyDescent="0.25">
      <c r="A2849" s="3" t="s">
        <v>2860</v>
      </c>
      <c r="B2849" s="4">
        <v>8.6300000000000008</v>
      </c>
      <c r="C2849" s="4">
        <v>7.0000000000000007E-2</v>
      </c>
      <c r="D2849" s="4">
        <v>0.03</v>
      </c>
      <c r="E2849" s="4">
        <v>-1.555216465891129E-2</v>
      </c>
      <c r="F2849" s="3">
        <v>2847</v>
      </c>
      <c r="G2849" s="3">
        <v>3</v>
      </c>
      <c r="H2849" s="5">
        <v>324904716.77999997</v>
      </c>
      <c r="I2849" s="5">
        <v>680013846.77999997</v>
      </c>
      <c r="J2849" s="5">
        <v>398552710</v>
      </c>
      <c r="K2849" s="5">
        <v>43443580</v>
      </c>
      <c r="L2849" s="5">
        <v>536536250</v>
      </c>
      <c r="M2849" s="5">
        <v>78824340</v>
      </c>
      <c r="N2849" s="5">
        <v>28903380</v>
      </c>
    </row>
    <row r="2850" spans="1:14" x14ac:dyDescent="0.25">
      <c r="A2850" s="3" t="s">
        <v>2861</v>
      </c>
      <c r="B2850" s="4">
        <v>8.8800000000000008</v>
      </c>
      <c r="C2850" s="4">
        <v>0.12</v>
      </c>
      <c r="D2850" s="4">
        <v>0.04</v>
      </c>
      <c r="E2850" s="4">
        <v>-1.556049773968843E-2</v>
      </c>
      <c r="F2850" s="3">
        <v>2848</v>
      </c>
      <c r="G2850" s="3">
        <v>3</v>
      </c>
      <c r="H2850" s="5">
        <v>4546368893.8800001</v>
      </c>
      <c r="I2850" s="5">
        <v>9528368893.8800011</v>
      </c>
      <c r="J2850" s="5">
        <v>5051400000</v>
      </c>
      <c r="K2850" s="5">
        <v>69400000</v>
      </c>
      <c r="L2850" s="5">
        <v>17188600000</v>
      </c>
      <c r="M2850" s="5">
        <v>1073600000</v>
      </c>
      <c r="N2850" s="5">
        <v>430300000</v>
      </c>
    </row>
    <row r="2851" spans="1:14" x14ac:dyDescent="0.25">
      <c r="A2851" s="3" t="s">
        <v>2862</v>
      </c>
      <c r="B2851" s="4">
        <v>13.66</v>
      </c>
      <c r="C2851" s="4">
        <v>1.1399999999999999</v>
      </c>
      <c r="D2851" s="4">
        <v>0.09</v>
      </c>
      <c r="E2851" s="4">
        <v>-1.5562145014529211E-2</v>
      </c>
      <c r="F2851" s="3">
        <v>2849</v>
      </c>
      <c r="G2851" s="3">
        <v>3</v>
      </c>
      <c r="H2851" s="5">
        <v>4076572405.6799998</v>
      </c>
      <c r="I2851" s="5">
        <v>5322772405.6800003</v>
      </c>
      <c r="J2851" s="5">
        <v>1314500000</v>
      </c>
      <c r="K2851" s="5">
        <v>68300000</v>
      </c>
      <c r="L2851" s="5">
        <v>1619000000</v>
      </c>
      <c r="M2851" s="5">
        <v>389800000</v>
      </c>
      <c r="N2851" s="5">
        <v>211500000</v>
      </c>
    </row>
    <row r="2852" spans="1:14" x14ac:dyDescent="0.25">
      <c r="A2852" s="3" t="s">
        <v>2863</v>
      </c>
      <c r="B2852" s="4">
        <v>8.84</v>
      </c>
      <c r="C2852" s="4">
        <v>0.11</v>
      </c>
      <c r="D2852" s="4">
        <v>0.05</v>
      </c>
      <c r="E2852" s="4">
        <v>-1.556270549733707E-2</v>
      </c>
      <c r="F2852" s="3">
        <v>2850</v>
      </c>
      <c r="G2852" s="3">
        <v>3</v>
      </c>
      <c r="H2852" s="5">
        <v>51894322965.459999</v>
      </c>
      <c r="I2852" s="5">
        <v>57700322965.459999</v>
      </c>
      <c r="J2852" s="5">
        <v>10463000000</v>
      </c>
      <c r="K2852" s="5">
        <v>4657000000</v>
      </c>
      <c r="L2852" s="5">
        <v>129881000000</v>
      </c>
      <c r="M2852" s="5">
        <v>6529000000</v>
      </c>
      <c r="N2852" s="5">
        <v>2770000000</v>
      </c>
    </row>
    <row r="2853" spans="1:14" x14ac:dyDescent="0.25">
      <c r="A2853" s="3" t="s">
        <v>2864</v>
      </c>
      <c r="B2853" s="4">
        <v>9.4700000000000006</v>
      </c>
      <c r="C2853" s="4">
        <v>0.24</v>
      </c>
      <c r="D2853" s="4">
        <v>0.1</v>
      </c>
      <c r="E2853" s="4">
        <v>-1.556736343217747E-2</v>
      </c>
      <c r="F2853" s="3">
        <v>2851</v>
      </c>
      <c r="G2853" s="3">
        <v>3</v>
      </c>
      <c r="H2853" s="5">
        <v>52909087125.660004</v>
      </c>
      <c r="I2853" s="5">
        <v>61744887125.660004</v>
      </c>
      <c r="J2853" s="5">
        <v>15896600000</v>
      </c>
      <c r="K2853" s="5">
        <v>7060800000</v>
      </c>
      <c r="L2853" s="5">
        <v>33663800000</v>
      </c>
      <c r="M2853" s="5">
        <v>6520100000</v>
      </c>
      <c r="N2853" s="5">
        <v>4162000000</v>
      </c>
    </row>
    <row r="2854" spans="1:14" x14ac:dyDescent="0.25">
      <c r="A2854" s="3" t="s">
        <v>2865</v>
      </c>
      <c r="B2854" s="4">
        <v>9.15</v>
      </c>
      <c r="C2854" s="4">
        <v>0.17</v>
      </c>
      <c r="D2854" s="4">
        <v>7.0000000000000007E-2</v>
      </c>
      <c r="E2854" s="4">
        <v>-1.5577351178704721E-2</v>
      </c>
      <c r="F2854" s="3">
        <v>2852</v>
      </c>
      <c r="G2854" s="3">
        <v>3</v>
      </c>
      <c r="H2854" s="5">
        <v>4736749813.7399998</v>
      </c>
      <c r="I2854" s="5">
        <v>5685719813.7399998</v>
      </c>
      <c r="J2854" s="5">
        <v>1132093000</v>
      </c>
      <c r="K2854" s="5">
        <v>183123000</v>
      </c>
      <c r="L2854" s="5">
        <v>5306197000</v>
      </c>
      <c r="M2854" s="5">
        <v>621162000</v>
      </c>
      <c r="N2854" s="5">
        <v>306914000</v>
      </c>
    </row>
    <row r="2855" spans="1:14" x14ac:dyDescent="0.25">
      <c r="A2855" s="3" t="s">
        <v>2866</v>
      </c>
      <c r="B2855" s="4">
        <v>8.67</v>
      </c>
      <c r="C2855" s="4">
        <v>7.0000000000000007E-2</v>
      </c>
      <c r="D2855" s="4">
        <v>0.02</v>
      </c>
      <c r="E2855" s="4">
        <v>-1.557885050827711E-2</v>
      </c>
      <c r="F2855" s="3">
        <v>2853</v>
      </c>
      <c r="G2855" s="3">
        <v>3</v>
      </c>
      <c r="H2855" s="5">
        <v>1343556078.5999999</v>
      </c>
      <c r="I2855" s="5">
        <v>1934722078.5999999</v>
      </c>
      <c r="J2855" s="5">
        <v>741133000</v>
      </c>
      <c r="K2855" s="5">
        <v>149967000</v>
      </c>
      <c r="L2855" s="5">
        <v>1537617000</v>
      </c>
      <c r="M2855" s="5">
        <v>223053000</v>
      </c>
      <c r="N2855" s="5">
        <v>29030000</v>
      </c>
    </row>
    <row r="2856" spans="1:14" x14ac:dyDescent="0.25">
      <c r="A2856" s="3" t="s">
        <v>2867</v>
      </c>
      <c r="B2856" s="4">
        <v>9.1300000000000008</v>
      </c>
      <c r="C2856" s="4">
        <v>0.16</v>
      </c>
      <c r="D2856" s="4">
        <v>0.09</v>
      </c>
      <c r="E2856" s="4">
        <v>-1.559000832117001E-2</v>
      </c>
      <c r="F2856" s="3">
        <v>2854</v>
      </c>
      <c r="G2856" s="3">
        <v>3</v>
      </c>
      <c r="H2856" s="5">
        <v>5784618538.3500004</v>
      </c>
      <c r="I2856" s="5">
        <v>5494137538.3500004</v>
      </c>
      <c r="J2856" s="5">
        <v>0</v>
      </c>
      <c r="K2856" s="5">
        <v>290481000</v>
      </c>
      <c r="L2856" s="5">
        <v>5550666000</v>
      </c>
      <c r="M2856" s="5">
        <v>601562000</v>
      </c>
      <c r="N2856" s="5">
        <v>402462000</v>
      </c>
    </row>
    <row r="2857" spans="1:14" x14ac:dyDescent="0.25">
      <c r="A2857" s="3" t="s">
        <v>2868</v>
      </c>
      <c r="B2857" s="4">
        <v>0.35</v>
      </c>
      <c r="C2857" s="4">
        <v>-1.64</v>
      </c>
      <c r="D2857" s="4">
        <v>-1.1299999999999999</v>
      </c>
      <c r="E2857" s="4">
        <v>-1.559207622419416E-2</v>
      </c>
      <c r="F2857" s="3">
        <v>2855</v>
      </c>
      <c r="G2857" s="3">
        <v>3</v>
      </c>
      <c r="H2857" s="5">
        <v>661.64649999999995</v>
      </c>
      <c r="I2857" s="5">
        <v>-10338338.353499999</v>
      </c>
      <c r="J2857" s="5">
        <v>1861000</v>
      </c>
      <c r="K2857" s="5">
        <v>12200000</v>
      </c>
      <c r="L2857" s="5">
        <v>34460000</v>
      </c>
      <c r="M2857" s="5">
        <v>-29344000</v>
      </c>
      <c r="N2857" s="5">
        <v>-43911000</v>
      </c>
    </row>
    <row r="2858" spans="1:14" x14ac:dyDescent="0.25">
      <c r="A2858" s="3" t="s">
        <v>2869</v>
      </c>
      <c r="B2858" s="4">
        <v>5.16</v>
      </c>
      <c r="C2858" s="4">
        <v>-0.68</v>
      </c>
      <c r="D2858" s="4">
        <v>-0.09</v>
      </c>
      <c r="E2858" s="4">
        <v>-1.559467912703983E-2</v>
      </c>
      <c r="F2858" s="3">
        <v>2856</v>
      </c>
      <c r="G2858" s="3">
        <v>3</v>
      </c>
      <c r="H2858" s="5">
        <v>152399056.81</v>
      </c>
      <c r="I2858" s="5">
        <v>1088945056.8099999</v>
      </c>
      <c r="J2858" s="5">
        <v>1847881000</v>
      </c>
      <c r="K2858" s="5">
        <v>911335000</v>
      </c>
      <c r="L2858" s="5">
        <v>9392264000</v>
      </c>
      <c r="M2858" s="5">
        <v>211107000</v>
      </c>
      <c r="N2858" s="5">
        <v>-762455000</v>
      </c>
    </row>
    <row r="2859" spans="1:14" x14ac:dyDescent="0.25">
      <c r="A2859" s="3" t="s">
        <v>2870</v>
      </c>
      <c r="B2859" s="4">
        <v>7.71</v>
      </c>
      <c r="C2859" s="4">
        <v>-0.14000000000000001</v>
      </c>
      <c r="D2859" s="4">
        <v>-0.03</v>
      </c>
      <c r="E2859" s="4">
        <v>-1.5601097641548821E-2</v>
      </c>
      <c r="F2859" s="3">
        <v>2857</v>
      </c>
      <c r="G2859" s="3">
        <v>3</v>
      </c>
      <c r="H2859" s="5">
        <v>711577837.65999997</v>
      </c>
      <c r="I2859" s="5">
        <v>1447228837.6600001</v>
      </c>
      <c r="J2859" s="5">
        <v>776467000</v>
      </c>
      <c r="K2859" s="5">
        <v>40816000</v>
      </c>
      <c r="L2859" s="5">
        <v>1795737000</v>
      </c>
      <c r="M2859" s="5">
        <v>187622000</v>
      </c>
      <c r="N2859" s="5">
        <v>-59660000</v>
      </c>
    </row>
    <row r="2860" spans="1:14" x14ac:dyDescent="0.25">
      <c r="A2860" s="3" t="s">
        <v>2871</v>
      </c>
      <c r="B2860" s="4">
        <v>8.5299999999999994</v>
      </c>
      <c r="C2860" s="4">
        <v>0.03</v>
      </c>
      <c r="D2860" s="4">
        <v>0.01</v>
      </c>
      <c r="E2860" s="4">
        <v>-1.5609705083153361E-2</v>
      </c>
      <c r="F2860" s="3">
        <v>2858</v>
      </c>
      <c r="G2860" s="3">
        <v>3</v>
      </c>
      <c r="H2860" s="5">
        <v>1036989697.9400001</v>
      </c>
      <c r="I2860" s="5">
        <v>2847261697.9400001</v>
      </c>
      <c r="J2860" s="5">
        <v>2220081000</v>
      </c>
      <c r="K2860" s="5">
        <v>409809000</v>
      </c>
      <c r="L2860" s="5">
        <v>1369440000</v>
      </c>
      <c r="M2860" s="5">
        <v>333627000</v>
      </c>
      <c r="N2860" s="5">
        <v>68021000</v>
      </c>
    </row>
    <row r="2861" spans="1:14" x14ac:dyDescent="0.25">
      <c r="A2861" s="3" t="s">
        <v>2872</v>
      </c>
      <c r="B2861" s="4">
        <v>7.64</v>
      </c>
      <c r="C2861" s="4">
        <v>-0.16</v>
      </c>
      <c r="D2861" s="4">
        <v>-0.01</v>
      </c>
      <c r="E2861" s="4">
        <v>-1.5611702362543179E-2</v>
      </c>
      <c r="F2861" s="3">
        <v>2859</v>
      </c>
      <c r="G2861" s="3">
        <v>3</v>
      </c>
      <c r="H2861" s="5">
        <v>3168077.46</v>
      </c>
      <c r="I2861" s="5">
        <v>446887077.45999998</v>
      </c>
      <c r="J2861" s="5">
        <v>486683000</v>
      </c>
      <c r="K2861" s="5">
        <v>42964000</v>
      </c>
      <c r="L2861" s="5">
        <v>104574000</v>
      </c>
      <c r="M2861" s="5">
        <v>58476000</v>
      </c>
      <c r="N2861" s="5">
        <v>-9576000</v>
      </c>
    </row>
    <row r="2862" spans="1:14" x14ac:dyDescent="0.25">
      <c r="A2862" s="3" t="s">
        <v>2873</v>
      </c>
      <c r="B2862" s="4">
        <v>9.34</v>
      </c>
      <c r="C2862" s="4">
        <v>0.2</v>
      </c>
      <c r="D2862" s="4">
        <v>0.04</v>
      </c>
      <c r="E2862" s="4">
        <v>-1.561405234563833E-2</v>
      </c>
      <c r="F2862" s="3">
        <v>2860</v>
      </c>
      <c r="G2862" s="3">
        <v>3</v>
      </c>
      <c r="H2862" s="5">
        <v>2086584085.04</v>
      </c>
      <c r="I2862" s="5">
        <v>5925784085.04</v>
      </c>
      <c r="J2862" s="5">
        <v>3883200000</v>
      </c>
      <c r="K2862" s="5">
        <v>44000000</v>
      </c>
      <c r="L2862" s="5">
        <v>14224300000</v>
      </c>
      <c r="M2862" s="5">
        <v>634400000</v>
      </c>
      <c r="N2862" s="5">
        <v>216000000</v>
      </c>
    </row>
    <row r="2863" spans="1:14" x14ac:dyDescent="0.25">
      <c r="A2863" s="3" t="s">
        <v>2874</v>
      </c>
      <c r="B2863" s="4">
        <v>8.83</v>
      </c>
      <c r="C2863" s="4">
        <v>0.09</v>
      </c>
      <c r="D2863" s="4">
        <v>0.05</v>
      </c>
      <c r="E2863" s="4">
        <v>-1.5614303505668911E-2</v>
      </c>
      <c r="F2863" s="3">
        <v>2861</v>
      </c>
      <c r="G2863" s="3">
        <v>3</v>
      </c>
      <c r="H2863" s="5">
        <v>9034920122.3500004</v>
      </c>
      <c r="I2863" s="5">
        <v>9116440122.3500004</v>
      </c>
      <c r="J2863" s="5">
        <v>1215073000</v>
      </c>
      <c r="K2863" s="5">
        <v>1133553000</v>
      </c>
      <c r="L2863" s="5">
        <v>6317692000</v>
      </c>
      <c r="M2863" s="5">
        <v>1032596000</v>
      </c>
      <c r="N2863" s="5">
        <v>354012000</v>
      </c>
    </row>
    <row r="2864" spans="1:14" x14ac:dyDescent="0.25">
      <c r="A2864" s="3" t="s">
        <v>2875</v>
      </c>
      <c r="B2864" s="4">
        <v>8.59</v>
      </c>
      <c r="C2864" s="4">
        <v>0.04</v>
      </c>
      <c r="D2864" s="4">
        <v>0.02</v>
      </c>
      <c r="E2864" s="4">
        <v>-1.561601768374386E-2</v>
      </c>
      <c r="F2864" s="3">
        <v>2862</v>
      </c>
      <c r="G2864" s="3">
        <v>3</v>
      </c>
      <c r="H2864" s="5">
        <v>18652988960.41</v>
      </c>
      <c r="I2864" s="5">
        <v>26686988960.41</v>
      </c>
      <c r="J2864" s="5">
        <v>9751000000</v>
      </c>
      <c r="K2864" s="5">
        <v>1717000000</v>
      </c>
      <c r="L2864" s="5">
        <v>53309000000</v>
      </c>
      <c r="M2864" s="5">
        <v>3106000000</v>
      </c>
      <c r="N2864" s="5">
        <v>800000000</v>
      </c>
    </row>
    <row r="2865" spans="1:14" x14ac:dyDescent="0.25">
      <c r="A2865" s="3" t="s">
        <v>2876</v>
      </c>
      <c r="B2865" s="4">
        <v>6.31</v>
      </c>
      <c r="C2865" s="4">
        <v>-0.44</v>
      </c>
      <c r="D2865" s="4">
        <v>-0.11</v>
      </c>
      <c r="E2865" s="4">
        <v>-1.561684926701176E-2</v>
      </c>
      <c r="F2865" s="3">
        <v>2863</v>
      </c>
      <c r="G2865" s="3">
        <v>3</v>
      </c>
      <c r="H2865" s="5">
        <v>400914651.32999998</v>
      </c>
      <c r="I2865" s="5">
        <v>1895621651.3299999</v>
      </c>
      <c r="J2865" s="5">
        <v>1699940000</v>
      </c>
      <c r="K2865" s="5">
        <v>205233000</v>
      </c>
      <c r="L2865" s="5">
        <v>3566324000</v>
      </c>
      <c r="M2865" s="5">
        <v>300311000</v>
      </c>
      <c r="N2865" s="5">
        <v>-326962000</v>
      </c>
    </row>
    <row r="2866" spans="1:14" x14ac:dyDescent="0.25">
      <c r="A2866" s="3" t="s">
        <v>2877</v>
      </c>
      <c r="B2866" s="4">
        <v>-0.55000000000000004</v>
      </c>
      <c r="C2866" s="4">
        <v>-1.84</v>
      </c>
      <c r="D2866" s="4">
        <v>-1.17</v>
      </c>
      <c r="E2866" s="4">
        <v>-1.5620635958056369E-2</v>
      </c>
      <c r="F2866" s="3">
        <v>2864</v>
      </c>
      <c r="G2866" s="3">
        <v>3</v>
      </c>
      <c r="H2866" s="5">
        <v>67618920</v>
      </c>
      <c r="I2866" s="5">
        <v>30611920</v>
      </c>
      <c r="J2866" s="5">
        <v>1746000</v>
      </c>
      <c r="K2866" s="5">
        <v>38753000</v>
      </c>
      <c r="L2866" s="5">
        <v>4911000</v>
      </c>
      <c r="M2866" s="5">
        <v>-56105000</v>
      </c>
      <c r="N2866" s="5">
        <v>-53036000</v>
      </c>
    </row>
    <row r="2867" spans="1:14" x14ac:dyDescent="0.25">
      <c r="A2867" s="3" t="s">
        <v>2878</v>
      </c>
      <c r="B2867" s="4">
        <v>11.78</v>
      </c>
      <c r="C2867" s="4">
        <v>0.72</v>
      </c>
      <c r="D2867" s="4">
        <v>0.04</v>
      </c>
      <c r="E2867" s="4">
        <v>-1.562175097097341E-2</v>
      </c>
      <c r="F2867" s="3">
        <v>2865</v>
      </c>
      <c r="G2867" s="3">
        <v>3</v>
      </c>
      <c r="H2867" s="5">
        <v>5741908985.46</v>
      </c>
      <c r="I2867" s="5">
        <v>8985005985.4599991</v>
      </c>
      <c r="J2867" s="5">
        <v>3407480000</v>
      </c>
      <c r="K2867" s="5">
        <v>164383000</v>
      </c>
      <c r="L2867" s="5">
        <v>1939011000</v>
      </c>
      <c r="M2867" s="5">
        <v>762508000</v>
      </c>
      <c r="N2867" s="5">
        <v>154051000</v>
      </c>
    </row>
    <row r="2868" spans="1:14" x14ac:dyDescent="0.25">
      <c r="A2868" s="3" t="s">
        <v>2879</v>
      </c>
      <c r="B2868" s="4">
        <v>7.84</v>
      </c>
      <c r="C2868" s="4">
        <v>-0.12</v>
      </c>
      <c r="D2868" s="4">
        <v>-0.02</v>
      </c>
      <c r="E2868" s="4">
        <v>-1.5621841075004399E-2</v>
      </c>
      <c r="F2868" s="3">
        <v>2866</v>
      </c>
      <c r="G2868" s="3">
        <v>3</v>
      </c>
      <c r="H2868" s="5">
        <v>3995537649.3600001</v>
      </c>
      <c r="I2868" s="5">
        <v>9346537649.3600006</v>
      </c>
      <c r="J2868" s="5">
        <v>6626000000</v>
      </c>
      <c r="K2868" s="5">
        <v>1275000000</v>
      </c>
      <c r="L2868" s="5">
        <v>16607000000</v>
      </c>
      <c r="M2868" s="5">
        <v>1192000000</v>
      </c>
      <c r="N2868" s="5">
        <v>-323000000</v>
      </c>
    </row>
    <row r="2869" spans="1:14" x14ac:dyDescent="0.25">
      <c r="A2869" s="3" t="s">
        <v>2880</v>
      </c>
      <c r="B2869" s="4">
        <v>7.02</v>
      </c>
      <c r="C2869" s="4">
        <v>-0.3</v>
      </c>
      <c r="D2869" s="4">
        <v>0.04</v>
      </c>
      <c r="E2869" s="4">
        <v>-1.5622836974639259E-2</v>
      </c>
      <c r="F2869" s="3">
        <v>2867</v>
      </c>
      <c r="G2869" s="3">
        <v>3</v>
      </c>
      <c r="H2869" s="5">
        <v>391557563.57999998</v>
      </c>
      <c r="I2869" s="5">
        <v>1455382563.5799999</v>
      </c>
      <c r="J2869" s="5">
        <v>1250475000</v>
      </c>
      <c r="K2869" s="5">
        <v>186650000</v>
      </c>
      <c r="L2869" s="5">
        <v>812306000</v>
      </c>
      <c r="M2869" s="5">
        <v>207207000</v>
      </c>
      <c r="N2869" s="5">
        <v>64890000</v>
      </c>
    </row>
    <row r="2870" spans="1:14" x14ac:dyDescent="0.25">
      <c r="A2870" s="3" t="s">
        <v>2881</v>
      </c>
      <c r="B2870" s="4">
        <v>6.89</v>
      </c>
      <c r="C2870" s="4">
        <v>-0.32</v>
      </c>
      <c r="D2870" s="4">
        <v>-0.11</v>
      </c>
      <c r="E2870" s="4">
        <v>-1.562909991326876E-2</v>
      </c>
      <c r="F2870" s="3">
        <v>2868</v>
      </c>
      <c r="G2870" s="3">
        <v>3</v>
      </c>
      <c r="H2870" s="5">
        <v>228338696.40000001</v>
      </c>
      <c r="I2870" s="5">
        <v>-1604692303.5999999</v>
      </c>
      <c r="J2870" s="5">
        <v>0</v>
      </c>
      <c r="K2870" s="5">
        <v>1833031000</v>
      </c>
      <c r="L2870" s="5">
        <v>806877000</v>
      </c>
      <c r="M2870" s="5">
        <v>-232912000</v>
      </c>
      <c r="N2870" s="5">
        <v>-617557000</v>
      </c>
    </row>
    <row r="2871" spans="1:14" x14ac:dyDescent="0.25">
      <c r="A2871" s="3" t="s">
        <v>2882</v>
      </c>
      <c r="B2871" s="4">
        <v>9.39</v>
      </c>
      <c r="C2871" s="4">
        <v>0.2</v>
      </c>
      <c r="D2871" s="4">
        <v>0.12</v>
      </c>
      <c r="E2871" s="4">
        <v>-1.5629566161503669E-2</v>
      </c>
      <c r="F2871" s="3">
        <v>2869</v>
      </c>
      <c r="G2871" s="3">
        <v>3</v>
      </c>
      <c r="H2871" s="5">
        <v>2711387269.4400001</v>
      </c>
      <c r="I2871" s="5">
        <v>2521463269.4400001</v>
      </c>
      <c r="J2871" s="5">
        <v>0</v>
      </c>
      <c r="K2871" s="5">
        <v>189924000</v>
      </c>
      <c r="L2871" s="5">
        <v>2282927000</v>
      </c>
      <c r="M2871" s="5">
        <v>268564000</v>
      </c>
      <c r="N2871" s="5">
        <v>169390000</v>
      </c>
    </row>
    <row r="2872" spans="1:14" x14ac:dyDescent="0.25">
      <c r="A2872" s="3" t="s">
        <v>2883</v>
      </c>
      <c r="B2872" s="4">
        <v>8.23</v>
      </c>
      <c r="C2872" s="4">
        <v>-0.04</v>
      </c>
      <c r="D2872" s="4">
        <v>-0.02</v>
      </c>
      <c r="E2872" s="4">
        <v>-1.5632071241074762E-2</v>
      </c>
      <c r="F2872" s="3">
        <v>2870</v>
      </c>
      <c r="G2872" s="3">
        <v>3</v>
      </c>
      <c r="H2872" s="5">
        <v>38209122.359999999</v>
      </c>
      <c r="I2872" s="5">
        <v>84177122.359999999</v>
      </c>
      <c r="J2872" s="5">
        <v>46321000</v>
      </c>
      <c r="K2872" s="5">
        <v>353000</v>
      </c>
      <c r="L2872" s="5">
        <v>272499000</v>
      </c>
      <c r="M2872" s="5">
        <v>10222000</v>
      </c>
      <c r="N2872" s="5">
        <v>-3338000</v>
      </c>
    </row>
    <row r="2873" spans="1:14" x14ac:dyDescent="0.25">
      <c r="A2873" s="3" t="s">
        <v>2884</v>
      </c>
      <c r="B2873" s="4">
        <v>9.36</v>
      </c>
      <c r="C2873" s="4">
        <v>0.19</v>
      </c>
      <c r="D2873" s="4">
        <v>0.16</v>
      </c>
      <c r="E2873" s="4">
        <v>-1.563217604511687E-2</v>
      </c>
      <c r="F2873" s="3">
        <v>2871</v>
      </c>
      <c r="G2873" s="3">
        <v>3</v>
      </c>
      <c r="H2873" s="5">
        <v>35244683.68</v>
      </c>
      <c r="I2873" s="5">
        <v>32385683.68</v>
      </c>
      <c r="J2873" s="5">
        <v>0</v>
      </c>
      <c r="K2873" s="5">
        <v>2859000</v>
      </c>
      <c r="L2873" s="5">
        <v>12039000</v>
      </c>
      <c r="M2873" s="5">
        <v>3460000</v>
      </c>
      <c r="N2873" s="5">
        <v>2702000</v>
      </c>
    </row>
    <row r="2874" spans="1:14" x14ac:dyDescent="0.25">
      <c r="A2874" s="3" t="s">
        <v>2885</v>
      </c>
      <c r="B2874" s="4">
        <v>8.83</v>
      </c>
      <c r="C2874" s="4">
        <v>0.08</v>
      </c>
      <c r="D2874" s="4">
        <v>0.08</v>
      </c>
      <c r="E2874" s="4">
        <v>-1.5637410032950851E-2</v>
      </c>
      <c r="F2874" s="3">
        <v>2872</v>
      </c>
      <c r="G2874" s="3">
        <v>3</v>
      </c>
      <c r="H2874" s="5">
        <v>15511700</v>
      </c>
      <c r="I2874" s="5">
        <v>12252330</v>
      </c>
      <c r="J2874" s="5">
        <v>0</v>
      </c>
      <c r="K2874" s="5">
        <v>3259370</v>
      </c>
      <c r="L2874" s="5">
        <v>7073460</v>
      </c>
      <c r="M2874" s="5">
        <v>1387250</v>
      </c>
      <c r="N2874" s="5">
        <v>1114080</v>
      </c>
    </row>
    <row r="2875" spans="1:14" x14ac:dyDescent="0.25">
      <c r="A2875" s="3" t="s">
        <v>2886</v>
      </c>
      <c r="B2875" s="4">
        <v>10.98</v>
      </c>
      <c r="C2875" s="4">
        <v>0.53</v>
      </c>
      <c r="D2875" s="4">
        <v>0.23</v>
      </c>
      <c r="E2875" s="4">
        <v>-1.563894154350931E-2</v>
      </c>
      <c r="F2875" s="3">
        <v>2873</v>
      </c>
      <c r="G2875" s="3">
        <v>3</v>
      </c>
      <c r="H2875" s="5">
        <v>13757130374.02</v>
      </c>
      <c r="I2875" s="5">
        <v>14894230374.02</v>
      </c>
      <c r="J2875" s="5">
        <v>1890600000</v>
      </c>
      <c r="K2875" s="5">
        <v>753500000</v>
      </c>
      <c r="L2875" s="5">
        <v>5003600000</v>
      </c>
      <c r="M2875" s="5">
        <v>1356900000</v>
      </c>
      <c r="N2875" s="5">
        <v>1311800000</v>
      </c>
    </row>
    <row r="2876" spans="1:14" x14ac:dyDescent="0.25">
      <c r="A2876" s="3" t="s">
        <v>2887</v>
      </c>
      <c r="B2876" s="4">
        <v>8.39</v>
      </c>
      <c r="C2876" s="4">
        <v>-0.01</v>
      </c>
      <c r="D2876" s="4">
        <v>0</v>
      </c>
      <c r="E2876" s="4">
        <v>-1.5640559658029619E-2</v>
      </c>
      <c r="F2876" s="3">
        <v>2874</v>
      </c>
      <c r="G2876" s="3">
        <v>3</v>
      </c>
      <c r="H2876" s="5">
        <v>4082420000</v>
      </c>
      <c r="I2876" s="5">
        <v>6797420000</v>
      </c>
      <c r="J2876" s="5">
        <v>2859000000</v>
      </c>
      <c r="K2876" s="5">
        <v>144000000</v>
      </c>
      <c r="L2876" s="5">
        <v>3770000000</v>
      </c>
      <c r="M2876" s="5">
        <v>810000000</v>
      </c>
      <c r="N2876" s="5">
        <v>-39000000</v>
      </c>
    </row>
    <row r="2877" spans="1:14" x14ac:dyDescent="0.25">
      <c r="A2877" s="3" t="s">
        <v>2888</v>
      </c>
      <c r="B2877" s="4">
        <v>7.76</v>
      </c>
      <c r="C2877" s="4">
        <v>-0.15</v>
      </c>
      <c r="D2877" s="4">
        <v>-0.04</v>
      </c>
      <c r="E2877" s="4">
        <v>-1.566286630362617E-2</v>
      </c>
      <c r="F2877" s="3">
        <v>2875</v>
      </c>
      <c r="G2877" s="3">
        <v>3</v>
      </c>
      <c r="H2877" s="5">
        <v>2227460710.8000002</v>
      </c>
      <c r="I2877" s="5">
        <v>3921160710.8000002</v>
      </c>
      <c r="J2877" s="5">
        <v>1893000000</v>
      </c>
      <c r="K2877" s="5">
        <v>199300000</v>
      </c>
      <c r="L2877" s="5">
        <v>3182800000</v>
      </c>
      <c r="M2877" s="5">
        <v>505000000</v>
      </c>
      <c r="N2877" s="5">
        <v>-211000000</v>
      </c>
    </row>
    <row r="2878" spans="1:14" x14ac:dyDescent="0.25">
      <c r="A2878" s="3" t="s">
        <v>2889</v>
      </c>
      <c r="B2878" s="4">
        <v>7.95</v>
      </c>
      <c r="C2878" s="4">
        <v>-0.11</v>
      </c>
      <c r="D2878" s="4">
        <v>-0.04</v>
      </c>
      <c r="E2878" s="4">
        <v>-1.5664886783812809E-2</v>
      </c>
      <c r="F2878" s="3">
        <v>2876</v>
      </c>
      <c r="G2878" s="3">
        <v>3</v>
      </c>
      <c r="H2878" s="5">
        <v>7967558141.8199997</v>
      </c>
      <c r="I2878" s="5">
        <v>10011258141.82</v>
      </c>
      <c r="J2878" s="5">
        <v>2656400000</v>
      </c>
      <c r="K2878" s="5">
        <v>612700000</v>
      </c>
      <c r="L2878" s="5">
        <v>11661900000</v>
      </c>
      <c r="M2878" s="5">
        <v>1259600000</v>
      </c>
      <c r="N2878" s="5">
        <v>-424800000</v>
      </c>
    </row>
    <row r="2879" spans="1:14" x14ac:dyDescent="0.25">
      <c r="A2879" s="3" t="s">
        <v>2890</v>
      </c>
      <c r="B2879" s="4">
        <v>8.49</v>
      </c>
      <c r="C2879" s="4">
        <v>0</v>
      </c>
      <c r="D2879" s="4">
        <v>0</v>
      </c>
      <c r="E2879" s="4">
        <v>-1.567355810798593E-2</v>
      </c>
      <c r="F2879" s="3">
        <v>2877</v>
      </c>
      <c r="G2879" s="3">
        <v>3</v>
      </c>
      <c r="H2879" s="5">
        <v>334614307.80000001</v>
      </c>
      <c r="I2879" s="5">
        <v>830043307.79999995</v>
      </c>
      <c r="J2879" s="5">
        <v>583988000</v>
      </c>
      <c r="K2879" s="5">
        <v>88559000</v>
      </c>
      <c r="L2879" s="5">
        <v>351410000</v>
      </c>
      <c r="M2879" s="5">
        <v>97728000</v>
      </c>
      <c r="N2879" s="5">
        <v>880000</v>
      </c>
    </row>
    <row r="2880" spans="1:14" x14ac:dyDescent="0.25">
      <c r="A2880" s="3" t="s">
        <v>2891</v>
      </c>
      <c r="B2880" s="4">
        <v>4.09</v>
      </c>
      <c r="C2880" s="4">
        <v>-0.94</v>
      </c>
      <c r="D2880" s="4">
        <v>-0.04</v>
      </c>
      <c r="E2880" s="4">
        <v>-1.567402276694093E-2</v>
      </c>
      <c r="F2880" s="3">
        <v>2878</v>
      </c>
      <c r="G2880" s="3">
        <v>3</v>
      </c>
      <c r="H2880" s="5">
        <v>615044691.05999994</v>
      </c>
      <c r="I2880" s="5">
        <v>1583363691.0599999</v>
      </c>
      <c r="J2880" s="5">
        <v>1038375000</v>
      </c>
      <c r="K2880" s="5">
        <v>70056000</v>
      </c>
      <c r="L2880" s="5">
        <v>3950475000</v>
      </c>
      <c r="M2880" s="5">
        <v>387132000</v>
      </c>
      <c r="N2880" s="5">
        <v>-128018000</v>
      </c>
    </row>
    <row r="2881" spans="1:14" x14ac:dyDescent="0.25">
      <c r="A2881" s="3" t="s">
        <v>2892</v>
      </c>
      <c r="B2881" s="4">
        <v>9.27</v>
      </c>
      <c r="C2881" s="4">
        <v>0.16</v>
      </c>
      <c r="D2881" s="4">
        <v>0.08</v>
      </c>
      <c r="E2881" s="4">
        <v>-1.5678586227506602E-2</v>
      </c>
      <c r="F2881" s="3">
        <v>2879</v>
      </c>
      <c r="G2881" s="3">
        <v>3</v>
      </c>
      <c r="H2881" s="5">
        <v>16175665854.68</v>
      </c>
      <c r="I2881" s="5">
        <v>15633665854.68</v>
      </c>
      <c r="J2881" s="5">
        <v>181000000</v>
      </c>
      <c r="K2881" s="5">
        <v>723000000</v>
      </c>
      <c r="L2881" s="5">
        <v>11303000000</v>
      </c>
      <c r="M2881" s="5">
        <v>1687000000</v>
      </c>
      <c r="N2881" s="5">
        <v>911000000</v>
      </c>
    </row>
    <row r="2882" spans="1:14" x14ac:dyDescent="0.25">
      <c r="A2882" s="3" t="s">
        <v>2893</v>
      </c>
      <c r="B2882" s="4">
        <v>12.86</v>
      </c>
      <c r="C2882" s="4">
        <v>0.92</v>
      </c>
      <c r="D2882" s="4">
        <v>0.15</v>
      </c>
      <c r="E2882" s="4">
        <v>-1.5691093753616051E-2</v>
      </c>
      <c r="F2882" s="3">
        <v>2880</v>
      </c>
      <c r="G2882" s="3">
        <v>3</v>
      </c>
      <c r="H2882" s="5">
        <v>17090932622.4</v>
      </c>
      <c r="I2882" s="5">
        <v>17617700622.400002</v>
      </c>
      <c r="J2882" s="5">
        <v>2459915000</v>
      </c>
      <c r="K2882" s="5">
        <v>1933147000</v>
      </c>
      <c r="L2882" s="5">
        <v>6267411000</v>
      </c>
      <c r="M2882" s="5">
        <v>1370475000</v>
      </c>
      <c r="N2882" s="5">
        <v>1253715000</v>
      </c>
    </row>
    <row r="2883" spans="1:14" x14ac:dyDescent="0.25">
      <c r="A2883" s="3" t="s">
        <v>2894</v>
      </c>
      <c r="B2883" s="4">
        <v>8.8800000000000008</v>
      </c>
      <c r="C2883" s="4">
        <v>7.0000000000000007E-2</v>
      </c>
      <c r="D2883" s="4">
        <v>7.0000000000000007E-2</v>
      </c>
      <c r="E2883" s="4">
        <v>-1.5699178695028199E-2</v>
      </c>
      <c r="F2883" s="3">
        <v>2881</v>
      </c>
      <c r="G2883" s="3">
        <v>3</v>
      </c>
      <c r="H2883" s="5">
        <v>47446354.799999997</v>
      </c>
      <c r="I2883" s="5">
        <v>45834094.799999997</v>
      </c>
      <c r="J2883" s="5">
        <v>0</v>
      </c>
      <c r="K2883" s="5">
        <v>1612260</v>
      </c>
      <c r="L2883" s="5">
        <v>6018260</v>
      </c>
      <c r="M2883" s="5">
        <v>5161490</v>
      </c>
      <c r="N2883" s="5">
        <v>5161500</v>
      </c>
    </row>
    <row r="2884" spans="1:14" x14ac:dyDescent="0.25">
      <c r="A2884" s="3" t="s">
        <v>2895</v>
      </c>
      <c r="B2884" s="4">
        <v>9.4499999999999993</v>
      </c>
      <c r="C2884" s="4">
        <v>0.19</v>
      </c>
      <c r="D2884" s="4">
        <v>0.09</v>
      </c>
      <c r="E2884" s="4">
        <v>-1.5701382082433109E-2</v>
      </c>
      <c r="F2884" s="3">
        <v>2882</v>
      </c>
      <c r="G2884" s="3">
        <v>3</v>
      </c>
      <c r="H2884" s="5">
        <v>4753054612.9399996</v>
      </c>
      <c r="I2884" s="5">
        <v>5522823612.9399996</v>
      </c>
      <c r="J2884" s="5">
        <v>1112900000</v>
      </c>
      <c r="K2884" s="5">
        <v>343131000</v>
      </c>
      <c r="L2884" s="5">
        <v>3617579000</v>
      </c>
      <c r="M2884" s="5">
        <v>584624000</v>
      </c>
      <c r="N2884" s="5">
        <v>363735000</v>
      </c>
    </row>
    <row r="2885" spans="1:14" x14ac:dyDescent="0.25">
      <c r="A2885" s="3" t="s">
        <v>2896</v>
      </c>
      <c r="B2885" s="4">
        <v>-0.47</v>
      </c>
      <c r="C2885" s="4">
        <v>-1.85</v>
      </c>
      <c r="D2885" s="4">
        <v>-1.22</v>
      </c>
      <c r="E2885" s="4">
        <v>-1.570868834353498E-2</v>
      </c>
      <c r="F2885" s="3">
        <v>2883</v>
      </c>
      <c r="G2885" s="3">
        <v>3</v>
      </c>
      <c r="H2885" s="5">
        <v>128185192.46250001</v>
      </c>
      <c r="I2885" s="5">
        <v>48787192.462500013</v>
      </c>
      <c r="J2885" s="5">
        <v>0</v>
      </c>
      <c r="K2885" s="5">
        <v>79398000</v>
      </c>
      <c r="L2885" s="5">
        <v>455000</v>
      </c>
      <c r="M2885" s="5">
        <v>-104299000</v>
      </c>
      <c r="N2885" s="5">
        <v>-105624000</v>
      </c>
    </row>
    <row r="2886" spans="1:14" x14ac:dyDescent="0.25">
      <c r="A2886" s="3" t="s">
        <v>2897</v>
      </c>
      <c r="B2886" s="4">
        <v>8.61</v>
      </c>
      <c r="C2886" s="4">
        <v>0.01</v>
      </c>
      <c r="D2886" s="4">
        <v>0</v>
      </c>
      <c r="E2886" s="4">
        <v>-1.57189349693364E-2</v>
      </c>
      <c r="F2886" s="3">
        <v>2884</v>
      </c>
      <c r="G2886" s="3">
        <v>3</v>
      </c>
      <c r="H2886" s="5">
        <v>1244361319.3699999</v>
      </c>
      <c r="I2886" s="5">
        <v>2466646319.3699999</v>
      </c>
      <c r="J2886" s="5">
        <v>1353624000</v>
      </c>
      <c r="K2886" s="5">
        <v>131339000</v>
      </c>
      <c r="L2886" s="5">
        <v>2841216000</v>
      </c>
      <c r="M2886" s="5">
        <v>286435000</v>
      </c>
      <c r="N2886" s="5">
        <v>2259000</v>
      </c>
    </row>
    <row r="2887" spans="1:14" x14ac:dyDescent="0.25">
      <c r="A2887" s="3" t="s">
        <v>2898</v>
      </c>
      <c r="B2887" s="4">
        <v>0.24</v>
      </c>
      <c r="C2887" s="4">
        <v>-1.71</v>
      </c>
      <c r="D2887" s="4">
        <v>-1.1299999999999999</v>
      </c>
      <c r="E2887" s="4">
        <v>-1.5726250210627509E-2</v>
      </c>
      <c r="F2887" s="3">
        <v>2885</v>
      </c>
      <c r="G2887" s="3">
        <v>3</v>
      </c>
      <c r="H2887" s="5">
        <v>2527462</v>
      </c>
      <c r="I2887" s="5">
        <v>-2567538</v>
      </c>
      <c r="J2887" s="5">
        <v>0</v>
      </c>
      <c r="K2887" s="5">
        <v>5095000</v>
      </c>
      <c r="L2887" s="5">
        <v>8740000</v>
      </c>
      <c r="M2887" s="5">
        <v>-10678000</v>
      </c>
      <c r="N2887" s="5">
        <v>-11165000</v>
      </c>
    </row>
    <row r="2888" spans="1:14" x14ac:dyDescent="0.25">
      <c r="A2888" s="3" t="s">
        <v>2899</v>
      </c>
      <c r="B2888" s="4">
        <v>7.86</v>
      </c>
      <c r="C2888" s="4">
        <v>-0.15</v>
      </c>
      <c r="D2888" s="4">
        <v>-0.06</v>
      </c>
      <c r="E2888" s="4">
        <v>-1.5728616413751961E-2</v>
      </c>
      <c r="F2888" s="3">
        <v>2886</v>
      </c>
      <c r="G2888" s="3">
        <v>3</v>
      </c>
      <c r="H2888" s="5">
        <v>9857.7495999999992</v>
      </c>
      <c r="I2888" s="5">
        <v>181272857.74959999</v>
      </c>
      <c r="J2888" s="5">
        <v>193453000</v>
      </c>
      <c r="K2888" s="5">
        <v>12190000</v>
      </c>
      <c r="L2888" s="5">
        <v>516958000</v>
      </c>
      <c r="M2888" s="5">
        <v>23057000</v>
      </c>
      <c r="N2888" s="5">
        <v>-36634000</v>
      </c>
    </row>
    <row r="2889" spans="1:14" x14ac:dyDescent="0.25">
      <c r="A2889" s="3" t="s">
        <v>2900</v>
      </c>
      <c r="B2889" s="4">
        <v>-1.69</v>
      </c>
      <c r="C2889" s="4">
        <v>-2.15</v>
      </c>
      <c r="D2889" s="4">
        <v>-0.77</v>
      </c>
      <c r="E2889" s="4">
        <v>-1.5733607262937509E-2</v>
      </c>
      <c r="F2889" s="3">
        <v>2887</v>
      </c>
      <c r="G2889" s="3">
        <v>3</v>
      </c>
      <c r="H2889" s="5">
        <v>89069677.700000003</v>
      </c>
      <c r="I2889" s="5">
        <v>84972107.700000003</v>
      </c>
      <c r="J2889" s="5">
        <v>32226780</v>
      </c>
      <c r="K2889" s="5">
        <v>36324350</v>
      </c>
      <c r="L2889" s="5">
        <v>23199430</v>
      </c>
      <c r="M2889" s="5">
        <v>-50156850</v>
      </c>
      <c r="N2889" s="5">
        <v>-57687290</v>
      </c>
    </row>
    <row r="2890" spans="1:14" x14ac:dyDescent="0.25">
      <c r="A2890" s="3" t="s">
        <v>2901</v>
      </c>
      <c r="B2890" s="4">
        <v>4.05</v>
      </c>
      <c r="C2890" s="4">
        <v>-0.93</v>
      </c>
      <c r="D2890" s="4">
        <v>-0.63</v>
      </c>
      <c r="E2890" s="4">
        <v>-1.5734184905211002E-2</v>
      </c>
      <c r="F2890" s="3">
        <v>2888</v>
      </c>
      <c r="G2890" s="3">
        <v>3</v>
      </c>
      <c r="H2890" s="5">
        <v>158604846.5</v>
      </c>
      <c r="I2890" s="5">
        <v>72457846.5</v>
      </c>
      <c r="J2890" s="5">
        <v>0</v>
      </c>
      <c r="K2890" s="5">
        <v>86147000</v>
      </c>
      <c r="L2890" s="5">
        <v>551331000</v>
      </c>
      <c r="M2890" s="5">
        <v>17879000</v>
      </c>
      <c r="N2890" s="5">
        <v>-191780000</v>
      </c>
    </row>
    <row r="2891" spans="1:14" x14ac:dyDescent="0.25">
      <c r="A2891" s="3" t="s">
        <v>2902</v>
      </c>
      <c r="B2891" s="4">
        <v>9.67</v>
      </c>
      <c r="C2891" s="4">
        <v>0.22</v>
      </c>
      <c r="D2891" s="4">
        <v>0.17</v>
      </c>
      <c r="E2891" s="4">
        <v>-1.57354315741054E-2</v>
      </c>
      <c r="F2891" s="3">
        <v>2889</v>
      </c>
      <c r="G2891" s="3">
        <v>3</v>
      </c>
      <c r="H2891" s="5">
        <v>272344807.56</v>
      </c>
      <c r="I2891" s="5">
        <v>220645807.56</v>
      </c>
      <c r="J2891" s="5">
        <v>0</v>
      </c>
      <c r="K2891" s="5">
        <v>51699000</v>
      </c>
      <c r="L2891" s="5">
        <v>101681000</v>
      </c>
      <c r="M2891" s="5">
        <v>22826000</v>
      </c>
      <c r="N2891" s="5">
        <v>18014000</v>
      </c>
    </row>
    <row r="2892" spans="1:14" x14ac:dyDescent="0.25">
      <c r="A2892" s="3" t="s">
        <v>2903</v>
      </c>
      <c r="B2892" s="4">
        <v>8.02</v>
      </c>
      <c r="C2892" s="4">
        <v>-0.12</v>
      </c>
      <c r="D2892" s="4">
        <v>-0.04</v>
      </c>
      <c r="E2892" s="4">
        <v>-1.57371048307068E-2</v>
      </c>
      <c r="F2892" s="3">
        <v>2890</v>
      </c>
      <c r="G2892" s="3">
        <v>3</v>
      </c>
      <c r="H2892" s="5">
        <v>1435138.0859999999</v>
      </c>
      <c r="I2892" s="5">
        <v>2274751138.086</v>
      </c>
      <c r="J2892" s="5">
        <v>2534634000</v>
      </c>
      <c r="K2892" s="5">
        <v>261318000</v>
      </c>
      <c r="L2892" s="5">
        <v>501979000</v>
      </c>
      <c r="M2892" s="5">
        <v>283615000</v>
      </c>
      <c r="N2892" s="5">
        <v>-136107000</v>
      </c>
    </row>
    <row r="2893" spans="1:14" x14ac:dyDescent="0.25">
      <c r="A2893" s="3" t="s">
        <v>2904</v>
      </c>
      <c r="B2893" s="4">
        <v>9.5</v>
      </c>
      <c r="C2893" s="4">
        <v>0.19</v>
      </c>
      <c r="D2893" s="4">
        <v>0.05</v>
      </c>
      <c r="E2893" s="4">
        <v>-1.5740044217228522E-2</v>
      </c>
      <c r="F2893" s="3">
        <v>2891</v>
      </c>
      <c r="G2893" s="3">
        <v>3</v>
      </c>
      <c r="H2893" s="5">
        <v>744401754.87</v>
      </c>
      <c r="I2893" s="5">
        <v>782707754.87</v>
      </c>
      <c r="J2893" s="5">
        <v>47177000</v>
      </c>
      <c r="K2893" s="5">
        <v>8871000</v>
      </c>
      <c r="L2893" s="5">
        <v>1241585000</v>
      </c>
      <c r="M2893" s="5">
        <v>82379000</v>
      </c>
      <c r="N2893" s="5">
        <v>33935000</v>
      </c>
    </row>
    <row r="2894" spans="1:14" x14ac:dyDescent="0.25">
      <c r="A2894" s="3" t="s">
        <v>2905</v>
      </c>
      <c r="B2894" s="4">
        <v>-0.25</v>
      </c>
      <c r="C2894" s="4">
        <v>-1.85</v>
      </c>
      <c r="D2894" s="4">
        <v>-0.73</v>
      </c>
      <c r="E2894" s="4">
        <v>-1.5750328566572901E-2</v>
      </c>
      <c r="F2894" s="3">
        <v>2892</v>
      </c>
      <c r="G2894" s="3">
        <v>3</v>
      </c>
      <c r="H2894" s="5">
        <v>94371986.280000001</v>
      </c>
      <c r="I2894" s="5">
        <v>33719986.280000001</v>
      </c>
      <c r="J2894" s="5">
        <v>0</v>
      </c>
      <c r="K2894" s="5">
        <v>60652000</v>
      </c>
      <c r="L2894" s="5">
        <v>1000000</v>
      </c>
      <c r="M2894" s="5">
        <v>-135506000</v>
      </c>
      <c r="N2894" s="5">
        <v>-130927000</v>
      </c>
    </row>
    <row r="2895" spans="1:14" x14ac:dyDescent="0.25">
      <c r="A2895" s="3" t="s">
        <v>2906</v>
      </c>
      <c r="B2895" s="4">
        <v>9.01</v>
      </c>
      <c r="C2895" s="4">
        <v>0.08</v>
      </c>
      <c r="D2895" s="4">
        <v>0.05</v>
      </c>
      <c r="E2895" s="4">
        <v>-1.5754602815230761E-2</v>
      </c>
      <c r="F2895" s="3">
        <v>2893</v>
      </c>
      <c r="G2895" s="3">
        <v>3</v>
      </c>
      <c r="H2895" s="5">
        <v>12500120868.4</v>
      </c>
      <c r="I2895" s="5">
        <v>15387495868.4</v>
      </c>
      <c r="J2895" s="5">
        <v>3426160000</v>
      </c>
      <c r="K2895" s="5">
        <v>538785000</v>
      </c>
      <c r="L2895" s="5">
        <v>8281676000</v>
      </c>
      <c r="M2895" s="5">
        <v>1708009000</v>
      </c>
      <c r="N2895" s="5">
        <v>791474000</v>
      </c>
    </row>
    <row r="2896" spans="1:14" x14ac:dyDescent="0.25">
      <c r="A2896" s="3" t="s">
        <v>2907</v>
      </c>
      <c r="B2896" s="4">
        <v>9.31</v>
      </c>
      <c r="C2896" s="4">
        <v>0.14000000000000001</v>
      </c>
      <c r="D2896" s="4">
        <v>0.11</v>
      </c>
      <c r="E2896" s="4">
        <v>-1.5755343184591309E-2</v>
      </c>
      <c r="F2896" s="3">
        <v>2894</v>
      </c>
      <c r="G2896" s="3">
        <v>3</v>
      </c>
      <c r="H2896" s="5">
        <v>1665704059.5699999</v>
      </c>
      <c r="I2896" s="5">
        <v>1606944059.5699999</v>
      </c>
      <c r="J2896" s="5">
        <v>0</v>
      </c>
      <c r="K2896" s="5">
        <v>58760000</v>
      </c>
      <c r="L2896" s="5">
        <v>522186000</v>
      </c>
      <c r="M2896" s="5">
        <v>172603000</v>
      </c>
      <c r="N2896" s="5">
        <v>72769000</v>
      </c>
    </row>
    <row r="2897" spans="1:14" x14ac:dyDescent="0.25">
      <c r="A2897" s="3" t="s">
        <v>2908</v>
      </c>
      <c r="B2897" s="4">
        <v>8.77</v>
      </c>
      <c r="C2897" s="4">
        <v>0.03</v>
      </c>
      <c r="D2897" s="4">
        <v>0.02</v>
      </c>
      <c r="E2897" s="4">
        <v>-1.5756316993305711E-2</v>
      </c>
      <c r="F2897" s="3">
        <v>2895</v>
      </c>
      <c r="G2897" s="3">
        <v>3</v>
      </c>
      <c r="H2897" s="5">
        <v>740885262.60000002</v>
      </c>
      <c r="I2897" s="5">
        <v>799154262.60000002</v>
      </c>
      <c r="J2897" s="5">
        <v>147050000</v>
      </c>
      <c r="K2897" s="5">
        <v>88781000</v>
      </c>
      <c r="L2897" s="5">
        <v>1486727000</v>
      </c>
      <c r="M2897" s="5">
        <v>91134000</v>
      </c>
      <c r="N2897" s="5">
        <v>16984000</v>
      </c>
    </row>
    <row r="2898" spans="1:14" x14ac:dyDescent="0.25">
      <c r="A2898" s="3" t="s">
        <v>2909</v>
      </c>
      <c r="B2898" s="4">
        <v>8.06</v>
      </c>
      <c r="C2898" s="4">
        <v>-0.12</v>
      </c>
      <c r="D2898" s="4">
        <v>-7.0000000000000007E-2</v>
      </c>
      <c r="E2898" s="4">
        <v>-1.576764873322763E-2</v>
      </c>
      <c r="F2898" s="3">
        <v>2896</v>
      </c>
      <c r="G2898" s="3">
        <v>3</v>
      </c>
      <c r="H2898" s="5">
        <v>8629860.8939999994</v>
      </c>
      <c r="I2898" s="5">
        <v>7477700.8939999994</v>
      </c>
      <c r="J2898" s="5">
        <v>2571280</v>
      </c>
      <c r="K2898" s="5">
        <v>3723440</v>
      </c>
      <c r="L2898" s="5">
        <v>31992510</v>
      </c>
      <c r="M2898" s="5">
        <v>927910</v>
      </c>
      <c r="N2898" s="5">
        <v>-3702220</v>
      </c>
    </row>
    <row r="2899" spans="1:14" x14ac:dyDescent="0.25">
      <c r="A2899" s="3" t="s">
        <v>2910</v>
      </c>
      <c r="B2899" s="4">
        <v>10.37</v>
      </c>
      <c r="C2899" s="4">
        <v>0.36</v>
      </c>
      <c r="D2899" s="4">
        <v>0.11</v>
      </c>
      <c r="E2899" s="4">
        <v>-1.5775739634163431E-2</v>
      </c>
      <c r="F2899" s="3">
        <v>2897</v>
      </c>
      <c r="G2899" s="3">
        <v>3</v>
      </c>
      <c r="H2899" s="5">
        <v>19637321210.540001</v>
      </c>
      <c r="I2899" s="5">
        <v>19431598210.540001</v>
      </c>
      <c r="J2899" s="5">
        <v>1484217000</v>
      </c>
      <c r="K2899" s="5">
        <v>1689940000</v>
      </c>
      <c r="L2899" s="5">
        <v>13442849000</v>
      </c>
      <c r="M2899" s="5">
        <v>1874341000</v>
      </c>
      <c r="N2899" s="5">
        <v>1165308000</v>
      </c>
    </row>
    <row r="2900" spans="1:14" x14ac:dyDescent="0.25">
      <c r="A2900" s="3" t="s">
        <v>2911</v>
      </c>
      <c r="B2900" s="4">
        <v>9.48</v>
      </c>
      <c r="C2900" s="4">
        <v>0.17</v>
      </c>
      <c r="D2900" s="4">
        <v>0.09</v>
      </c>
      <c r="E2900" s="4">
        <v>-1.5777736913553261E-2</v>
      </c>
      <c r="F2900" s="3">
        <v>2898</v>
      </c>
      <c r="G2900" s="3">
        <v>3</v>
      </c>
      <c r="H2900" s="5">
        <v>3541669949.54</v>
      </c>
      <c r="I2900" s="5">
        <v>3894737949.54</v>
      </c>
      <c r="J2900" s="5">
        <v>552669000</v>
      </c>
      <c r="K2900" s="5">
        <v>199601000</v>
      </c>
      <c r="L2900" s="5">
        <v>1788290000</v>
      </c>
      <c r="M2900" s="5">
        <v>410872000</v>
      </c>
      <c r="N2900" s="5">
        <v>237065000</v>
      </c>
    </row>
    <row r="2901" spans="1:14" x14ac:dyDescent="0.25">
      <c r="A2901" s="3" t="s">
        <v>2912</v>
      </c>
      <c r="B2901" s="4">
        <v>9.5500000000000007</v>
      </c>
      <c r="C2901" s="4">
        <v>0.18</v>
      </c>
      <c r="D2901" s="4">
        <v>0.14000000000000001</v>
      </c>
      <c r="E2901" s="4">
        <v>-1.578252261353081E-2</v>
      </c>
      <c r="F2901" s="3">
        <v>2899</v>
      </c>
      <c r="G2901" s="3">
        <v>3</v>
      </c>
      <c r="H2901" s="5">
        <v>2028030664.8</v>
      </c>
      <c r="I2901" s="5">
        <v>1897761664.8</v>
      </c>
      <c r="J2901" s="5">
        <v>0</v>
      </c>
      <c r="K2901" s="5">
        <v>130269000</v>
      </c>
      <c r="L2901" s="5">
        <v>1412064000</v>
      </c>
      <c r="M2901" s="5">
        <v>198632000</v>
      </c>
      <c r="N2901" s="5">
        <v>132850000</v>
      </c>
    </row>
    <row r="2902" spans="1:14" x14ac:dyDescent="0.25">
      <c r="A2902" s="3" t="s">
        <v>2913</v>
      </c>
      <c r="B2902" s="4">
        <v>9.01</v>
      </c>
      <c r="C2902" s="4">
        <v>7.0000000000000007E-2</v>
      </c>
      <c r="D2902" s="4">
        <v>0.04</v>
      </c>
      <c r="E2902" s="4">
        <v>-1.5785425448822731E-2</v>
      </c>
      <c r="F2902" s="3">
        <v>2900</v>
      </c>
      <c r="G2902" s="3">
        <v>3</v>
      </c>
      <c r="H2902" s="5">
        <v>17343303399.200001</v>
      </c>
      <c r="I2902" s="5">
        <v>23022403399.200001</v>
      </c>
      <c r="J2902" s="5">
        <v>6204600000</v>
      </c>
      <c r="K2902" s="5">
        <v>525500000</v>
      </c>
      <c r="L2902" s="5">
        <v>7678600000</v>
      </c>
      <c r="M2902" s="5">
        <v>2555100000</v>
      </c>
      <c r="N2902" s="5">
        <v>903700000</v>
      </c>
    </row>
    <row r="2903" spans="1:14" x14ac:dyDescent="0.25">
      <c r="A2903" s="3" t="s">
        <v>2914</v>
      </c>
      <c r="B2903" s="4">
        <v>8.6300000000000008</v>
      </c>
      <c r="C2903" s="4">
        <v>-0.01</v>
      </c>
      <c r="D2903" s="4">
        <v>0</v>
      </c>
      <c r="E2903" s="4">
        <v>-1.5789100594759471E-2</v>
      </c>
      <c r="F2903" s="3">
        <v>2901</v>
      </c>
      <c r="G2903" s="3">
        <v>3</v>
      </c>
      <c r="H2903" s="5">
        <v>964604242.44000006</v>
      </c>
      <c r="I2903" s="5">
        <v>1684300242.4400001</v>
      </c>
      <c r="J2903" s="5">
        <v>865709000</v>
      </c>
      <c r="K2903" s="5">
        <v>146013000</v>
      </c>
      <c r="L2903" s="5">
        <v>704493000</v>
      </c>
      <c r="M2903" s="5">
        <v>195090000</v>
      </c>
      <c r="N2903" s="5">
        <v>-6652000</v>
      </c>
    </row>
    <row r="2904" spans="1:14" x14ac:dyDescent="0.25">
      <c r="A2904" s="3" t="s">
        <v>2915</v>
      </c>
      <c r="B2904" s="4">
        <v>9.65</v>
      </c>
      <c r="C2904" s="4">
        <v>0.2</v>
      </c>
      <c r="D2904" s="4">
        <v>0.09</v>
      </c>
      <c r="E2904" s="4">
        <v>-1.57962725893602E-2</v>
      </c>
      <c r="F2904" s="3">
        <v>2902</v>
      </c>
      <c r="G2904" s="3">
        <v>3</v>
      </c>
      <c r="H2904" s="5">
        <v>731804991.44000006</v>
      </c>
      <c r="I2904" s="5">
        <v>1168944381.4400001</v>
      </c>
      <c r="J2904" s="5">
        <v>446869690</v>
      </c>
      <c r="K2904" s="5">
        <v>9730300</v>
      </c>
      <c r="L2904" s="5">
        <v>564841470</v>
      </c>
      <c r="M2904" s="5">
        <v>121120170</v>
      </c>
      <c r="N2904" s="5">
        <v>89741400</v>
      </c>
    </row>
    <row r="2905" spans="1:14" x14ac:dyDescent="0.25">
      <c r="A2905" s="3" t="s">
        <v>2916</v>
      </c>
      <c r="B2905" s="4">
        <v>9.36</v>
      </c>
      <c r="C2905" s="4">
        <v>0.14000000000000001</v>
      </c>
      <c r="D2905" s="4">
        <v>0.05</v>
      </c>
      <c r="E2905" s="4">
        <v>-1.5797863372541729E-2</v>
      </c>
      <c r="F2905" s="3">
        <v>2903</v>
      </c>
      <c r="G2905" s="3">
        <v>3</v>
      </c>
      <c r="H2905" s="5">
        <v>8323601770.9799995</v>
      </c>
      <c r="I2905" s="5">
        <v>12973280770.98</v>
      </c>
      <c r="J2905" s="5">
        <v>6113649000</v>
      </c>
      <c r="K2905" s="5">
        <v>1463970000</v>
      </c>
      <c r="L2905" s="5">
        <v>4068950000</v>
      </c>
      <c r="M2905" s="5">
        <v>1386697000</v>
      </c>
      <c r="N2905" s="5">
        <v>560120000</v>
      </c>
    </row>
    <row r="2906" spans="1:14" x14ac:dyDescent="0.25">
      <c r="A2906" s="3" t="s">
        <v>2917</v>
      </c>
      <c r="B2906" s="4">
        <v>9.51</v>
      </c>
      <c r="C2906" s="4">
        <v>0.17</v>
      </c>
      <c r="D2906" s="4">
        <v>0.05</v>
      </c>
      <c r="E2906" s="4">
        <v>-1.5804020636954519E-2</v>
      </c>
      <c r="F2906" s="3">
        <v>2904</v>
      </c>
      <c r="G2906" s="3">
        <v>3</v>
      </c>
      <c r="H2906" s="5">
        <v>4963453562.4899998</v>
      </c>
      <c r="I2906" s="5">
        <v>9864253562.4899998</v>
      </c>
      <c r="J2906" s="5">
        <v>4935200000</v>
      </c>
      <c r="K2906" s="5">
        <v>34400000</v>
      </c>
      <c r="L2906" s="5">
        <v>19934300000</v>
      </c>
      <c r="M2906" s="5">
        <v>1037100000</v>
      </c>
      <c r="N2906" s="5">
        <v>498200000</v>
      </c>
    </row>
    <row r="2907" spans="1:14" x14ac:dyDescent="0.25">
      <c r="A2907" s="3" t="s">
        <v>2918</v>
      </c>
      <c r="B2907" s="4">
        <v>-0.13</v>
      </c>
      <c r="C2907" s="4">
        <v>-1.81</v>
      </c>
      <c r="D2907" s="4">
        <v>-1.26</v>
      </c>
      <c r="E2907" s="4">
        <v>-1.5811263015487801E-2</v>
      </c>
      <c r="F2907" s="3">
        <v>2905</v>
      </c>
      <c r="G2907" s="3">
        <v>3</v>
      </c>
      <c r="H2907" s="5">
        <v>4143114.9</v>
      </c>
      <c r="I2907" s="5">
        <v>3351154.9</v>
      </c>
      <c r="J2907" s="5">
        <v>688570</v>
      </c>
      <c r="K2907" s="5">
        <v>1480530</v>
      </c>
      <c r="L2907" s="5">
        <v>624090</v>
      </c>
      <c r="M2907" s="5">
        <v>-26400980</v>
      </c>
      <c r="N2907" s="5">
        <v>-26871230</v>
      </c>
    </row>
    <row r="2908" spans="1:14" x14ac:dyDescent="0.25">
      <c r="A2908" s="3" t="s">
        <v>2919</v>
      </c>
      <c r="B2908" s="4">
        <v>9.43</v>
      </c>
      <c r="C2908" s="4">
        <v>0.15</v>
      </c>
      <c r="D2908" s="4">
        <v>0.04</v>
      </c>
      <c r="E2908" s="4">
        <v>-1.5814223231984319E-2</v>
      </c>
      <c r="F2908" s="3">
        <v>2906</v>
      </c>
      <c r="G2908" s="3">
        <v>3</v>
      </c>
      <c r="H2908" s="5">
        <v>22144867477.080002</v>
      </c>
      <c r="I2908" s="5">
        <v>27450779477.080002</v>
      </c>
      <c r="J2908" s="5">
        <v>6238488000</v>
      </c>
      <c r="K2908" s="5">
        <v>932576000</v>
      </c>
      <c r="L2908" s="5">
        <v>40612308000</v>
      </c>
      <c r="M2908" s="5">
        <v>2912477000</v>
      </c>
      <c r="N2908" s="5">
        <v>1125253000</v>
      </c>
    </row>
    <row r="2909" spans="1:14" x14ac:dyDescent="0.25">
      <c r="A2909" s="3" t="s">
        <v>2920</v>
      </c>
      <c r="B2909" s="4">
        <v>9.67</v>
      </c>
      <c r="C2909" s="4">
        <v>0.2</v>
      </c>
      <c r="D2909" s="4">
        <v>0.06</v>
      </c>
      <c r="E2909" s="4">
        <v>-1.5814438080486871E-2</v>
      </c>
      <c r="F2909" s="3">
        <v>2907</v>
      </c>
      <c r="G2909" s="3">
        <v>3</v>
      </c>
      <c r="H2909" s="5">
        <v>1375914194.4000001</v>
      </c>
      <c r="I2909" s="5">
        <v>1232739194.4000001</v>
      </c>
      <c r="J2909" s="5">
        <v>54336000</v>
      </c>
      <c r="K2909" s="5">
        <v>197511000</v>
      </c>
      <c r="L2909" s="5">
        <v>1271107000</v>
      </c>
      <c r="M2909" s="5">
        <v>127416000</v>
      </c>
      <c r="N2909" s="5">
        <v>68550000</v>
      </c>
    </row>
    <row r="2910" spans="1:14" x14ac:dyDescent="0.25">
      <c r="A2910" s="3" t="s">
        <v>2921</v>
      </c>
      <c r="B2910" s="4">
        <v>9.4499999999999993</v>
      </c>
      <c r="C2910" s="4">
        <v>0.15</v>
      </c>
      <c r="D2910" s="4">
        <v>0.1</v>
      </c>
      <c r="E2910" s="4">
        <v>-1.5815027483913439E-2</v>
      </c>
      <c r="F2910" s="3">
        <v>2908</v>
      </c>
      <c r="G2910" s="3">
        <v>3</v>
      </c>
      <c r="H2910" s="5">
        <v>42778405476.309998</v>
      </c>
      <c r="I2910" s="5">
        <v>45758505476.309998</v>
      </c>
      <c r="J2910" s="5">
        <v>5965500000</v>
      </c>
      <c r="K2910" s="5">
        <v>2985400000</v>
      </c>
      <c r="L2910" s="5">
        <v>34250400000</v>
      </c>
      <c r="M2910" s="5">
        <v>4841200000</v>
      </c>
      <c r="N2910" s="5">
        <v>3585200000</v>
      </c>
    </row>
    <row r="2911" spans="1:14" x14ac:dyDescent="0.25">
      <c r="A2911" s="3" t="s">
        <v>2922</v>
      </c>
      <c r="B2911" s="4">
        <v>8.44</v>
      </c>
      <c r="C2911" s="4">
        <v>-0.06</v>
      </c>
      <c r="D2911" s="4">
        <v>-0.02</v>
      </c>
      <c r="E2911" s="4">
        <v>-1.5819831774742301E-2</v>
      </c>
      <c r="F2911" s="3">
        <v>2909</v>
      </c>
      <c r="G2911" s="3">
        <v>3</v>
      </c>
      <c r="H2911" s="5">
        <v>575701625.07000005</v>
      </c>
      <c r="I2911" s="5">
        <v>1589201625.0699999</v>
      </c>
      <c r="J2911" s="5">
        <v>1107200000</v>
      </c>
      <c r="K2911" s="5">
        <v>93700000</v>
      </c>
      <c r="L2911" s="5">
        <v>1981100000</v>
      </c>
      <c r="M2911" s="5">
        <v>188200000</v>
      </c>
      <c r="N2911" s="5">
        <v>-48700000</v>
      </c>
    </row>
    <row r="2912" spans="1:14" x14ac:dyDescent="0.25">
      <c r="A2912" s="3" t="s">
        <v>2923</v>
      </c>
      <c r="B2912" s="4">
        <v>3.7</v>
      </c>
      <c r="C2912" s="4">
        <v>-1.02</v>
      </c>
      <c r="D2912" s="4">
        <v>-0.87</v>
      </c>
      <c r="E2912" s="4">
        <v>-1.5823901806803559E-2</v>
      </c>
      <c r="F2912" s="3">
        <v>2910</v>
      </c>
      <c r="G2912" s="3">
        <v>3</v>
      </c>
      <c r="H2912" s="5">
        <v>580.78769999999997</v>
      </c>
      <c r="I2912" s="5">
        <v>-8879419.2123000007</v>
      </c>
      <c r="J2912" s="5">
        <v>0</v>
      </c>
      <c r="K2912" s="5">
        <v>8880000</v>
      </c>
      <c r="L2912" s="5">
        <v>2216000</v>
      </c>
      <c r="M2912" s="5">
        <v>-2401000</v>
      </c>
      <c r="N2912" s="5">
        <v>-8417000</v>
      </c>
    </row>
    <row r="2913" spans="1:14" x14ac:dyDescent="0.25">
      <c r="A2913" s="3" t="s">
        <v>2924</v>
      </c>
      <c r="B2913" s="4">
        <v>9.16</v>
      </c>
      <c r="C2913" s="4">
        <v>0.09</v>
      </c>
      <c r="D2913" s="4">
        <v>0.02</v>
      </c>
      <c r="E2913" s="4">
        <v>-1.5824334373404979E-2</v>
      </c>
      <c r="F2913" s="3">
        <v>2911</v>
      </c>
      <c r="G2913" s="3">
        <v>3</v>
      </c>
      <c r="H2913" s="5">
        <v>12477093764.549999</v>
      </c>
      <c r="I2913" s="5">
        <v>15325206764.549999</v>
      </c>
      <c r="J2913" s="5">
        <v>3907491000</v>
      </c>
      <c r="K2913" s="5">
        <v>1059378000</v>
      </c>
      <c r="L2913" s="5">
        <v>58452436000</v>
      </c>
      <c r="M2913" s="5">
        <v>1673057000</v>
      </c>
      <c r="N2913" s="5">
        <v>689091000</v>
      </c>
    </row>
    <row r="2914" spans="1:14" x14ac:dyDescent="0.25">
      <c r="A2914" s="3" t="s">
        <v>2925</v>
      </c>
      <c r="B2914" s="4">
        <v>9.8000000000000007</v>
      </c>
      <c r="C2914" s="4">
        <v>0.22</v>
      </c>
      <c r="D2914" s="4">
        <v>0.12</v>
      </c>
      <c r="E2914" s="4">
        <v>-1.5825536381054921E-2</v>
      </c>
      <c r="F2914" s="3">
        <v>2912</v>
      </c>
      <c r="G2914" s="3">
        <v>3</v>
      </c>
      <c r="H2914" s="5">
        <v>2930731000</v>
      </c>
      <c r="I2914" s="5">
        <v>2970950000</v>
      </c>
      <c r="J2914" s="5">
        <v>165652000</v>
      </c>
      <c r="K2914" s="5">
        <v>125433000</v>
      </c>
      <c r="L2914" s="5">
        <v>1452325000</v>
      </c>
      <c r="M2914" s="5">
        <v>303154000</v>
      </c>
      <c r="N2914" s="5">
        <v>164358000</v>
      </c>
    </row>
    <row r="2915" spans="1:14" x14ac:dyDescent="0.25">
      <c r="A2915" s="3" t="s">
        <v>2926</v>
      </c>
      <c r="B2915" s="4">
        <v>8.69</v>
      </c>
      <c r="C2915" s="4">
        <v>-0.01</v>
      </c>
      <c r="D2915" s="4">
        <v>0</v>
      </c>
      <c r="E2915" s="4">
        <v>-1.582623582894194E-2</v>
      </c>
      <c r="F2915" s="3">
        <v>2913</v>
      </c>
      <c r="G2915" s="3">
        <v>3</v>
      </c>
      <c r="H2915" s="5">
        <v>22863790501.860001</v>
      </c>
      <c r="I2915" s="5">
        <v>34293390501.860001</v>
      </c>
      <c r="J2915" s="5">
        <v>11497700000</v>
      </c>
      <c r="K2915" s="5">
        <v>68100000</v>
      </c>
      <c r="L2915" s="5">
        <v>10208700000</v>
      </c>
      <c r="M2915" s="5">
        <v>3948400000</v>
      </c>
      <c r="N2915" s="5">
        <v>-81400000</v>
      </c>
    </row>
    <row r="2916" spans="1:14" x14ac:dyDescent="0.25">
      <c r="A2916" s="3" t="s">
        <v>2927</v>
      </c>
      <c r="B2916" s="4">
        <v>5.98</v>
      </c>
      <c r="C2916" s="4">
        <v>-0.59</v>
      </c>
      <c r="D2916" s="4">
        <v>-0.05</v>
      </c>
      <c r="E2916" s="4">
        <v>-1.5834435424760041E-2</v>
      </c>
      <c r="F2916" s="3">
        <v>2914</v>
      </c>
      <c r="G2916" s="3">
        <v>3</v>
      </c>
      <c r="H2916" s="5">
        <v>1603421014.76</v>
      </c>
      <c r="I2916" s="5">
        <v>9029321014.7600002</v>
      </c>
      <c r="J2916" s="5">
        <v>8080200000</v>
      </c>
      <c r="K2916" s="5">
        <v>654300000</v>
      </c>
      <c r="L2916" s="5">
        <v>4456900000</v>
      </c>
      <c r="M2916" s="5">
        <v>1510400000</v>
      </c>
      <c r="N2916" s="5">
        <v>-657000000</v>
      </c>
    </row>
    <row r="2917" spans="1:14" x14ac:dyDescent="0.25">
      <c r="A2917" s="3" t="s">
        <v>2928</v>
      </c>
      <c r="B2917" s="4">
        <v>8.75</v>
      </c>
      <c r="C2917" s="4">
        <v>0</v>
      </c>
      <c r="D2917" s="4">
        <v>0</v>
      </c>
      <c r="E2917" s="4">
        <v>-1.5834477456109941E-2</v>
      </c>
      <c r="F2917" s="3">
        <v>2915</v>
      </c>
      <c r="G2917" s="3">
        <v>3</v>
      </c>
      <c r="H2917" s="5">
        <v>1100827085.6099999</v>
      </c>
      <c r="I2917" s="5">
        <v>1145658085.6099999</v>
      </c>
      <c r="J2917" s="5">
        <v>116452000</v>
      </c>
      <c r="K2917" s="5">
        <v>71621000</v>
      </c>
      <c r="L2917" s="5">
        <v>1766220000</v>
      </c>
      <c r="M2917" s="5">
        <v>130997000</v>
      </c>
      <c r="N2917" s="5">
        <v>-3760000</v>
      </c>
    </row>
    <row r="2918" spans="1:14" x14ac:dyDescent="0.25">
      <c r="A2918" s="3" t="s">
        <v>2929</v>
      </c>
      <c r="B2918" s="4">
        <v>9.2899999999999991</v>
      </c>
      <c r="C2918" s="4">
        <v>0.11</v>
      </c>
      <c r="D2918" s="4">
        <v>0.05</v>
      </c>
      <c r="E2918" s="4">
        <v>-1.584121975370556E-2</v>
      </c>
      <c r="F2918" s="3">
        <v>2916</v>
      </c>
      <c r="G2918" s="3">
        <v>3</v>
      </c>
      <c r="H2918" s="5">
        <v>663180947.05999994</v>
      </c>
      <c r="I2918" s="5">
        <v>1484622947.0599999</v>
      </c>
      <c r="J2918" s="5">
        <v>1025349000</v>
      </c>
      <c r="K2918" s="5">
        <v>203907000</v>
      </c>
      <c r="L2918" s="5">
        <v>2330197000</v>
      </c>
      <c r="M2918" s="5">
        <v>159889000</v>
      </c>
      <c r="N2918" s="5">
        <v>140175000</v>
      </c>
    </row>
    <row r="2919" spans="1:14" x14ac:dyDescent="0.25">
      <c r="A2919" s="3" t="s">
        <v>2930</v>
      </c>
      <c r="B2919" s="4">
        <v>8.24</v>
      </c>
      <c r="C2919" s="4">
        <v>-0.11</v>
      </c>
      <c r="D2919" s="4">
        <v>-0.03</v>
      </c>
      <c r="E2919" s="4">
        <v>-1.5842444722450551E-2</v>
      </c>
      <c r="F2919" s="3">
        <v>2917</v>
      </c>
      <c r="G2919" s="3">
        <v>3</v>
      </c>
      <c r="H2919" s="5">
        <v>2064073397.5599999</v>
      </c>
      <c r="I2919" s="5">
        <v>6916485397.5599995</v>
      </c>
      <c r="J2919" s="5">
        <v>4935586000</v>
      </c>
      <c r="K2919" s="5">
        <v>83174000</v>
      </c>
      <c r="L2919" s="5">
        <v>2708926000</v>
      </c>
      <c r="M2919" s="5">
        <v>839345000</v>
      </c>
      <c r="N2919" s="5">
        <v>-231164000</v>
      </c>
    </row>
    <row r="2920" spans="1:14" x14ac:dyDescent="0.25">
      <c r="A2920" s="3" t="s">
        <v>2931</v>
      </c>
      <c r="B2920" s="4">
        <v>10.26</v>
      </c>
      <c r="C2920" s="4">
        <v>0.31</v>
      </c>
      <c r="D2920" s="4">
        <v>0.16</v>
      </c>
      <c r="E2920" s="4">
        <v>-1.5842481273680341E-2</v>
      </c>
      <c r="F2920" s="3">
        <v>2918</v>
      </c>
      <c r="G2920" s="3">
        <v>3</v>
      </c>
      <c r="H2920" s="5">
        <v>4530128039.8800001</v>
      </c>
      <c r="I2920" s="5">
        <v>4539065039.8800001</v>
      </c>
      <c r="J2920" s="5">
        <v>100287000</v>
      </c>
      <c r="K2920" s="5">
        <v>91350000</v>
      </c>
      <c r="L2920" s="5">
        <v>1566642000</v>
      </c>
      <c r="M2920" s="5">
        <v>442224000</v>
      </c>
      <c r="N2920" s="5">
        <v>296474000</v>
      </c>
    </row>
    <row r="2921" spans="1:14" x14ac:dyDescent="0.25">
      <c r="A2921" s="3" t="s">
        <v>2932</v>
      </c>
      <c r="B2921" s="4">
        <v>9.3000000000000007</v>
      </c>
      <c r="C2921" s="4">
        <v>0.11</v>
      </c>
      <c r="D2921" s="4">
        <v>0.06</v>
      </c>
      <c r="E2921" s="4">
        <v>-1.5845479932825129E-2</v>
      </c>
      <c r="F2921" s="3">
        <v>2919</v>
      </c>
      <c r="G2921" s="3">
        <v>3</v>
      </c>
      <c r="H2921" s="5">
        <v>1972156266.1800001</v>
      </c>
      <c r="I2921" s="5">
        <v>1621554266.1800001</v>
      </c>
      <c r="J2921" s="5">
        <v>38773000</v>
      </c>
      <c r="K2921" s="5">
        <v>389375000</v>
      </c>
      <c r="L2921" s="5">
        <v>2068789000</v>
      </c>
      <c r="M2921" s="5">
        <v>174292000</v>
      </c>
      <c r="N2921" s="5">
        <v>107978000</v>
      </c>
    </row>
    <row r="2922" spans="1:14" x14ac:dyDescent="0.25">
      <c r="A2922" s="3" t="s">
        <v>2933</v>
      </c>
      <c r="B2922" s="4">
        <v>10.31</v>
      </c>
      <c r="C2922" s="4">
        <v>0.32</v>
      </c>
      <c r="D2922" s="4">
        <v>0.14000000000000001</v>
      </c>
      <c r="E2922" s="4">
        <v>-1.5848391748306288E-2</v>
      </c>
      <c r="F2922" s="3">
        <v>2920</v>
      </c>
      <c r="G2922" s="3">
        <v>3</v>
      </c>
      <c r="H2922" s="5">
        <v>6644276591.9399996</v>
      </c>
      <c r="I2922" s="5">
        <v>7862191591.9399996</v>
      </c>
      <c r="J2922" s="5">
        <v>1238316000</v>
      </c>
      <c r="K2922" s="5">
        <v>20401000</v>
      </c>
      <c r="L2922" s="5">
        <v>2260508000</v>
      </c>
      <c r="M2922" s="5">
        <v>762510000</v>
      </c>
      <c r="N2922" s="5">
        <v>463416000</v>
      </c>
    </row>
    <row r="2923" spans="1:14" x14ac:dyDescent="0.25">
      <c r="A2923" s="3" t="s">
        <v>2934</v>
      </c>
      <c r="B2923" s="4">
        <v>-0.44</v>
      </c>
      <c r="C2923" s="4">
        <v>-1.93</v>
      </c>
      <c r="D2923" s="4">
        <v>-0.66</v>
      </c>
      <c r="E2923" s="4">
        <v>-1.585037932840154E-2</v>
      </c>
      <c r="F2923" s="3">
        <v>2921</v>
      </c>
      <c r="G2923" s="3">
        <v>3</v>
      </c>
      <c r="H2923" s="5">
        <v>5122.7055360000004</v>
      </c>
      <c r="I2923" s="5">
        <v>739812.70553599996</v>
      </c>
      <c r="J2923" s="5">
        <v>762510</v>
      </c>
      <c r="K2923" s="5">
        <v>27820</v>
      </c>
      <c r="L2923" s="5">
        <v>98990</v>
      </c>
      <c r="M2923" s="5">
        <v>-1674710</v>
      </c>
      <c r="N2923" s="5">
        <v>-2169810</v>
      </c>
    </row>
    <row r="2924" spans="1:14" x14ac:dyDescent="0.25">
      <c r="A2924" s="3" t="s">
        <v>2935</v>
      </c>
      <c r="B2924" s="4">
        <v>9.6199999999999992</v>
      </c>
      <c r="C2924" s="4">
        <v>0.18</v>
      </c>
      <c r="D2924" s="4">
        <v>0.01</v>
      </c>
      <c r="E2924" s="4">
        <v>-1.5850924398917929E-2</v>
      </c>
      <c r="F2924" s="3">
        <v>2922</v>
      </c>
      <c r="G2924" s="3">
        <v>3</v>
      </c>
      <c r="H2924" s="5">
        <v>7706862993.8999996</v>
      </c>
      <c r="I2924" s="5">
        <v>21175862993.900002</v>
      </c>
      <c r="J2924" s="5">
        <v>14093000000</v>
      </c>
      <c r="K2924" s="5">
        <v>624000000</v>
      </c>
      <c r="L2924" s="5">
        <v>4142000000</v>
      </c>
      <c r="M2924" s="5">
        <v>2201000000</v>
      </c>
      <c r="N2924" s="5">
        <v>236000000</v>
      </c>
    </row>
    <row r="2925" spans="1:14" x14ac:dyDescent="0.25">
      <c r="A2925" s="3" t="s">
        <v>2936</v>
      </c>
      <c r="B2925" s="4">
        <v>9.1199999999999992</v>
      </c>
      <c r="C2925" s="4">
        <v>7.0000000000000007E-2</v>
      </c>
      <c r="D2925" s="4">
        <v>0.04</v>
      </c>
      <c r="E2925" s="4">
        <v>-1.5853506711490582E-2</v>
      </c>
      <c r="F2925" s="3">
        <v>2923</v>
      </c>
      <c r="G2925" s="3">
        <v>3</v>
      </c>
      <c r="H2925" s="5">
        <v>2685134104.1999998</v>
      </c>
      <c r="I2925" s="5">
        <v>4257918104.1999998</v>
      </c>
      <c r="J2925" s="5">
        <v>1583037000</v>
      </c>
      <c r="K2925" s="5">
        <v>10253000</v>
      </c>
      <c r="L2925" s="5">
        <v>1431468000</v>
      </c>
      <c r="M2925" s="5">
        <v>466673000</v>
      </c>
      <c r="N2925" s="5">
        <v>214064000</v>
      </c>
    </row>
    <row r="2926" spans="1:14" x14ac:dyDescent="0.25">
      <c r="A2926" s="3" t="s">
        <v>2937</v>
      </c>
      <c r="B2926" s="4">
        <v>10.92</v>
      </c>
      <c r="C2926" s="4">
        <v>0.45</v>
      </c>
      <c r="D2926" s="4">
        <v>0.12</v>
      </c>
      <c r="E2926" s="4">
        <v>-1.5854174457795071E-2</v>
      </c>
      <c r="F2926" s="3">
        <v>2924</v>
      </c>
      <c r="G2926" s="3">
        <v>3</v>
      </c>
      <c r="H2926" s="5">
        <v>11513457006.639999</v>
      </c>
      <c r="I2926" s="5">
        <v>12169012006.639999</v>
      </c>
      <c r="J2926" s="5">
        <v>1791379000</v>
      </c>
      <c r="K2926" s="5">
        <v>1135824000</v>
      </c>
      <c r="L2926" s="5">
        <v>6899716000</v>
      </c>
      <c r="M2926" s="5">
        <v>1114141000</v>
      </c>
      <c r="N2926" s="5">
        <v>633125000</v>
      </c>
    </row>
    <row r="2927" spans="1:14" x14ac:dyDescent="0.25">
      <c r="A2927" s="3" t="s">
        <v>2938</v>
      </c>
      <c r="B2927" s="4">
        <v>9.7899999999999991</v>
      </c>
      <c r="C2927" s="4">
        <v>0.21</v>
      </c>
      <c r="D2927" s="4">
        <v>7.0000000000000007E-2</v>
      </c>
      <c r="E2927" s="4">
        <v>-1.5857885915259839E-2</v>
      </c>
      <c r="F2927" s="3">
        <v>2925</v>
      </c>
      <c r="G2927" s="3">
        <v>3</v>
      </c>
      <c r="H2927" s="5">
        <v>81982037.871000007</v>
      </c>
      <c r="I2927" s="5">
        <v>58881037.871000007</v>
      </c>
      <c r="J2927" s="5">
        <v>6956000</v>
      </c>
      <c r="K2927" s="5">
        <v>30057000</v>
      </c>
      <c r="L2927" s="5">
        <v>91635000</v>
      </c>
      <c r="M2927" s="5">
        <v>6012000</v>
      </c>
      <c r="N2927" s="5">
        <v>4558000</v>
      </c>
    </row>
    <row r="2928" spans="1:14" x14ac:dyDescent="0.25">
      <c r="A2928" s="3" t="s">
        <v>2939</v>
      </c>
      <c r="B2928" s="4">
        <v>0</v>
      </c>
      <c r="C2928" s="4">
        <v>0.83</v>
      </c>
      <c r="D2928" s="4">
        <v>-40.630000000000003</v>
      </c>
      <c r="E2928" s="4">
        <v>-1.5858388073373499E-2</v>
      </c>
      <c r="F2928" s="3">
        <v>2926</v>
      </c>
      <c r="G2928" s="3">
        <v>3</v>
      </c>
      <c r="H2928" s="5">
        <v>4701.689582</v>
      </c>
      <c r="I2928" s="5">
        <v>-298.31041800000003</v>
      </c>
      <c r="J2928" s="5">
        <v>0</v>
      </c>
      <c r="K2928" s="5">
        <v>5000</v>
      </c>
      <c r="L2928" s="5">
        <v>93000</v>
      </c>
      <c r="M2928" s="5">
        <v>-678000</v>
      </c>
      <c r="N2928" s="5">
        <v>-772000</v>
      </c>
    </row>
    <row r="2929" spans="1:14" x14ac:dyDescent="0.25">
      <c r="A2929" s="3" t="s">
        <v>2940</v>
      </c>
      <c r="B2929" s="4">
        <v>10.15</v>
      </c>
      <c r="C2929" s="4">
        <v>0.3</v>
      </c>
      <c r="D2929" s="4">
        <v>-0.14000000000000001</v>
      </c>
      <c r="E2929" s="4">
        <v>-1.5861164415352132E-2</v>
      </c>
      <c r="F2929" s="3">
        <v>2927</v>
      </c>
      <c r="G2929" s="3">
        <v>3</v>
      </c>
      <c r="H2929" s="5">
        <v>1436.0980999999999</v>
      </c>
      <c r="I2929" s="5">
        <v>51208716.098099999</v>
      </c>
      <c r="J2929" s="5">
        <v>55695490</v>
      </c>
      <c r="K2929" s="5">
        <v>4488210</v>
      </c>
      <c r="L2929" s="5">
        <v>133837780</v>
      </c>
      <c r="M2929" s="5">
        <v>5047260</v>
      </c>
      <c r="N2929" s="5">
        <v>-7366400</v>
      </c>
    </row>
    <row r="2930" spans="1:14" x14ac:dyDescent="0.25">
      <c r="A2930" s="3" t="s">
        <v>2941</v>
      </c>
      <c r="B2930" s="4">
        <v>9.1300000000000008</v>
      </c>
      <c r="C2930" s="4">
        <v>7.0000000000000007E-2</v>
      </c>
      <c r="D2930" s="4">
        <v>0.03</v>
      </c>
      <c r="E2930" s="4">
        <v>-1.5861624943765161E-2</v>
      </c>
      <c r="F2930" s="3">
        <v>2928</v>
      </c>
      <c r="G2930" s="3">
        <v>3</v>
      </c>
      <c r="H2930" s="5">
        <v>3123633339.75</v>
      </c>
      <c r="I2930" s="5">
        <v>4974428339.75</v>
      </c>
      <c r="J2930" s="5">
        <v>2020147000</v>
      </c>
      <c r="K2930" s="5">
        <v>169352000</v>
      </c>
      <c r="L2930" s="5">
        <v>3568736000</v>
      </c>
      <c r="M2930" s="5">
        <v>545016000</v>
      </c>
      <c r="N2930" s="5">
        <v>130256000</v>
      </c>
    </row>
    <row r="2931" spans="1:14" x14ac:dyDescent="0.25">
      <c r="A2931" s="3" t="s">
        <v>2942</v>
      </c>
      <c r="B2931" s="4">
        <v>9.9700000000000006</v>
      </c>
      <c r="C2931" s="4">
        <v>0.24</v>
      </c>
      <c r="D2931" s="4">
        <v>0.13</v>
      </c>
      <c r="E2931" s="4">
        <v>-1.5871036637298819E-2</v>
      </c>
      <c r="F2931" s="3">
        <v>2929</v>
      </c>
      <c r="G2931" s="3">
        <v>3</v>
      </c>
      <c r="H2931" s="5">
        <v>288821720.11000001</v>
      </c>
      <c r="I2931" s="5">
        <v>333307720.11000001</v>
      </c>
      <c r="J2931" s="5">
        <v>46940000</v>
      </c>
      <c r="K2931" s="5">
        <v>2454000</v>
      </c>
      <c r="L2931" s="5">
        <v>530765000</v>
      </c>
      <c r="M2931" s="5">
        <v>33422000</v>
      </c>
      <c r="N2931" s="5">
        <v>42946000</v>
      </c>
    </row>
    <row r="2932" spans="1:14" x14ac:dyDescent="0.25">
      <c r="A2932" s="3" t="s">
        <v>2943</v>
      </c>
      <c r="B2932" s="4">
        <v>9.58</v>
      </c>
      <c r="C2932" s="4">
        <v>0.16</v>
      </c>
      <c r="D2932" s="4">
        <v>0.05</v>
      </c>
      <c r="E2932" s="4">
        <v>-1.587623868384852E-2</v>
      </c>
      <c r="F2932" s="3">
        <v>2930</v>
      </c>
      <c r="G2932" s="3">
        <v>3</v>
      </c>
      <c r="H2932" s="5">
        <v>296879549318.79999</v>
      </c>
      <c r="I2932" s="5">
        <v>348471549318.79999</v>
      </c>
      <c r="J2932" s="5">
        <v>76904000000</v>
      </c>
      <c r="K2932" s="5">
        <v>25312000000</v>
      </c>
      <c r="L2932" s="5">
        <v>400278000000</v>
      </c>
      <c r="M2932" s="5">
        <v>36387000000</v>
      </c>
      <c r="N2932" s="5">
        <v>14405000000</v>
      </c>
    </row>
    <row r="2933" spans="1:14" x14ac:dyDescent="0.25">
      <c r="A2933" s="3" t="s">
        <v>2944</v>
      </c>
      <c r="B2933" s="4">
        <v>9.1</v>
      </c>
      <c r="C2933" s="4">
        <v>0.06</v>
      </c>
      <c r="D2933" s="4">
        <v>0</v>
      </c>
      <c r="E2933" s="4">
        <v>-1.5877738013420909E-2</v>
      </c>
      <c r="F2933" s="3">
        <v>2931</v>
      </c>
      <c r="G2933" s="3">
        <v>3</v>
      </c>
      <c r="H2933" s="5">
        <v>22550826283.68</v>
      </c>
      <c r="I2933" s="5">
        <v>78238826283.679993</v>
      </c>
      <c r="J2933" s="5">
        <v>56374000000</v>
      </c>
      <c r="K2933" s="5">
        <v>686000000</v>
      </c>
      <c r="L2933" s="5">
        <v>21039000000</v>
      </c>
      <c r="M2933" s="5">
        <v>8602000000</v>
      </c>
      <c r="N2933" s="5">
        <v>351000000</v>
      </c>
    </row>
    <row r="2934" spans="1:14" x14ac:dyDescent="0.25">
      <c r="A2934" s="3" t="s">
        <v>2945</v>
      </c>
      <c r="B2934" s="4">
        <v>-0.7</v>
      </c>
      <c r="C2934" s="4">
        <v>-2.02</v>
      </c>
      <c r="D2934" s="4">
        <v>-0.32</v>
      </c>
      <c r="E2934" s="4">
        <v>-1.5883915539772451E-2</v>
      </c>
      <c r="F2934" s="3">
        <v>2932</v>
      </c>
      <c r="G2934" s="3">
        <v>3</v>
      </c>
      <c r="H2934" s="5">
        <v>73791787.439999998</v>
      </c>
      <c r="I2934" s="5">
        <v>75115787.439999998</v>
      </c>
      <c r="J2934" s="5">
        <v>58587000</v>
      </c>
      <c r="K2934" s="5">
        <v>57263000</v>
      </c>
      <c r="L2934" s="5">
        <v>57675000</v>
      </c>
      <c r="M2934" s="5">
        <v>-106776000</v>
      </c>
      <c r="N2934" s="5">
        <v>-45997000</v>
      </c>
    </row>
    <row r="2935" spans="1:14" x14ac:dyDescent="0.25">
      <c r="A2935" s="3" t="s">
        <v>2946</v>
      </c>
      <c r="B2935" s="4">
        <v>-2.13</v>
      </c>
      <c r="C2935" s="4">
        <v>-2.33</v>
      </c>
      <c r="D2935" s="4">
        <v>-0.3</v>
      </c>
      <c r="E2935" s="4">
        <v>-1.589070288938357E-2</v>
      </c>
      <c r="F2935" s="3">
        <v>2933</v>
      </c>
      <c r="G2935" s="3">
        <v>3</v>
      </c>
      <c r="H2935" s="5">
        <v>115001.11500000001</v>
      </c>
      <c r="I2935" s="5">
        <v>10266641.115</v>
      </c>
      <c r="J2935" s="5">
        <v>10219910</v>
      </c>
      <c r="K2935" s="5">
        <v>68270</v>
      </c>
      <c r="L2935" s="5">
        <v>4051600</v>
      </c>
      <c r="M2935" s="5">
        <v>-4813920</v>
      </c>
      <c r="N2935" s="5">
        <v>-12406390</v>
      </c>
    </row>
    <row r="2936" spans="1:14" x14ac:dyDescent="0.25">
      <c r="A2936" s="3" t="s">
        <v>2947</v>
      </c>
      <c r="B2936" s="4">
        <v>9.0399999999999991</v>
      </c>
      <c r="C2936" s="4">
        <v>0.04</v>
      </c>
      <c r="D2936" s="4">
        <v>0.02</v>
      </c>
      <c r="E2936" s="4">
        <v>-1.5894531940112349E-2</v>
      </c>
      <c r="F2936" s="3">
        <v>2934</v>
      </c>
      <c r="G2936" s="3">
        <v>3</v>
      </c>
      <c r="H2936" s="5">
        <v>149826439.68000001</v>
      </c>
      <c r="I2936" s="5">
        <v>238992669.68000001</v>
      </c>
      <c r="J2936" s="5">
        <v>123599320</v>
      </c>
      <c r="K2936" s="5">
        <v>34433090</v>
      </c>
      <c r="L2936" s="5">
        <v>42683210</v>
      </c>
      <c r="M2936" s="5">
        <v>26440420</v>
      </c>
      <c r="N2936" s="5">
        <v>5879680</v>
      </c>
    </row>
    <row r="2937" spans="1:14" x14ac:dyDescent="0.25">
      <c r="A2937" s="3" t="s">
        <v>2948</v>
      </c>
      <c r="B2937" s="4">
        <v>9.7100000000000009</v>
      </c>
      <c r="C2937" s="4">
        <v>0.18</v>
      </c>
      <c r="D2937" s="4">
        <v>7.0000000000000007E-2</v>
      </c>
      <c r="E2937" s="4">
        <v>-1.5895053090726589E-2</v>
      </c>
      <c r="F2937" s="3">
        <v>2935</v>
      </c>
      <c r="G2937" s="3">
        <v>3</v>
      </c>
      <c r="H2937" s="5">
        <v>1524402797.9200001</v>
      </c>
      <c r="I2937" s="5">
        <v>1736387797.9200001</v>
      </c>
      <c r="J2937" s="5">
        <v>311211000</v>
      </c>
      <c r="K2937" s="5">
        <v>99226000</v>
      </c>
      <c r="L2937" s="5">
        <v>1315658000</v>
      </c>
      <c r="M2937" s="5">
        <v>178911000</v>
      </c>
      <c r="N2937" s="5">
        <v>86946000</v>
      </c>
    </row>
    <row r="2938" spans="1:14" x14ac:dyDescent="0.25">
      <c r="A2938" s="3" t="s">
        <v>2949</v>
      </c>
      <c r="B2938" s="4">
        <v>9.2899999999999991</v>
      </c>
      <c r="C2938" s="4">
        <v>0.09</v>
      </c>
      <c r="D2938" s="4">
        <v>0.03</v>
      </c>
      <c r="E2938" s="4">
        <v>-1.590286502088948E-2</v>
      </c>
      <c r="F2938" s="3">
        <v>2936</v>
      </c>
      <c r="G2938" s="3">
        <v>3</v>
      </c>
      <c r="H2938" s="5">
        <v>5728600277.04</v>
      </c>
      <c r="I2938" s="5">
        <v>11754000277.040001</v>
      </c>
      <c r="J2938" s="5">
        <v>6812800000</v>
      </c>
      <c r="K2938" s="5">
        <v>787400000</v>
      </c>
      <c r="L2938" s="5">
        <v>7922700000</v>
      </c>
      <c r="M2938" s="5">
        <v>1265900000</v>
      </c>
      <c r="N2938" s="5">
        <v>366700000</v>
      </c>
    </row>
    <row r="2939" spans="1:14" x14ac:dyDescent="0.25">
      <c r="A2939" s="3" t="s">
        <v>2950</v>
      </c>
      <c r="B2939" s="4">
        <v>9.3000000000000007</v>
      </c>
      <c r="C2939" s="4">
        <v>0.09</v>
      </c>
      <c r="D2939" s="4">
        <v>0.06</v>
      </c>
      <c r="E2939" s="4">
        <v>-1.5903267146854042E-2</v>
      </c>
      <c r="F2939" s="3">
        <v>2937</v>
      </c>
      <c r="G2939" s="3">
        <v>3</v>
      </c>
      <c r="H2939" s="5">
        <v>584843359.86000001</v>
      </c>
      <c r="I2939" s="5">
        <v>625807359.86000001</v>
      </c>
      <c r="J2939" s="5">
        <v>45971000</v>
      </c>
      <c r="K2939" s="5">
        <v>5007000</v>
      </c>
      <c r="L2939" s="5">
        <v>492548000</v>
      </c>
      <c r="M2939" s="5">
        <v>67315000</v>
      </c>
      <c r="N2939" s="5">
        <v>34206000</v>
      </c>
    </row>
    <row r="2940" spans="1:14" x14ac:dyDescent="0.25">
      <c r="A2940" s="3" t="s">
        <v>2951</v>
      </c>
      <c r="B2940" s="4">
        <v>9.11</v>
      </c>
      <c r="C2940" s="4">
        <v>0.05</v>
      </c>
      <c r="D2940" s="4">
        <v>0.02</v>
      </c>
      <c r="E2940" s="4">
        <v>-1.5908962772977431E-2</v>
      </c>
      <c r="F2940" s="3">
        <v>2938</v>
      </c>
      <c r="G2940" s="3">
        <v>3</v>
      </c>
      <c r="H2940" s="5">
        <v>1995597430.72</v>
      </c>
      <c r="I2940" s="5">
        <v>2879995430.7199998</v>
      </c>
      <c r="J2940" s="5">
        <v>991885000</v>
      </c>
      <c r="K2940" s="5">
        <v>107487000</v>
      </c>
      <c r="L2940" s="5">
        <v>1961646000</v>
      </c>
      <c r="M2940" s="5">
        <v>316297000</v>
      </c>
      <c r="N2940" s="5">
        <v>68868000</v>
      </c>
    </row>
    <row r="2941" spans="1:14" x14ac:dyDescent="0.25">
      <c r="A2941" s="3" t="s">
        <v>2952</v>
      </c>
      <c r="B2941" s="4">
        <v>9.32</v>
      </c>
      <c r="C2941" s="4">
        <v>0.09</v>
      </c>
      <c r="D2941" s="4">
        <v>0.08</v>
      </c>
      <c r="E2941" s="4">
        <v>-1.591178750509319E-2</v>
      </c>
      <c r="F2941" s="3">
        <v>2939</v>
      </c>
      <c r="G2941" s="3">
        <v>3</v>
      </c>
      <c r="H2941" s="5">
        <v>25498665.390000001</v>
      </c>
      <c r="I2941" s="5">
        <v>-17898314.609999999</v>
      </c>
      <c r="J2941" s="5">
        <v>0</v>
      </c>
      <c r="K2941" s="5">
        <v>43396980</v>
      </c>
      <c r="L2941" s="5">
        <v>158490</v>
      </c>
      <c r="M2941" s="5">
        <v>-1919960</v>
      </c>
      <c r="N2941" s="5">
        <v>5114680</v>
      </c>
    </row>
    <row r="2942" spans="1:14" x14ac:dyDescent="0.25">
      <c r="A2942" s="3" t="s">
        <v>2953</v>
      </c>
      <c r="B2942" s="4">
        <v>9.1199999999999992</v>
      </c>
      <c r="C2942" s="4">
        <v>0.05</v>
      </c>
      <c r="D2942" s="4">
        <v>0.03</v>
      </c>
      <c r="E2942" s="4">
        <v>-1.5913222952097E-2</v>
      </c>
      <c r="F2942" s="3">
        <v>2940</v>
      </c>
      <c r="G2942" s="3">
        <v>3</v>
      </c>
      <c r="H2942" s="5">
        <v>567669350.27999997</v>
      </c>
      <c r="I2942" s="5">
        <v>529595350.27999997</v>
      </c>
      <c r="J2942" s="5">
        <v>93852000</v>
      </c>
      <c r="K2942" s="5">
        <v>131926000</v>
      </c>
      <c r="L2942" s="5">
        <v>624559000</v>
      </c>
      <c r="M2942" s="5">
        <v>58085000</v>
      </c>
      <c r="N2942" s="5">
        <v>16113000</v>
      </c>
    </row>
    <row r="2943" spans="1:14" x14ac:dyDescent="0.25">
      <c r="A2943" s="3" t="s">
        <v>2954</v>
      </c>
      <c r="B2943" s="4">
        <v>10.07</v>
      </c>
      <c r="C2943" s="4">
        <v>0.25</v>
      </c>
      <c r="D2943" s="4">
        <v>7.0000000000000007E-2</v>
      </c>
      <c r="E2943" s="4">
        <v>-1.591560924672018E-2</v>
      </c>
      <c r="F2943" s="3">
        <v>2941</v>
      </c>
      <c r="G2943" s="3">
        <v>3</v>
      </c>
      <c r="H2943" s="5">
        <v>24745187816.580002</v>
      </c>
      <c r="I2943" s="5">
        <v>39259887816.580002</v>
      </c>
      <c r="J2943" s="5">
        <v>14878600000</v>
      </c>
      <c r="K2943" s="5">
        <v>363900000</v>
      </c>
      <c r="L2943" s="5">
        <v>19486600000</v>
      </c>
      <c r="M2943" s="5">
        <v>3898900000</v>
      </c>
      <c r="N2943" s="5">
        <v>2295200000</v>
      </c>
    </row>
    <row r="2944" spans="1:14" x14ac:dyDescent="0.25">
      <c r="A2944" s="3" t="s">
        <v>2955</v>
      </c>
      <c r="B2944" s="4">
        <v>-0.62</v>
      </c>
      <c r="C2944" s="4">
        <v>-1.98</v>
      </c>
      <c r="D2944" s="4">
        <v>-0.83</v>
      </c>
      <c r="E2944" s="4">
        <v>-1.5916235112744041E-2</v>
      </c>
      <c r="F2944" s="3">
        <v>2942</v>
      </c>
      <c r="G2944" s="3">
        <v>3</v>
      </c>
      <c r="H2944" s="5">
        <v>42203192.609999999</v>
      </c>
      <c r="I2944" s="5">
        <v>22341332.609999999</v>
      </c>
      <c r="J2944" s="5">
        <v>21827730</v>
      </c>
      <c r="K2944" s="5">
        <v>41689590</v>
      </c>
      <c r="L2944" s="5">
        <v>0</v>
      </c>
      <c r="M2944" s="5">
        <v>-36261410</v>
      </c>
      <c r="N2944" s="5">
        <v>-37610380</v>
      </c>
    </row>
    <row r="2945" spans="1:14" x14ac:dyDescent="0.25">
      <c r="A2945" s="3" t="s">
        <v>2956</v>
      </c>
      <c r="B2945" s="4">
        <v>10.1</v>
      </c>
      <c r="C2945" s="4">
        <v>0.25</v>
      </c>
      <c r="D2945" s="4">
        <v>0.15</v>
      </c>
      <c r="E2945" s="4">
        <v>-1.591874465119136E-2</v>
      </c>
      <c r="F2945" s="3">
        <v>2943</v>
      </c>
      <c r="G2945" s="3">
        <v>3</v>
      </c>
      <c r="H2945" s="5">
        <v>105525829.40000001</v>
      </c>
      <c r="I2945" s="5">
        <v>120500829.40000001</v>
      </c>
      <c r="J2945" s="5">
        <v>15394000</v>
      </c>
      <c r="K2945" s="5">
        <v>419000</v>
      </c>
      <c r="L2945" s="5">
        <v>66593000</v>
      </c>
      <c r="M2945" s="5">
        <v>11928000</v>
      </c>
      <c r="N2945" s="5">
        <v>8978000</v>
      </c>
    </row>
    <row r="2946" spans="1:14" x14ac:dyDescent="0.25">
      <c r="A2946" s="3" t="s">
        <v>2957</v>
      </c>
      <c r="B2946" s="4">
        <v>10.210000000000001</v>
      </c>
      <c r="C2946" s="4">
        <v>0.27</v>
      </c>
      <c r="D2946" s="4">
        <v>0.17</v>
      </c>
      <c r="E2946" s="4">
        <v>-1.592518064667529E-2</v>
      </c>
      <c r="F2946" s="3">
        <v>2944</v>
      </c>
      <c r="G2946" s="3">
        <v>3</v>
      </c>
      <c r="H2946" s="5">
        <v>3478272645.1199999</v>
      </c>
      <c r="I2946" s="5">
        <v>3679580645.1199999</v>
      </c>
      <c r="J2946" s="5">
        <v>202600000</v>
      </c>
      <c r="K2946" s="5">
        <v>1292000</v>
      </c>
      <c r="L2946" s="5">
        <v>1151449000</v>
      </c>
      <c r="M2946" s="5">
        <v>360373000</v>
      </c>
      <c r="N2946" s="5">
        <v>226392000</v>
      </c>
    </row>
    <row r="2947" spans="1:14" x14ac:dyDescent="0.25">
      <c r="A2947" s="3" t="s">
        <v>2958</v>
      </c>
      <c r="B2947" s="4">
        <v>-0.01</v>
      </c>
      <c r="C2947" s="4">
        <v>-1.83</v>
      </c>
      <c r="D2947" s="4">
        <v>-1.18</v>
      </c>
      <c r="E2947" s="4">
        <v>-1.5927888485261599E-2</v>
      </c>
      <c r="F2947" s="3">
        <v>2945</v>
      </c>
      <c r="G2947" s="3">
        <v>3</v>
      </c>
      <c r="H2947" s="5">
        <v>18952248.780000001</v>
      </c>
      <c r="I2947" s="5">
        <v>92248.780000001192</v>
      </c>
      <c r="J2947" s="5">
        <v>0</v>
      </c>
      <c r="K2947" s="5">
        <v>18860000</v>
      </c>
      <c r="L2947" s="5">
        <v>8000</v>
      </c>
      <c r="M2947" s="5">
        <v>-10430000</v>
      </c>
      <c r="N2947" s="5">
        <v>-23359000</v>
      </c>
    </row>
    <row r="2948" spans="1:14" x14ac:dyDescent="0.25">
      <c r="A2948" s="3" t="s">
        <v>2959</v>
      </c>
      <c r="B2948" s="4">
        <v>10.8</v>
      </c>
      <c r="C2948" s="4">
        <v>0.4</v>
      </c>
      <c r="D2948" s="4">
        <v>0.1</v>
      </c>
      <c r="E2948" s="4">
        <v>-1.5928230077657441E-2</v>
      </c>
      <c r="F2948" s="3">
        <v>2946</v>
      </c>
      <c r="G2948" s="3">
        <v>3</v>
      </c>
      <c r="H2948" s="5">
        <v>5532663000</v>
      </c>
      <c r="I2948" s="5">
        <v>7320563000</v>
      </c>
      <c r="J2948" s="5">
        <v>2144300000</v>
      </c>
      <c r="K2948" s="5">
        <v>356400000</v>
      </c>
      <c r="L2948" s="5">
        <v>2979000000</v>
      </c>
      <c r="M2948" s="5">
        <v>677600000</v>
      </c>
      <c r="N2948" s="5">
        <v>422200000</v>
      </c>
    </row>
    <row r="2949" spans="1:14" x14ac:dyDescent="0.25">
      <c r="A2949" s="3" t="s">
        <v>2960</v>
      </c>
      <c r="B2949" s="4">
        <v>10.5</v>
      </c>
      <c r="C2949" s="4">
        <v>0.33</v>
      </c>
      <c r="D2949" s="4">
        <v>0.17</v>
      </c>
      <c r="E2949" s="4">
        <v>-1.5931305969803779E-2</v>
      </c>
      <c r="F2949" s="3">
        <v>2947</v>
      </c>
      <c r="G2949" s="3">
        <v>3</v>
      </c>
      <c r="H2949" s="5">
        <v>9597134070.5400009</v>
      </c>
      <c r="I2949" s="5">
        <v>9400847070.5400009</v>
      </c>
      <c r="J2949" s="5">
        <v>521567000</v>
      </c>
      <c r="K2949" s="5">
        <v>717854000</v>
      </c>
      <c r="L2949" s="5">
        <v>6590231000</v>
      </c>
      <c r="M2949" s="5">
        <v>895053000</v>
      </c>
      <c r="N2949" s="5">
        <v>593476000</v>
      </c>
    </row>
    <row r="2950" spans="1:14" x14ac:dyDescent="0.25">
      <c r="A2950" s="3" t="s">
        <v>2961</v>
      </c>
      <c r="B2950" s="4">
        <v>9.24</v>
      </c>
      <c r="C2950" s="4">
        <v>7.0000000000000007E-2</v>
      </c>
      <c r="D2950" s="4">
        <v>0.02</v>
      </c>
      <c r="E2950" s="4">
        <v>-1.593163523301052E-2</v>
      </c>
      <c r="F2950" s="3">
        <v>2948</v>
      </c>
      <c r="G2950" s="3">
        <v>3</v>
      </c>
      <c r="H2950" s="5">
        <v>1749215101.1400001</v>
      </c>
      <c r="I2950" s="5">
        <v>2611832101.1399999</v>
      </c>
      <c r="J2950" s="5">
        <v>930080000</v>
      </c>
      <c r="K2950" s="5">
        <v>67463000</v>
      </c>
      <c r="L2950" s="5">
        <v>994727000</v>
      </c>
      <c r="M2950" s="5">
        <v>282537000</v>
      </c>
      <c r="N2950" s="5">
        <v>70239000</v>
      </c>
    </row>
    <row r="2951" spans="1:14" x14ac:dyDescent="0.25">
      <c r="A2951" s="3" t="s">
        <v>2962</v>
      </c>
      <c r="B2951" s="4">
        <v>-3.72</v>
      </c>
      <c r="C2951" s="4">
        <v>-2.62</v>
      </c>
      <c r="D2951" s="4">
        <v>-1.32</v>
      </c>
      <c r="E2951" s="4">
        <v>-1.594129449787313E-2</v>
      </c>
      <c r="F2951" s="3">
        <v>2949</v>
      </c>
      <c r="G2951" s="3">
        <v>3</v>
      </c>
      <c r="H2951" s="5">
        <v>29582217.899999999</v>
      </c>
      <c r="I2951" s="5">
        <v>29096207.899999999</v>
      </c>
      <c r="J2951" s="5">
        <v>673920</v>
      </c>
      <c r="K2951" s="5">
        <v>1159930</v>
      </c>
      <c r="L2951" s="5">
        <v>2085470</v>
      </c>
      <c r="M2951" s="5">
        <v>-7820140</v>
      </c>
      <c r="N2951" s="5">
        <v>-8593180</v>
      </c>
    </row>
    <row r="2952" spans="1:14" x14ac:dyDescent="0.25">
      <c r="A2952" s="3" t="s">
        <v>2963</v>
      </c>
      <c r="B2952" s="4">
        <v>6.33</v>
      </c>
      <c r="C2952" s="4">
        <v>-0.55000000000000004</v>
      </c>
      <c r="D2952" s="4">
        <v>-0.1</v>
      </c>
      <c r="E2952" s="4">
        <v>-1.5945128328987451E-2</v>
      </c>
      <c r="F2952" s="3">
        <v>2950</v>
      </c>
      <c r="G2952" s="3">
        <v>3</v>
      </c>
      <c r="H2952" s="5">
        <v>94601443164.690002</v>
      </c>
      <c r="I2952" s="5">
        <v>133904443164.69</v>
      </c>
      <c r="J2952" s="5">
        <v>49649000000</v>
      </c>
      <c r="K2952" s="5">
        <v>10346000000</v>
      </c>
      <c r="L2952" s="5">
        <v>48300000000</v>
      </c>
      <c r="M2952" s="5">
        <v>21145000000</v>
      </c>
      <c r="N2952" s="5">
        <v>-8948000000</v>
      </c>
    </row>
    <row r="2953" spans="1:14" x14ac:dyDescent="0.25">
      <c r="A2953" s="3" t="s">
        <v>2964</v>
      </c>
      <c r="B2953" s="4">
        <v>8.5500000000000007</v>
      </c>
      <c r="C2953" s="4">
        <v>-0.08</v>
      </c>
      <c r="D2953" s="4">
        <v>-0.03</v>
      </c>
      <c r="E2953" s="4">
        <v>-1.5947629278016569E-2</v>
      </c>
      <c r="F2953" s="3">
        <v>2951</v>
      </c>
      <c r="G2953" s="3">
        <v>3</v>
      </c>
      <c r="H2953" s="5">
        <v>84.289680000000004</v>
      </c>
      <c r="I2953" s="5">
        <v>4816704.2896800004</v>
      </c>
      <c r="J2953" s="5">
        <v>6382560</v>
      </c>
      <c r="K2953" s="5">
        <v>1565940</v>
      </c>
      <c r="L2953" s="5">
        <v>15247750</v>
      </c>
      <c r="M2953" s="5">
        <v>563120</v>
      </c>
      <c r="N2953" s="5">
        <v>-1331770</v>
      </c>
    </row>
    <row r="2954" spans="1:14" x14ac:dyDescent="0.25">
      <c r="A2954" s="3" t="s">
        <v>2965</v>
      </c>
      <c r="B2954" s="4">
        <v>11.18</v>
      </c>
      <c r="C2954" s="4">
        <v>0.47</v>
      </c>
      <c r="D2954" s="4">
        <v>0.17</v>
      </c>
      <c r="E2954" s="4">
        <v>-1.594766145900264E-2</v>
      </c>
      <c r="F2954" s="3">
        <v>2952</v>
      </c>
      <c r="G2954" s="3">
        <v>3</v>
      </c>
      <c r="H2954" s="5">
        <v>34449136525.360001</v>
      </c>
      <c r="I2954" s="5">
        <v>38820541525.360001</v>
      </c>
      <c r="J2954" s="5">
        <v>5102151000</v>
      </c>
      <c r="K2954" s="5">
        <v>730746000</v>
      </c>
      <c r="L2954" s="5">
        <v>11202263000</v>
      </c>
      <c r="M2954" s="5">
        <v>3471023000</v>
      </c>
      <c r="N2954" s="5">
        <v>2221239000</v>
      </c>
    </row>
    <row r="2955" spans="1:14" x14ac:dyDescent="0.25">
      <c r="A2955" s="3" t="s">
        <v>2966</v>
      </c>
      <c r="B2955" s="4">
        <v>9.18</v>
      </c>
      <c r="C2955" s="4">
        <v>0.05</v>
      </c>
      <c r="D2955" s="4">
        <v>0.02</v>
      </c>
      <c r="E2955" s="4">
        <v>-1.5952287212856971E-2</v>
      </c>
      <c r="F2955" s="3">
        <v>2953</v>
      </c>
      <c r="G2955" s="3">
        <v>3</v>
      </c>
      <c r="H2955" s="5">
        <v>3903814368</v>
      </c>
      <c r="I2955" s="5">
        <v>6373399368</v>
      </c>
      <c r="J2955" s="5">
        <v>2662013000</v>
      </c>
      <c r="K2955" s="5">
        <v>192428000</v>
      </c>
      <c r="L2955" s="5">
        <v>22200754000</v>
      </c>
      <c r="M2955" s="5">
        <v>694233000</v>
      </c>
      <c r="N2955" s="5">
        <v>240217000</v>
      </c>
    </row>
    <row r="2956" spans="1:14" x14ac:dyDescent="0.25">
      <c r="A2956" s="3" t="s">
        <v>2967</v>
      </c>
      <c r="B2956" s="4">
        <v>9.73</v>
      </c>
      <c r="C2956" s="4">
        <v>0.16</v>
      </c>
      <c r="D2956" s="4">
        <v>0.11</v>
      </c>
      <c r="E2956" s="4">
        <v>-1.5957502609839639E-2</v>
      </c>
      <c r="F2956" s="3">
        <v>2954</v>
      </c>
      <c r="G2956" s="3">
        <v>3</v>
      </c>
      <c r="H2956" s="5">
        <v>36034385674.18</v>
      </c>
      <c r="I2956" s="5">
        <v>34734385674.18</v>
      </c>
      <c r="J2956" s="5">
        <v>931000000</v>
      </c>
      <c r="K2956" s="5">
        <v>2231000000</v>
      </c>
      <c r="L2956" s="5">
        <v>19736000000</v>
      </c>
      <c r="M2956" s="5">
        <v>3568000000</v>
      </c>
      <c r="N2956" s="5">
        <v>2240000000</v>
      </c>
    </row>
    <row r="2957" spans="1:14" x14ac:dyDescent="0.25">
      <c r="A2957" s="3" t="s">
        <v>2968</v>
      </c>
      <c r="B2957" s="4">
        <v>0.28999999999999998</v>
      </c>
      <c r="C2957" s="4">
        <v>-1.77</v>
      </c>
      <c r="D2957" s="4">
        <v>-1.27</v>
      </c>
      <c r="E2957" s="4">
        <v>-1.595756425328473E-2</v>
      </c>
      <c r="F2957" s="3">
        <v>2955</v>
      </c>
      <c r="G2957" s="3">
        <v>3</v>
      </c>
      <c r="H2957" s="5">
        <v>945169.44</v>
      </c>
      <c r="I2957" s="5">
        <v>-7767830.5600000015</v>
      </c>
      <c r="J2957" s="5">
        <v>0</v>
      </c>
      <c r="K2957" s="5">
        <v>8713000</v>
      </c>
      <c r="L2957" s="5">
        <v>-11690000</v>
      </c>
      <c r="M2957" s="5">
        <v>-26869000</v>
      </c>
      <c r="N2957" s="5">
        <v>-32546000</v>
      </c>
    </row>
    <row r="2958" spans="1:14" x14ac:dyDescent="0.25">
      <c r="A2958" s="3" t="s">
        <v>2969</v>
      </c>
      <c r="B2958" s="4">
        <v>8.56</v>
      </c>
      <c r="C2958" s="4">
        <v>-0.08</v>
      </c>
      <c r="D2958" s="4">
        <v>-0.06</v>
      </c>
      <c r="E2958" s="4">
        <v>-1.595960556344617E-2</v>
      </c>
      <c r="F2958" s="3">
        <v>2956</v>
      </c>
      <c r="G2958" s="3">
        <v>3</v>
      </c>
      <c r="H2958" s="5">
        <v>123391504.59999999</v>
      </c>
      <c r="I2958" s="5">
        <v>329191504.60000002</v>
      </c>
      <c r="J2958" s="5">
        <v>246921000</v>
      </c>
      <c r="K2958" s="5">
        <v>41121000</v>
      </c>
      <c r="L2958" s="5">
        <v>120112000</v>
      </c>
      <c r="M2958" s="5">
        <v>38469000</v>
      </c>
      <c r="N2958" s="5">
        <v>-52723000</v>
      </c>
    </row>
    <row r="2959" spans="1:14" x14ac:dyDescent="0.25">
      <c r="A2959" s="3" t="s">
        <v>2970</v>
      </c>
      <c r="B2959" s="4">
        <v>9.5399999999999991</v>
      </c>
      <c r="C2959" s="4">
        <v>0.12</v>
      </c>
      <c r="D2959" s="4">
        <v>0.06</v>
      </c>
      <c r="E2959" s="4">
        <v>-1.596512726254053E-2</v>
      </c>
      <c r="F2959" s="3">
        <v>2957</v>
      </c>
      <c r="G2959" s="3">
        <v>3</v>
      </c>
      <c r="H2959" s="5">
        <v>6258261023.2799997</v>
      </c>
      <c r="I2959" s="5">
        <v>7963795023.2799988</v>
      </c>
      <c r="J2959" s="5">
        <v>2395067000</v>
      </c>
      <c r="K2959" s="5">
        <v>689533000</v>
      </c>
      <c r="L2959" s="5">
        <v>3875162000</v>
      </c>
      <c r="M2959" s="5">
        <v>835041000</v>
      </c>
      <c r="N2959" s="5">
        <v>428433000</v>
      </c>
    </row>
    <row r="2960" spans="1:14" x14ac:dyDescent="0.25">
      <c r="A2960" s="3" t="s">
        <v>2971</v>
      </c>
      <c r="B2960" s="4">
        <v>9.83</v>
      </c>
      <c r="C2960" s="4">
        <v>0.18</v>
      </c>
      <c r="D2960" s="4">
        <v>0.05</v>
      </c>
      <c r="E2960" s="4">
        <v>-1.5973181612246531E-2</v>
      </c>
      <c r="F2960" s="3">
        <v>2958</v>
      </c>
      <c r="G2960" s="3">
        <v>3</v>
      </c>
      <c r="H2960" s="5">
        <v>229003046607.23999</v>
      </c>
      <c r="I2960" s="5">
        <v>307849046607.23999</v>
      </c>
      <c r="J2960" s="5">
        <v>84255000000</v>
      </c>
      <c r="K2960" s="5">
        <v>5409000000</v>
      </c>
      <c r="L2960" s="5">
        <v>81400000000</v>
      </c>
      <c r="M2960" s="5">
        <v>31316000000</v>
      </c>
      <c r="N2960" s="5">
        <v>11339000000</v>
      </c>
    </row>
    <row r="2961" spans="1:14" x14ac:dyDescent="0.25">
      <c r="A2961" s="3" t="s">
        <v>2972</v>
      </c>
      <c r="B2961" s="4">
        <v>11.15</v>
      </c>
      <c r="C2961" s="4">
        <v>0.46</v>
      </c>
      <c r="D2961" s="4">
        <v>7.0000000000000007E-2</v>
      </c>
      <c r="E2961" s="4">
        <v>-1.5977277714700922E-2</v>
      </c>
      <c r="F2961" s="3">
        <v>2959</v>
      </c>
      <c r="G2961" s="3">
        <v>3</v>
      </c>
      <c r="H2961" s="5">
        <v>19176808208.400002</v>
      </c>
      <c r="I2961" s="5">
        <v>24516108208.400002</v>
      </c>
      <c r="J2961" s="5">
        <v>5842800000</v>
      </c>
      <c r="K2961" s="5">
        <v>503500000</v>
      </c>
      <c r="L2961" s="5">
        <v>20998700000</v>
      </c>
      <c r="M2961" s="5">
        <v>2198400000</v>
      </c>
      <c r="N2961" s="5">
        <v>1077800000</v>
      </c>
    </row>
    <row r="2962" spans="1:14" x14ac:dyDescent="0.25">
      <c r="A2962" s="3" t="s">
        <v>2973</v>
      </c>
      <c r="B2962" s="4">
        <v>9.08</v>
      </c>
      <c r="C2962" s="4">
        <v>0.02</v>
      </c>
      <c r="D2962" s="4">
        <v>0.01</v>
      </c>
      <c r="E2962" s="4">
        <v>-1.5979005003507071E-2</v>
      </c>
      <c r="F2962" s="3">
        <v>2960</v>
      </c>
      <c r="G2962" s="3">
        <v>3</v>
      </c>
      <c r="H2962" s="5">
        <v>2379196878.1500001</v>
      </c>
      <c r="I2962" s="5">
        <v>4015328878.1500001</v>
      </c>
      <c r="J2962" s="5">
        <v>1713028000</v>
      </c>
      <c r="K2962" s="5">
        <v>76896000</v>
      </c>
      <c r="L2962" s="5">
        <v>2423702000</v>
      </c>
      <c r="M2962" s="5">
        <v>442394000</v>
      </c>
      <c r="N2962" s="5">
        <v>31966000</v>
      </c>
    </row>
    <row r="2963" spans="1:14" x14ac:dyDescent="0.25">
      <c r="A2963" s="3" t="s">
        <v>2974</v>
      </c>
      <c r="B2963" s="4">
        <v>9.18</v>
      </c>
      <c r="C2963" s="4">
        <v>0.04</v>
      </c>
      <c r="D2963" s="4">
        <v>0.02</v>
      </c>
      <c r="E2963" s="4">
        <v>-1.5981180819871429E-2</v>
      </c>
      <c r="F2963" s="3">
        <v>2961</v>
      </c>
      <c r="G2963" s="3">
        <v>3</v>
      </c>
      <c r="H2963" s="5">
        <v>1212937651.71</v>
      </c>
      <c r="I2963" s="5">
        <v>2787664651.71</v>
      </c>
      <c r="J2963" s="5">
        <v>1638693000</v>
      </c>
      <c r="K2963" s="5">
        <v>63966000</v>
      </c>
      <c r="L2963" s="5">
        <v>381665000</v>
      </c>
      <c r="M2963" s="5">
        <v>303674000</v>
      </c>
      <c r="N2963" s="5">
        <v>57905000</v>
      </c>
    </row>
    <row r="2964" spans="1:14" x14ac:dyDescent="0.25">
      <c r="A2964" s="3" t="s">
        <v>2975</v>
      </c>
      <c r="B2964" s="4">
        <v>8.61</v>
      </c>
      <c r="C2964" s="4">
        <v>-0.08</v>
      </c>
      <c r="D2964" s="4">
        <v>-0.02</v>
      </c>
      <c r="E2964" s="4">
        <v>-1.598283548562153E-2</v>
      </c>
      <c r="F2964" s="3">
        <v>2962</v>
      </c>
      <c r="G2964" s="3">
        <v>3</v>
      </c>
      <c r="H2964" s="5">
        <v>2239286644.9200001</v>
      </c>
      <c r="I2964" s="5">
        <v>4073286644.9200001</v>
      </c>
      <c r="J2964" s="5">
        <v>1878000000</v>
      </c>
      <c r="K2964" s="5">
        <v>44000000</v>
      </c>
      <c r="L2964" s="5">
        <v>31784000000</v>
      </c>
      <c r="M2964" s="5">
        <v>473000000</v>
      </c>
      <c r="N2964" s="5">
        <v>-118000000</v>
      </c>
    </row>
    <row r="2965" spans="1:14" x14ac:dyDescent="0.25">
      <c r="A2965" s="3" t="s">
        <v>2976</v>
      </c>
      <c r="B2965" s="4">
        <v>8.85</v>
      </c>
      <c r="C2965" s="4">
        <v>-0.03</v>
      </c>
      <c r="D2965" s="4">
        <v>-0.01</v>
      </c>
      <c r="E2965" s="4">
        <v>-1.59849793607016E-2</v>
      </c>
      <c r="F2965" s="3">
        <v>2963</v>
      </c>
      <c r="G2965" s="3">
        <v>3</v>
      </c>
      <c r="H2965" s="5">
        <v>3636867688.9099998</v>
      </c>
      <c r="I2965" s="5">
        <v>7050514688.9099998</v>
      </c>
      <c r="J2965" s="5">
        <v>3461299000</v>
      </c>
      <c r="K2965" s="5">
        <v>47652000</v>
      </c>
      <c r="L2965" s="5">
        <v>2666541000</v>
      </c>
      <c r="M2965" s="5">
        <v>796566000</v>
      </c>
      <c r="N2965" s="5">
        <v>-94313000</v>
      </c>
    </row>
    <row r="2966" spans="1:14" x14ac:dyDescent="0.25">
      <c r="A2966" s="3" t="s">
        <v>2977</v>
      </c>
      <c r="B2966" s="4">
        <v>8.66</v>
      </c>
      <c r="C2966" s="4">
        <v>-7.0000000000000007E-2</v>
      </c>
      <c r="D2966" s="4">
        <v>-0.03</v>
      </c>
      <c r="E2966" s="4">
        <v>-1.5986816933669969E-2</v>
      </c>
      <c r="F2966" s="3">
        <v>2964</v>
      </c>
      <c r="G2966" s="3">
        <v>3</v>
      </c>
      <c r="H2966" s="5">
        <v>192684678.72</v>
      </c>
      <c r="I2966" s="5">
        <v>322429678.72000003</v>
      </c>
      <c r="J2966" s="5">
        <v>201577000</v>
      </c>
      <c r="K2966" s="5">
        <v>71832000</v>
      </c>
      <c r="L2966" s="5">
        <v>908295000</v>
      </c>
      <c r="M2966" s="5">
        <v>37253000</v>
      </c>
      <c r="N2966" s="5">
        <v>-16524000</v>
      </c>
    </row>
    <row r="2967" spans="1:14" x14ac:dyDescent="0.25">
      <c r="A2967" s="3" t="s">
        <v>2978</v>
      </c>
      <c r="B2967" s="4">
        <v>9.99</v>
      </c>
      <c r="C2967" s="4">
        <v>0.21</v>
      </c>
      <c r="D2967" s="4">
        <v>0.04</v>
      </c>
      <c r="E2967" s="4">
        <v>-1.5987457108933911E-2</v>
      </c>
      <c r="F2967" s="3">
        <v>2965</v>
      </c>
      <c r="G2967" s="3">
        <v>3</v>
      </c>
      <c r="H2967" s="5">
        <v>34973227476.797203</v>
      </c>
      <c r="I2967" s="5">
        <v>61237227476.797203</v>
      </c>
      <c r="J2967" s="5">
        <v>27474000000</v>
      </c>
      <c r="K2967" s="5">
        <v>1210000000</v>
      </c>
      <c r="L2967" s="5">
        <v>25021000000</v>
      </c>
      <c r="M2967" s="5">
        <v>6131000000</v>
      </c>
      <c r="N2967" s="5">
        <v>1916000000</v>
      </c>
    </row>
    <row r="2968" spans="1:14" x14ac:dyDescent="0.25">
      <c r="A2968" s="3" t="s">
        <v>2979</v>
      </c>
      <c r="B2968" s="4">
        <v>9.49</v>
      </c>
      <c r="C2968" s="4">
        <v>0.1</v>
      </c>
      <c r="D2968" s="4">
        <v>0.05</v>
      </c>
      <c r="E2968" s="4">
        <v>-1.599389747466157E-2</v>
      </c>
      <c r="F2968" s="3">
        <v>2966</v>
      </c>
      <c r="G2968" s="3">
        <v>3</v>
      </c>
      <c r="H2968" s="5">
        <v>2672912184.5999999</v>
      </c>
      <c r="I2968" s="5">
        <v>3264409184.5999999</v>
      </c>
      <c r="J2968" s="5">
        <v>757253000</v>
      </c>
      <c r="K2968" s="5">
        <v>165756000</v>
      </c>
      <c r="L2968" s="5">
        <v>3741208000</v>
      </c>
      <c r="M2968" s="5">
        <v>343930000</v>
      </c>
      <c r="N2968" s="5">
        <v>142867000</v>
      </c>
    </row>
    <row r="2969" spans="1:14" x14ac:dyDescent="0.25">
      <c r="A2969" s="3" t="s">
        <v>2980</v>
      </c>
      <c r="B2969" s="4">
        <v>-0.11</v>
      </c>
      <c r="C2969" s="4">
        <v>-1.91</v>
      </c>
      <c r="D2969" s="4">
        <v>-0.65</v>
      </c>
      <c r="E2969" s="4">
        <v>-1.599490687579868E-2</v>
      </c>
      <c r="F2969" s="3">
        <v>2967</v>
      </c>
      <c r="G2969" s="3">
        <v>3</v>
      </c>
      <c r="H2969" s="5">
        <v>4696.5114000000003</v>
      </c>
      <c r="I2969" s="5">
        <v>386496.51140000002</v>
      </c>
      <c r="J2969" s="5">
        <v>670060</v>
      </c>
      <c r="K2969" s="5">
        <v>288260</v>
      </c>
      <c r="L2969" s="5">
        <v>4236570</v>
      </c>
      <c r="M2969" s="5">
        <v>-3468350</v>
      </c>
      <c r="N2969" s="5">
        <v>-4046620</v>
      </c>
    </row>
    <row r="2970" spans="1:14" x14ac:dyDescent="0.25">
      <c r="A2970" s="3" t="s">
        <v>2981</v>
      </c>
      <c r="B2970" s="4">
        <v>0.44</v>
      </c>
      <c r="C2970" s="4">
        <v>-1.83</v>
      </c>
      <c r="D2970" s="4">
        <v>-0.09</v>
      </c>
      <c r="E2970" s="4">
        <v>-1.5996138844681949E-2</v>
      </c>
      <c r="F2970" s="3">
        <v>2968</v>
      </c>
      <c r="G2970" s="3">
        <v>3</v>
      </c>
      <c r="H2970" s="5">
        <v>3859.5315999999998</v>
      </c>
      <c r="I2970" s="5">
        <v>-3194140.4684000001</v>
      </c>
      <c r="J2970" s="5">
        <v>0</v>
      </c>
      <c r="K2970" s="5">
        <v>3198000</v>
      </c>
      <c r="L2970" s="5">
        <v>348850000</v>
      </c>
      <c r="M2970" s="5">
        <v>-7316000</v>
      </c>
      <c r="N2970" s="5">
        <v>-16694000</v>
      </c>
    </row>
    <row r="2971" spans="1:14" x14ac:dyDescent="0.25">
      <c r="A2971" s="3" t="s">
        <v>2982</v>
      </c>
      <c r="B2971" s="4">
        <v>9.66</v>
      </c>
      <c r="C2971" s="4">
        <v>0.13</v>
      </c>
      <c r="D2971" s="4">
        <v>0.05</v>
      </c>
      <c r="E2971" s="4">
        <v>-1.6012433150468509E-2</v>
      </c>
      <c r="F2971" s="3">
        <v>2969</v>
      </c>
      <c r="G2971" s="3">
        <v>3</v>
      </c>
      <c r="H2971" s="5">
        <v>855380886.58000004</v>
      </c>
      <c r="I2971" s="5">
        <v>1297674886.5799999</v>
      </c>
      <c r="J2971" s="5">
        <v>452510000</v>
      </c>
      <c r="K2971" s="5">
        <v>10216000</v>
      </c>
      <c r="L2971" s="5">
        <v>762693000</v>
      </c>
      <c r="M2971" s="5">
        <v>134299000</v>
      </c>
      <c r="N2971" s="5">
        <v>57265000</v>
      </c>
    </row>
    <row r="2972" spans="1:14" x14ac:dyDescent="0.25">
      <c r="A2972" s="3" t="s">
        <v>2983</v>
      </c>
      <c r="B2972" s="4">
        <v>9.57</v>
      </c>
      <c r="C2972" s="4">
        <v>0.11</v>
      </c>
      <c r="D2972" s="4">
        <v>0.06</v>
      </c>
      <c r="E2972" s="4">
        <v>-1.6012588486646221E-2</v>
      </c>
      <c r="F2972" s="3">
        <v>2970</v>
      </c>
      <c r="G2972" s="3">
        <v>3</v>
      </c>
      <c r="H2972" s="5">
        <v>616373679.48000002</v>
      </c>
      <c r="I2972" s="5">
        <v>755895679.48000002</v>
      </c>
      <c r="J2972" s="5">
        <v>148230000</v>
      </c>
      <c r="K2972" s="5">
        <v>8708000</v>
      </c>
      <c r="L2972" s="5">
        <v>438961000</v>
      </c>
      <c r="M2972" s="5">
        <v>79000000</v>
      </c>
      <c r="N2972" s="5">
        <v>29494000</v>
      </c>
    </row>
    <row r="2973" spans="1:14" x14ac:dyDescent="0.25">
      <c r="A2973" s="3" t="s">
        <v>2984</v>
      </c>
      <c r="B2973" s="4">
        <v>8.86</v>
      </c>
      <c r="C2973" s="4">
        <v>-0.04</v>
      </c>
      <c r="D2973" s="4">
        <v>-0.03</v>
      </c>
      <c r="E2973" s="4">
        <v>-1.602392022656815E-2</v>
      </c>
      <c r="F2973" s="3">
        <v>2971</v>
      </c>
      <c r="G2973" s="3">
        <v>3</v>
      </c>
      <c r="H2973" s="5">
        <v>13672557</v>
      </c>
      <c r="I2973" s="5">
        <v>13428557</v>
      </c>
      <c r="J2973" s="5">
        <v>1111000</v>
      </c>
      <c r="K2973" s="5">
        <v>1355000</v>
      </c>
      <c r="L2973" s="5">
        <v>29898000</v>
      </c>
      <c r="M2973" s="5">
        <v>1515000</v>
      </c>
      <c r="N2973" s="5">
        <v>-646000</v>
      </c>
    </row>
    <row r="2974" spans="1:14" x14ac:dyDescent="0.25">
      <c r="A2974" s="3" t="s">
        <v>2985</v>
      </c>
      <c r="B2974" s="4">
        <v>9.01</v>
      </c>
      <c r="C2974" s="4">
        <v>-0.01</v>
      </c>
      <c r="D2974" s="4">
        <v>0</v>
      </c>
      <c r="E2974" s="4">
        <v>-1.602429041124841E-2</v>
      </c>
      <c r="F2974" s="3">
        <v>2972</v>
      </c>
      <c r="G2974" s="3">
        <v>3</v>
      </c>
      <c r="H2974" s="5">
        <v>400271501.66000003</v>
      </c>
      <c r="I2974" s="5">
        <v>348388501.66000003</v>
      </c>
      <c r="J2974" s="5">
        <v>5148000</v>
      </c>
      <c r="K2974" s="5">
        <v>57031000</v>
      </c>
      <c r="L2974" s="5">
        <v>661544000</v>
      </c>
      <c r="M2974" s="5">
        <v>38669000</v>
      </c>
      <c r="N2974" s="5">
        <v>-1076000</v>
      </c>
    </row>
    <row r="2975" spans="1:14" x14ac:dyDescent="0.25">
      <c r="A2975" s="3" t="s">
        <v>2986</v>
      </c>
      <c r="B2975" s="4">
        <v>7.83</v>
      </c>
      <c r="C2975" s="4">
        <v>-0.26</v>
      </c>
      <c r="D2975" s="4">
        <v>-0.05</v>
      </c>
      <c r="E2975" s="4">
        <v>-1.6025949447242251E-2</v>
      </c>
      <c r="F2975" s="3">
        <v>2973</v>
      </c>
      <c r="G2975" s="3">
        <v>3</v>
      </c>
      <c r="H2975" s="5">
        <v>271891799.44</v>
      </c>
      <c r="I2975" s="5">
        <v>1245586799.4400001</v>
      </c>
      <c r="J2975" s="5">
        <v>996517000</v>
      </c>
      <c r="K2975" s="5">
        <v>22822000</v>
      </c>
      <c r="L2975" s="5">
        <v>429619000</v>
      </c>
      <c r="M2975" s="5">
        <v>159032000</v>
      </c>
      <c r="N2975" s="5">
        <v>-122159000</v>
      </c>
    </row>
    <row r="2976" spans="1:14" x14ac:dyDescent="0.25">
      <c r="A2976" s="3" t="s">
        <v>2987</v>
      </c>
      <c r="B2976" s="4">
        <v>0.18</v>
      </c>
      <c r="C2976" s="4">
        <v>-1.83</v>
      </c>
      <c r="D2976" s="4">
        <v>-1.0900000000000001</v>
      </c>
      <c r="E2976" s="4">
        <v>-1.602812215430852E-2</v>
      </c>
      <c r="F2976" s="3">
        <v>2974</v>
      </c>
      <c r="G2976" s="3">
        <v>3</v>
      </c>
      <c r="H2976" s="5">
        <v>76137.315000000002</v>
      </c>
      <c r="I2976" s="5">
        <v>-19101862.684999999</v>
      </c>
      <c r="J2976" s="5">
        <v>19351000</v>
      </c>
      <c r="K2976" s="5">
        <v>38529000</v>
      </c>
      <c r="L2976" s="5">
        <v>8275000</v>
      </c>
      <c r="M2976" s="5">
        <v>-105854000</v>
      </c>
      <c r="N2976" s="5">
        <v>-105938000</v>
      </c>
    </row>
    <row r="2977" spans="1:14" x14ac:dyDescent="0.25">
      <c r="A2977" s="3" t="s">
        <v>2988</v>
      </c>
      <c r="B2977" s="4">
        <v>9.31</v>
      </c>
      <c r="C2977" s="4">
        <v>0.05</v>
      </c>
      <c r="D2977" s="4">
        <v>0.02</v>
      </c>
      <c r="E2977" s="4">
        <v>-1.603274688691898E-2</v>
      </c>
      <c r="F2977" s="3">
        <v>2975</v>
      </c>
      <c r="G2977" s="3">
        <v>3</v>
      </c>
      <c r="H2977" s="5">
        <v>9653502266.0400009</v>
      </c>
      <c r="I2977" s="5">
        <v>15858531266.040001</v>
      </c>
      <c r="J2977" s="5">
        <v>7193857000</v>
      </c>
      <c r="K2977" s="5">
        <v>988828000</v>
      </c>
      <c r="L2977" s="5">
        <v>5828665000</v>
      </c>
      <c r="M2977" s="5">
        <v>1703845000</v>
      </c>
      <c r="N2977" s="5">
        <v>367090000</v>
      </c>
    </row>
    <row r="2978" spans="1:14" x14ac:dyDescent="0.25">
      <c r="A2978" s="3" t="s">
        <v>2989</v>
      </c>
      <c r="B2978" s="4">
        <v>9.0299999999999994</v>
      </c>
      <c r="C2978" s="4">
        <v>-0.01</v>
      </c>
      <c r="D2978" s="4">
        <v>-0.01</v>
      </c>
      <c r="E2978" s="4">
        <v>-1.6038597849220081E-2</v>
      </c>
      <c r="F2978" s="3">
        <v>2976</v>
      </c>
      <c r="G2978" s="3">
        <v>3</v>
      </c>
      <c r="H2978" s="5">
        <v>35807566.079999998</v>
      </c>
      <c r="I2978" s="5">
        <v>30415566.079999998</v>
      </c>
      <c r="J2978" s="5">
        <v>10270000</v>
      </c>
      <c r="K2978" s="5">
        <v>15662000</v>
      </c>
      <c r="L2978" s="5">
        <v>101489000</v>
      </c>
      <c r="M2978" s="5">
        <v>3367000</v>
      </c>
      <c r="N2978" s="5">
        <v>-480000</v>
      </c>
    </row>
    <row r="2979" spans="1:14" x14ac:dyDescent="0.25">
      <c r="A2979" s="3" t="s">
        <v>2990</v>
      </c>
      <c r="B2979" s="4">
        <v>11.24</v>
      </c>
      <c r="C2979" s="4">
        <v>0.46</v>
      </c>
      <c r="D2979" s="4">
        <v>0.04</v>
      </c>
      <c r="E2979" s="4">
        <v>-1.6038767645707139E-2</v>
      </c>
      <c r="F2979" s="3">
        <v>2977</v>
      </c>
      <c r="G2979" s="3">
        <v>3</v>
      </c>
      <c r="H2979" s="5">
        <v>10126359823.68</v>
      </c>
      <c r="I2979" s="5">
        <v>37620359823.68</v>
      </c>
      <c r="J2979" s="5">
        <v>29018000000</v>
      </c>
      <c r="K2979" s="5">
        <v>1524000000</v>
      </c>
      <c r="L2979" s="5">
        <v>12278000000</v>
      </c>
      <c r="M2979" s="5">
        <v>3347000000</v>
      </c>
      <c r="N2979" s="5">
        <v>1679000000</v>
      </c>
    </row>
    <row r="2980" spans="1:14" x14ac:dyDescent="0.25">
      <c r="A2980" s="3" t="s">
        <v>2991</v>
      </c>
      <c r="B2980" s="4">
        <v>10.039999999999999</v>
      </c>
      <c r="C2980" s="4">
        <v>0.2</v>
      </c>
      <c r="D2980" s="4">
        <v>0.05</v>
      </c>
      <c r="E2980" s="4">
        <v>-1.6045367717856251E-2</v>
      </c>
      <c r="F2980" s="3">
        <v>2978</v>
      </c>
      <c r="G2980" s="3">
        <v>3</v>
      </c>
      <c r="H2980" s="5">
        <v>63680471921.18</v>
      </c>
      <c r="I2980" s="5">
        <v>68212471921.179993</v>
      </c>
      <c r="J2980" s="5">
        <v>11093000000</v>
      </c>
      <c r="K2980" s="5">
        <v>6561000000</v>
      </c>
      <c r="L2980" s="5">
        <v>31797000000</v>
      </c>
      <c r="M2980" s="5">
        <v>6795000000</v>
      </c>
      <c r="N2980" s="5">
        <v>4147000000</v>
      </c>
    </row>
    <row r="2981" spans="1:14" x14ac:dyDescent="0.25">
      <c r="A2981" s="3" t="s">
        <v>2992</v>
      </c>
      <c r="B2981" s="4">
        <v>8.0500000000000007</v>
      </c>
      <c r="C2981" s="4">
        <v>-0.22</v>
      </c>
      <c r="D2981" s="4">
        <v>-0.05</v>
      </c>
      <c r="E2981" s="4">
        <v>-1.604653754452012E-2</v>
      </c>
      <c r="F2981" s="3">
        <v>2979</v>
      </c>
      <c r="G2981" s="3">
        <v>3</v>
      </c>
      <c r="H2981" s="5">
        <v>1331672707.74</v>
      </c>
      <c r="I2981" s="5">
        <v>3112284707.7399998</v>
      </c>
      <c r="J2981" s="5">
        <v>2066504000</v>
      </c>
      <c r="K2981" s="5">
        <v>285892000</v>
      </c>
      <c r="L2981" s="5">
        <v>2512589000</v>
      </c>
      <c r="M2981" s="5">
        <v>386406000</v>
      </c>
      <c r="N2981" s="5">
        <v>-240238000</v>
      </c>
    </row>
    <row r="2982" spans="1:14" x14ac:dyDescent="0.25">
      <c r="A2982" s="3" t="s">
        <v>2993</v>
      </c>
      <c r="B2982" s="4">
        <v>7.65</v>
      </c>
      <c r="C2982" s="4">
        <v>-0.31</v>
      </c>
      <c r="D2982" s="4">
        <v>-0.01</v>
      </c>
      <c r="E2982" s="4">
        <v>-1.605129567345712E-2</v>
      </c>
      <c r="F2982" s="3">
        <v>2980</v>
      </c>
      <c r="G2982" s="3">
        <v>3</v>
      </c>
      <c r="H2982" s="5">
        <v>2081916557.0999999</v>
      </c>
      <c r="I2982" s="5">
        <v>4894435557.1000004</v>
      </c>
      <c r="J2982" s="5">
        <v>3202349000</v>
      </c>
      <c r="K2982" s="5">
        <v>389830000</v>
      </c>
      <c r="L2982" s="5">
        <v>2101299000</v>
      </c>
      <c r="M2982" s="5">
        <v>640117000</v>
      </c>
      <c r="N2982" s="5">
        <v>-85839000</v>
      </c>
    </row>
    <row r="2983" spans="1:14" x14ac:dyDescent="0.25">
      <c r="A2983" s="3" t="s">
        <v>2994</v>
      </c>
      <c r="B2983" s="4">
        <v>6.85</v>
      </c>
      <c r="C2983" s="4">
        <v>-0.49</v>
      </c>
      <c r="D2983" s="4">
        <v>0.09</v>
      </c>
      <c r="E2983" s="4">
        <v>-1.6056953878176121E-2</v>
      </c>
      <c r="F2983" s="3">
        <v>2981</v>
      </c>
      <c r="G2983" s="3">
        <v>3</v>
      </c>
      <c r="H2983" s="5">
        <v>2543237566.6399999</v>
      </c>
      <c r="I2983" s="5">
        <v>4676326566.6399994</v>
      </c>
      <c r="J2983" s="5">
        <v>2248982000</v>
      </c>
      <c r="K2983" s="5">
        <v>115893000</v>
      </c>
      <c r="L2983" s="5">
        <v>1725301000</v>
      </c>
      <c r="M2983" s="5">
        <v>682622000</v>
      </c>
      <c r="N2983" s="5">
        <v>227497000</v>
      </c>
    </row>
    <row r="2984" spans="1:14" x14ac:dyDescent="0.25">
      <c r="A2984" s="3" t="s">
        <v>2995</v>
      </c>
      <c r="B2984" s="4">
        <v>9.86</v>
      </c>
      <c r="C2984" s="4">
        <v>0.15</v>
      </c>
      <c r="D2984" s="4">
        <v>0.12</v>
      </c>
      <c r="E2984" s="4">
        <v>-1.606492686433859E-2</v>
      </c>
      <c r="F2984" s="3">
        <v>2982</v>
      </c>
      <c r="G2984" s="3">
        <v>3</v>
      </c>
      <c r="H2984" s="5">
        <v>1974582721.5999999</v>
      </c>
      <c r="I2984" s="5">
        <v>1938973721.5999999</v>
      </c>
      <c r="J2984" s="5">
        <v>73521000</v>
      </c>
      <c r="K2984" s="5">
        <v>109130000</v>
      </c>
      <c r="L2984" s="5">
        <v>681263000</v>
      </c>
      <c r="M2984" s="5">
        <v>196660000</v>
      </c>
      <c r="N2984" s="5">
        <v>147590000</v>
      </c>
    </row>
    <row r="2985" spans="1:14" x14ac:dyDescent="0.25">
      <c r="A2985" s="3" t="s">
        <v>2996</v>
      </c>
      <c r="B2985" s="4">
        <v>14.89</v>
      </c>
      <c r="C2985" s="4">
        <v>1.22</v>
      </c>
      <c r="D2985" s="4">
        <v>0.22</v>
      </c>
      <c r="E2985" s="4">
        <v>-1.606719111364649E-2</v>
      </c>
      <c r="F2985" s="3">
        <v>2983</v>
      </c>
      <c r="G2985" s="3">
        <v>3</v>
      </c>
      <c r="H2985" s="5">
        <v>8031875100</v>
      </c>
      <c r="I2985" s="5">
        <v>9421823100</v>
      </c>
      <c r="J2985" s="5">
        <v>1505798000</v>
      </c>
      <c r="K2985" s="5">
        <v>115850000</v>
      </c>
      <c r="L2985" s="5">
        <v>1015324000</v>
      </c>
      <c r="M2985" s="5">
        <v>632824000</v>
      </c>
      <c r="N2985" s="5">
        <v>444091000</v>
      </c>
    </row>
    <row r="2986" spans="1:14" x14ac:dyDescent="0.25">
      <c r="A2986" s="3" t="s">
        <v>2997</v>
      </c>
      <c r="B2986" s="4">
        <v>-0.54</v>
      </c>
      <c r="C2986" s="4">
        <v>-2.0099999999999998</v>
      </c>
      <c r="D2986" s="4">
        <v>-0.92</v>
      </c>
      <c r="E2986" s="4">
        <v>-1.6069790818561591E-2</v>
      </c>
      <c r="F2986" s="3">
        <v>2984</v>
      </c>
      <c r="G2986" s="3">
        <v>3</v>
      </c>
      <c r="H2986" s="5">
        <v>11550117</v>
      </c>
      <c r="I2986" s="5">
        <v>5103477</v>
      </c>
      <c r="J2986" s="5">
        <v>1372870</v>
      </c>
      <c r="K2986" s="5">
        <v>7819510</v>
      </c>
      <c r="L2986" s="5">
        <v>119370</v>
      </c>
      <c r="M2986" s="5">
        <v>-9433690</v>
      </c>
      <c r="N2986" s="5">
        <v>-8266580</v>
      </c>
    </row>
    <row r="2987" spans="1:14" x14ac:dyDescent="0.25">
      <c r="A2987" s="3" t="s">
        <v>2998</v>
      </c>
      <c r="B2987" s="4">
        <v>-0.95</v>
      </c>
      <c r="C2987" s="4">
        <v>-2.09</v>
      </c>
      <c r="D2987" s="4">
        <v>-1.05</v>
      </c>
      <c r="E2987" s="4">
        <v>-1.6072259586604649E-2</v>
      </c>
      <c r="F2987" s="3">
        <v>2985</v>
      </c>
      <c r="G2987" s="3">
        <v>3</v>
      </c>
      <c r="H2987" s="5">
        <v>21415068.98</v>
      </c>
      <c r="I2987" s="5">
        <v>14172168.98</v>
      </c>
      <c r="J2987" s="5">
        <v>4968420</v>
      </c>
      <c r="K2987" s="5">
        <v>12211320</v>
      </c>
      <c r="L2987" s="5">
        <v>0</v>
      </c>
      <c r="M2987" s="5">
        <v>-14980890</v>
      </c>
      <c r="N2987" s="5">
        <v>-15545740</v>
      </c>
    </row>
    <row r="2988" spans="1:14" x14ac:dyDescent="0.25">
      <c r="A2988" s="3" t="s">
        <v>2999</v>
      </c>
      <c r="B2988" s="4">
        <v>10.4</v>
      </c>
      <c r="C2988" s="4">
        <v>0.26</v>
      </c>
      <c r="D2988" s="4">
        <v>0.16</v>
      </c>
      <c r="E2988" s="4">
        <v>-1.6073598188511722E-2</v>
      </c>
      <c r="F2988" s="3">
        <v>2986</v>
      </c>
      <c r="G2988" s="3">
        <v>3</v>
      </c>
      <c r="H2988" s="5">
        <v>2631280288</v>
      </c>
      <c r="I2988" s="5">
        <v>2605705288</v>
      </c>
      <c r="J2988" s="5">
        <v>109307000</v>
      </c>
      <c r="K2988" s="5">
        <v>134882000</v>
      </c>
      <c r="L2988" s="5">
        <v>890181000</v>
      </c>
      <c r="M2988" s="5">
        <v>250667000</v>
      </c>
      <c r="N2988" s="5">
        <v>161309000</v>
      </c>
    </row>
    <row r="2989" spans="1:14" x14ac:dyDescent="0.25">
      <c r="A2989" s="3" t="s">
        <v>3000</v>
      </c>
      <c r="B2989" s="4">
        <v>9.33</v>
      </c>
      <c r="C2989" s="4">
        <v>0.04</v>
      </c>
      <c r="D2989" s="4">
        <v>0.01</v>
      </c>
      <c r="E2989" s="4">
        <v>-1.6075947931905091E-2</v>
      </c>
      <c r="F2989" s="3">
        <v>2987</v>
      </c>
      <c r="G2989" s="3">
        <v>3</v>
      </c>
      <c r="H2989" s="5">
        <v>2939449692.5999999</v>
      </c>
      <c r="I2989" s="5">
        <v>5525866692.6000004</v>
      </c>
      <c r="J2989" s="5">
        <v>2591167000</v>
      </c>
      <c r="K2989" s="5">
        <v>4750000</v>
      </c>
      <c r="L2989" s="5">
        <v>1159311000</v>
      </c>
      <c r="M2989" s="5">
        <v>592307000</v>
      </c>
      <c r="N2989" s="5">
        <v>49895000</v>
      </c>
    </row>
    <row r="2990" spans="1:14" x14ac:dyDescent="0.25">
      <c r="A2990" s="3" t="s">
        <v>3001</v>
      </c>
      <c r="B2990" s="4">
        <v>-2.19</v>
      </c>
      <c r="C2990" s="4">
        <v>-2.34</v>
      </c>
      <c r="D2990" s="4">
        <v>-1.31</v>
      </c>
      <c r="E2990" s="4">
        <v>-1.6077292946543649E-2</v>
      </c>
      <c r="F2990" s="3">
        <v>2988</v>
      </c>
      <c r="G2990" s="3">
        <v>3</v>
      </c>
      <c r="H2990" s="5">
        <v>89073159.829999998</v>
      </c>
      <c r="I2990" s="5">
        <v>78953159.829999998</v>
      </c>
      <c r="J2990" s="5">
        <v>146000</v>
      </c>
      <c r="K2990" s="5">
        <v>10266000</v>
      </c>
      <c r="L2990" s="5">
        <v>202000</v>
      </c>
      <c r="M2990" s="5">
        <v>-36067000</v>
      </c>
      <c r="N2990" s="5">
        <v>-35460000</v>
      </c>
    </row>
    <row r="2991" spans="1:14" x14ac:dyDescent="0.25">
      <c r="A2991" s="3" t="s">
        <v>3002</v>
      </c>
      <c r="B2991" s="4">
        <v>10.1</v>
      </c>
      <c r="C2991" s="4">
        <v>0.19</v>
      </c>
      <c r="D2991" s="4">
        <v>0.16</v>
      </c>
      <c r="E2991" s="4">
        <v>-1.609017726670061E-2</v>
      </c>
      <c r="F2991" s="3">
        <v>2989</v>
      </c>
      <c r="G2991" s="3">
        <v>3</v>
      </c>
      <c r="H2991" s="5">
        <v>222887452.16</v>
      </c>
      <c r="I2991" s="5">
        <v>181656452.16</v>
      </c>
      <c r="J2991" s="5">
        <v>0</v>
      </c>
      <c r="K2991" s="5">
        <v>41231000</v>
      </c>
      <c r="L2991" s="5">
        <v>33919000</v>
      </c>
      <c r="M2991" s="5">
        <v>17994000</v>
      </c>
      <c r="N2991" s="5">
        <v>33976000</v>
      </c>
    </row>
    <row r="2992" spans="1:14" x14ac:dyDescent="0.25">
      <c r="A2992" s="3" t="s">
        <v>3003</v>
      </c>
      <c r="B2992" s="4">
        <v>9.7100000000000009</v>
      </c>
      <c r="C2992" s="4">
        <v>0.11</v>
      </c>
      <c r="D2992" s="4">
        <v>0.05</v>
      </c>
      <c r="E2992" s="4">
        <v>-1.610116639298281E-2</v>
      </c>
      <c r="F2992" s="3">
        <v>2990</v>
      </c>
      <c r="G2992" s="3">
        <v>3</v>
      </c>
      <c r="H2992" s="5">
        <v>19119927060.259998</v>
      </c>
      <c r="I2992" s="5">
        <v>22046927060.259998</v>
      </c>
      <c r="J2992" s="5">
        <v>6238000000</v>
      </c>
      <c r="K2992" s="5">
        <v>3311000000</v>
      </c>
      <c r="L2992" s="5">
        <v>53108000000</v>
      </c>
      <c r="M2992" s="5">
        <v>2271000000</v>
      </c>
      <c r="N2992" s="5">
        <v>1137000000</v>
      </c>
    </row>
    <row r="2993" spans="1:14" x14ac:dyDescent="0.25">
      <c r="A2993" s="3" t="s">
        <v>3004</v>
      </c>
      <c r="B2993" s="4">
        <v>14.54</v>
      </c>
      <c r="C2993" s="4">
        <v>1.1399999999999999</v>
      </c>
      <c r="D2993" s="4">
        <v>0.11</v>
      </c>
      <c r="E2993" s="4">
        <v>-1.610293706271701E-2</v>
      </c>
      <c r="F2993" s="3">
        <v>2991</v>
      </c>
      <c r="G2993" s="3">
        <v>3</v>
      </c>
      <c r="H2993" s="5">
        <v>23093851076.34</v>
      </c>
      <c r="I2993" s="5">
        <v>24257851076.34</v>
      </c>
      <c r="J2993" s="5">
        <v>3235000000</v>
      </c>
      <c r="K2993" s="5">
        <v>2071000000</v>
      </c>
      <c r="L2993" s="5">
        <v>6572000000</v>
      </c>
      <c r="M2993" s="5">
        <v>1668000000</v>
      </c>
      <c r="N2993" s="5">
        <v>1186000000</v>
      </c>
    </row>
    <row r="2994" spans="1:14" x14ac:dyDescent="0.25">
      <c r="A2994" s="3" t="s">
        <v>3005</v>
      </c>
      <c r="B2994" s="4">
        <v>9.7100000000000009</v>
      </c>
      <c r="C2994" s="4">
        <v>0.11</v>
      </c>
      <c r="D2994" s="4">
        <v>0.03</v>
      </c>
      <c r="E2994" s="4">
        <v>-1.610502444613782E-2</v>
      </c>
      <c r="F2994" s="3">
        <v>2992</v>
      </c>
      <c r="G2994" s="3">
        <v>3</v>
      </c>
      <c r="H2994" s="5">
        <v>7879123848.96</v>
      </c>
      <c r="I2994" s="5">
        <v>8188623848.9599991</v>
      </c>
      <c r="J2994" s="5">
        <v>999500000</v>
      </c>
      <c r="K2994" s="5">
        <v>690000000</v>
      </c>
      <c r="L2994" s="5">
        <v>6355300000</v>
      </c>
      <c r="M2994" s="5">
        <v>843100000</v>
      </c>
      <c r="N2994" s="5">
        <v>210600000</v>
      </c>
    </row>
    <row r="2995" spans="1:14" x14ac:dyDescent="0.25">
      <c r="A2995" s="3" t="s">
        <v>3006</v>
      </c>
      <c r="B2995" s="4">
        <v>9.6199999999999992</v>
      </c>
      <c r="C2995" s="4">
        <v>0.09</v>
      </c>
      <c r="D2995" s="4">
        <v>0.03</v>
      </c>
      <c r="E2995" s="4">
        <v>-1.6107108808893041E-2</v>
      </c>
      <c r="F2995" s="3">
        <v>2993</v>
      </c>
      <c r="G2995" s="3">
        <v>3</v>
      </c>
      <c r="H2995" s="5">
        <v>859730916.07000005</v>
      </c>
      <c r="I2995" s="5">
        <v>1603030916.0699999</v>
      </c>
      <c r="J2995" s="5">
        <v>749600000</v>
      </c>
      <c r="K2995" s="5">
        <v>6300000</v>
      </c>
      <c r="L2995" s="5">
        <v>494800000</v>
      </c>
      <c r="M2995" s="5">
        <v>166700000</v>
      </c>
      <c r="N2995" s="5">
        <v>47100000</v>
      </c>
    </row>
    <row r="2996" spans="1:14" x14ac:dyDescent="0.25">
      <c r="A2996" s="3" t="s">
        <v>3007</v>
      </c>
      <c r="B2996" s="4">
        <v>9.34</v>
      </c>
      <c r="C2996" s="4">
        <v>0.03</v>
      </c>
      <c r="D2996" s="4">
        <v>0.01</v>
      </c>
      <c r="E2996" s="4">
        <v>-1.6111030744616641E-2</v>
      </c>
      <c r="F2996" s="3">
        <v>2994</v>
      </c>
      <c r="G2996" s="3">
        <v>3</v>
      </c>
      <c r="H2996" s="5">
        <v>179719591.74000001</v>
      </c>
      <c r="I2996" s="5">
        <v>947979591.74000001</v>
      </c>
      <c r="J2996" s="5">
        <v>778068000</v>
      </c>
      <c r="K2996" s="5">
        <v>9808000</v>
      </c>
      <c r="L2996" s="5">
        <v>1390932000</v>
      </c>
      <c r="M2996" s="5">
        <v>101537000</v>
      </c>
      <c r="N2996" s="5">
        <v>17932000</v>
      </c>
    </row>
    <row r="2997" spans="1:14" x14ac:dyDescent="0.25">
      <c r="A2997" s="3" t="s">
        <v>3008</v>
      </c>
      <c r="B2997" s="4">
        <v>9.39</v>
      </c>
      <c r="C2997" s="4">
        <v>0.04</v>
      </c>
      <c r="D2997" s="4">
        <v>0.02</v>
      </c>
      <c r="E2997" s="4">
        <v>-1.6111154139510059E-2</v>
      </c>
      <c r="F2997" s="3">
        <v>2995</v>
      </c>
      <c r="G2997" s="3">
        <v>3</v>
      </c>
      <c r="H2997" s="5">
        <v>421690337.31</v>
      </c>
      <c r="I2997" s="5">
        <v>510959337.31</v>
      </c>
      <c r="J2997" s="5">
        <v>114500000</v>
      </c>
      <c r="K2997" s="5">
        <v>25231000</v>
      </c>
      <c r="L2997" s="5">
        <v>474661000</v>
      </c>
      <c r="M2997" s="5">
        <v>54387000</v>
      </c>
      <c r="N2997" s="5">
        <v>13425000</v>
      </c>
    </row>
    <row r="2998" spans="1:14" x14ac:dyDescent="0.25">
      <c r="A2998" s="3" t="s">
        <v>3009</v>
      </c>
      <c r="B2998" s="4">
        <v>9.49</v>
      </c>
      <c r="C2998" s="4">
        <v>0.06</v>
      </c>
      <c r="D2998" s="4">
        <v>0.02</v>
      </c>
      <c r="E2998" s="4">
        <v>-1.6115258982451919E-2</v>
      </c>
      <c r="F2998" s="3">
        <v>2996</v>
      </c>
      <c r="G2998" s="3">
        <v>3</v>
      </c>
      <c r="H2998" s="5">
        <v>2724848057.6399999</v>
      </c>
      <c r="I2998" s="5">
        <v>3995328057.6399999</v>
      </c>
      <c r="J2998" s="5">
        <v>1549750000</v>
      </c>
      <c r="K2998" s="5">
        <v>279270000</v>
      </c>
      <c r="L2998" s="5">
        <v>1132490000</v>
      </c>
      <c r="M2998" s="5">
        <v>420947000</v>
      </c>
      <c r="N2998" s="5">
        <v>108167000</v>
      </c>
    </row>
    <row r="2999" spans="1:14" x14ac:dyDescent="0.25">
      <c r="A2999" s="3" t="s">
        <v>3010</v>
      </c>
      <c r="B2999" s="4">
        <v>9.6</v>
      </c>
      <c r="C2999" s="4">
        <v>0.08</v>
      </c>
      <c r="D2999" s="4">
        <v>0.05</v>
      </c>
      <c r="E2999" s="4">
        <v>-1.611976595135833E-2</v>
      </c>
      <c r="F2999" s="3">
        <v>2997</v>
      </c>
      <c r="G2999" s="3">
        <v>3</v>
      </c>
      <c r="H2999" s="5">
        <v>274604611.60000002</v>
      </c>
      <c r="I2999" s="5">
        <v>215855611.59999999</v>
      </c>
      <c r="J2999" s="5">
        <v>0</v>
      </c>
      <c r="K2999" s="5">
        <v>58749000</v>
      </c>
      <c r="L2999" s="5">
        <v>242176000</v>
      </c>
      <c r="M2999" s="5">
        <v>22474000</v>
      </c>
      <c r="N2999" s="5">
        <v>15311000</v>
      </c>
    </row>
    <row r="3000" spans="1:14" x14ac:dyDescent="0.25">
      <c r="A3000" s="3" t="s">
        <v>3011</v>
      </c>
      <c r="B3000" s="4">
        <v>9.7899999999999991</v>
      </c>
      <c r="C3000" s="4">
        <v>0.12</v>
      </c>
      <c r="D3000" s="4">
        <v>0.06</v>
      </c>
      <c r="E3000" s="4">
        <v>-1.611985740496746E-2</v>
      </c>
      <c r="F3000" s="3">
        <v>2998</v>
      </c>
      <c r="G3000" s="3">
        <v>3</v>
      </c>
      <c r="H3000" s="5">
        <v>7895416067.2200003</v>
      </c>
      <c r="I3000" s="5">
        <v>11689316067.219999</v>
      </c>
      <c r="J3000" s="5">
        <v>4055800000</v>
      </c>
      <c r="K3000" s="5">
        <v>261900000</v>
      </c>
      <c r="L3000" s="5">
        <v>6783600000</v>
      </c>
      <c r="M3000" s="5">
        <v>1194600000</v>
      </c>
      <c r="N3000" s="5">
        <v>711500000</v>
      </c>
    </row>
    <row r="3001" spans="1:14" x14ac:dyDescent="0.25">
      <c r="A3001" s="3" t="s">
        <v>3012</v>
      </c>
      <c r="B3001" s="4">
        <v>9.85</v>
      </c>
      <c r="C3001" s="4">
        <v>0.13</v>
      </c>
      <c r="D3001" s="4">
        <v>0.08</v>
      </c>
      <c r="E3001" s="4">
        <v>-1.6124240978980461E-2</v>
      </c>
      <c r="F3001" s="3">
        <v>2999</v>
      </c>
      <c r="G3001" s="3">
        <v>3</v>
      </c>
      <c r="H3001" s="5">
        <v>55820616.880000003</v>
      </c>
      <c r="I3001" s="5">
        <v>77973496.879999995</v>
      </c>
      <c r="J3001" s="5">
        <v>22330890</v>
      </c>
      <c r="K3001" s="5">
        <v>178010</v>
      </c>
      <c r="L3001" s="5">
        <v>9688640</v>
      </c>
      <c r="M3001" s="5">
        <v>7915480</v>
      </c>
      <c r="N3001" s="5">
        <v>5590940</v>
      </c>
    </row>
    <row r="3002" spans="1:14" x14ac:dyDescent="0.25">
      <c r="A3002" s="3" t="s">
        <v>3013</v>
      </c>
      <c r="B3002" s="4">
        <v>9.6</v>
      </c>
      <c r="C3002" s="4">
        <v>0.08</v>
      </c>
      <c r="D3002" s="4">
        <v>0.02</v>
      </c>
      <c r="E3002" s="4">
        <v>-1.6125553031090849E-2</v>
      </c>
      <c r="F3002" s="3">
        <v>3000</v>
      </c>
      <c r="G3002" s="3">
        <v>3</v>
      </c>
      <c r="H3002" s="5">
        <v>716975414.35000002</v>
      </c>
      <c r="I3002" s="5">
        <v>1966571414.3499999</v>
      </c>
      <c r="J3002" s="5">
        <v>1282746000</v>
      </c>
      <c r="K3002" s="5">
        <v>33150000</v>
      </c>
      <c r="L3002" s="5">
        <v>1432496000</v>
      </c>
      <c r="M3002" s="5">
        <v>204932000</v>
      </c>
      <c r="N3002" s="5">
        <v>71557000</v>
      </c>
    </row>
    <row r="3003" spans="1:14" x14ac:dyDescent="0.25">
      <c r="A3003" s="3" t="s">
        <v>3014</v>
      </c>
      <c r="B3003" s="4">
        <v>9.65</v>
      </c>
      <c r="C3003" s="4">
        <v>0.09</v>
      </c>
      <c r="D3003" s="4">
        <v>0.03</v>
      </c>
      <c r="E3003" s="4">
        <v>-1.6125676425984271E-2</v>
      </c>
      <c r="F3003" s="3">
        <v>3001</v>
      </c>
      <c r="G3003" s="3">
        <v>3</v>
      </c>
      <c r="H3003" s="5">
        <v>18206779.5</v>
      </c>
      <c r="I3003" s="5">
        <v>29723279.5</v>
      </c>
      <c r="J3003" s="5">
        <v>11545150</v>
      </c>
      <c r="K3003" s="5">
        <v>28650</v>
      </c>
      <c r="L3003" s="5">
        <v>40944770</v>
      </c>
      <c r="M3003" s="5">
        <v>3078790</v>
      </c>
      <c r="N3003" s="5">
        <v>1495510</v>
      </c>
    </row>
    <row r="3004" spans="1:14" x14ac:dyDescent="0.25">
      <c r="A3004" s="3" t="s">
        <v>3015</v>
      </c>
      <c r="B3004" s="4">
        <v>9.8800000000000008</v>
      </c>
      <c r="C3004" s="4">
        <v>0.14000000000000001</v>
      </c>
      <c r="D3004" s="4">
        <v>0.01</v>
      </c>
      <c r="E3004" s="4">
        <v>-1.6127418175099779E-2</v>
      </c>
      <c r="F3004" s="3">
        <v>3002</v>
      </c>
      <c r="G3004" s="3">
        <v>3</v>
      </c>
      <c r="H3004" s="5">
        <v>17830352297.880001</v>
      </c>
      <c r="I3004" s="5">
        <v>17795452297.880001</v>
      </c>
      <c r="J3004" s="5">
        <v>4177000000</v>
      </c>
      <c r="K3004" s="5">
        <v>4211900000</v>
      </c>
      <c r="L3004" s="5">
        <v>15680300000</v>
      </c>
      <c r="M3004" s="5">
        <v>1800800000</v>
      </c>
      <c r="N3004" s="5">
        <v>1571000000</v>
      </c>
    </row>
    <row r="3005" spans="1:14" x14ac:dyDescent="0.25">
      <c r="A3005" s="3" t="s">
        <v>3016</v>
      </c>
      <c r="B3005" s="4">
        <v>-0.4</v>
      </c>
      <c r="C3005" s="4">
        <v>-1.97</v>
      </c>
      <c r="D3005" s="4">
        <v>-1.38</v>
      </c>
      <c r="E3005" s="4">
        <v>-1.6129600492828109E-2</v>
      </c>
      <c r="F3005" s="3">
        <v>3003</v>
      </c>
      <c r="G3005" s="3">
        <v>3</v>
      </c>
      <c r="H3005" s="5">
        <v>5335809.7</v>
      </c>
      <c r="I3005" s="5">
        <v>3832349.7</v>
      </c>
      <c r="J3005" s="5">
        <v>155890</v>
      </c>
      <c r="K3005" s="5">
        <v>1659350</v>
      </c>
      <c r="L3005" s="5">
        <v>681350</v>
      </c>
      <c r="M3005" s="5">
        <v>-9664700</v>
      </c>
      <c r="N3005" s="5">
        <v>-7947110</v>
      </c>
    </row>
    <row r="3006" spans="1:14" x14ac:dyDescent="0.25">
      <c r="A3006" s="3" t="s">
        <v>3017</v>
      </c>
      <c r="B3006" s="4">
        <v>8.81</v>
      </c>
      <c r="C3006" s="4">
        <v>-0.09</v>
      </c>
      <c r="D3006" s="4">
        <v>-0.01</v>
      </c>
      <c r="E3006" s="4">
        <v>-1.6133584180000039E-2</v>
      </c>
      <c r="F3006" s="3">
        <v>3004</v>
      </c>
      <c r="G3006" s="3">
        <v>3</v>
      </c>
      <c r="H3006" s="5">
        <v>50435634.299999997</v>
      </c>
      <c r="I3006" s="5">
        <v>53821634.299999997</v>
      </c>
      <c r="J3006" s="5">
        <v>13061000</v>
      </c>
      <c r="K3006" s="5">
        <v>9675000</v>
      </c>
      <c r="L3006" s="5">
        <v>140180000</v>
      </c>
      <c r="M3006" s="5">
        <v>6108000</v>
      </c>
      <c r="N3006" s="5">
        <v>-1680000</v>
      </c>
    </row>
    <row r="3007" spans="1:14" x14ac:dyDescent="0.25">
      <c r="A3007" s="3" t="s">
        <v>3018</v>
      </c>
      <c r="B3007" s="4">
        <v>9.1</v>
      </c>
      <c r="C3007" s="4">
        <v>-0.03</v>
      </c>
      <c r="D3007" s="4">
        <v>0.01</v>
      </c>
      <c r="E3007" s="4">
        <v>-1.613585144997352E-2</v>
      </c>
      <c r="F3007" s="3">
        <v>3005</v>
      </c>
      <c r="G3007" s="3">
        <v>3</v>
      </c>
      <c r="H3007" s="5">
        <v>3162298303.8000002</v>
      </c>
      <c r="I3007" s="5">
        <v>9372282303.7999992</v>
      </c>
      <c r="J3007" s="5">
        <v>7357177000</v>
      </c>
      <c r="K3007" s="5">
        <v>1147193000</v>
      </c>
      <c r="L3007" s="5">
        <v>4638213000</v>
      </c>
      <c r="M3007" s="5">
        <v>1029481000</v>
      </c>
      <c r="N3007" s="5">
        <v>43543000</v>
      </c>
    </row>
    <row r="3008" spans="1:14" x14ac:dyDescent="0.25">
      <c r="A3008" s="3" t="s">
        <v>3019</v>
      </c>
      <c r="B3008" s="4">
        <v>9.5299999999999994</v>
      </c>
      <c r="C3008" s="4">
        <v>0.06</v>
      </c>
      <c r="D3008" s="4">
        <v>0.04</v>
      </c>
      <c r="E3008" s="4">
        <v>-1.6136157752085208E-2</v>
      </c>
      <c r="F3008" s="3">
        <v>3006</v>
      </c>
      <c r="G3008" s="3">
        <v>3</v>
      </c>
      <c r="H3008" s="5">
        <v>5505788788.8000002</v>
      </c>
      <c r="I3008" s="5">
        <v>5904149788.8000002</v>
      </c>
      <c r="J3008" s="5">
        <v>984957000</v>
      </c>
      <c r="K3008" s="5">
        <v>586596000</v>
      </c>
      <c r="L3008" s="5">
        <v>9579490000</v>
      </c>
      <c r="M3008" s="5">
        <v>619614000</v>
      </c>
      <c r="N3008" s="5">
        <v>258559000</v>
      </c>
    </row>
    <row r="3009" spans="1:14" x14ac:dyDescent="0.25">
      <c r="A3009" s="3" t="s">
        <v>3020</v>
      </c>
      <c r="B3009" s="4">
        <v>10.02</v>
      </c>
      <c r="C3009" s="4">
        <v>0.16</v>
      </c>
      <c r="D3009" s="4">
        <v>7.0000000000000007E-2</v>
      </c>
      <c r="E3009" s="4">
        <v>-1.6144705681364901E-2</v>
      </c>
      <c r="F3009" s="3">
        <v>3007</v>
      </c>
      <c r="G3009" s="3">
        <v>3</v>
      </c>
      <c r="H3009" s="5">
        <v>5207761341.6800003</v>
      </c>
      <c r="I3009" s="5">
        <v>6771761341.6800003</v>
      </c>
      <c r="J3009" s="5">
        <v>1701000000</v>
      </c>
      <c r="K3009" s="5">
        <v>137000000</v>
      </c>
      <c r="L3009" s="5">
        <v>3695000000</v>
      </c>
      <c r="M3009" s="5">
        <v>676000000</v>
      </c>
      <c r="N3009" s="5">
        <v>352000000</v>
      </c>
    </row>
    <row r="3010" spans="1:14" x14ac:dyDescent="0.25">
      <c r="A3010" s="3" t="s">
        <v>3021</v>
      </c>
      <c r="B3010" s="4">
        <v>9.6999999999999993</v>
      </c>
      <c r="C3010" s="4">
        <v>0.09</v>
      </c>
      <c r="D3010" s="4">
        <v>0.05</v>
      </c>
      <c r="E3010" s="4">
        <v>-1.6152764401314652E-2</v>
      </c>
      <c r="F3010" s="3">
        <v>3008</v>
      </c>
      <c r="G3010" s="3">
        <v>3</v>
      </c>
      <c r="H3010" s="5">
        <v>5928750000</v>
      </c>
      <c r="I3010" s="5">
        <v>6729254000</v>
      </c>
      <c r="J3010" s="5">
        <v>874948000</v>
      </c>
      <c r="K3010" s="5">
        <v>74444000</v>
      </c>
      <c r="L3010" s="5">
        <v>3265876000</v>
      </c>
      <c r="M3010" s="5">
        <v>693515000</v>
      </c>
      <c r="N3010" s="5">
        <v>286707000</v>
      </c>
    </row>
    <row r="3011" spans="1:14" x14ac:dyDescent="0.25">
      <c r="A3011" s="3" t="s">
        <v>3022</v>
      </c>
      <c r="B3011" s="4">
        <v>9.9499999999999993</v>
      </c>
      <c r="C3011" s="4">
        <v>0.14000000000000001</v>
      </c>
      <c r="D3011" s="4">
        <v>7.0000000000000007E-2</v>
      </c>
      <c r="E3011" s="4">
        <v>-1.6159168455514291E-2</v>
      </c>
      <c r="F3011" s="3">
        <v>3009</v>
      </c>
      <c r="G3011" s="3">
        <v>3</v>
      </c>
      <c r="H3011" s="5">
        <v>4089452788.0500002</v>
      </c>
      <c r="I3011" s="5">
        <v>4485704788.0500002</v>
      </c>
      <c r="J3011" s="5">
        <v>677386000</v>
      </c>
      <c r="K3011" s="5">
        <v>281134000</v>
      </c>
      <c r="L3011" s="5">
        <v>2899005000</v>
      </c>
      <c r="M3011" s="5">
        <v>450894000</v>
      </c>
      <c r="N3011" s="5">
        <v>201678000</v>
      </c>
    </row>
    <row r="3012" spans="1:14" x14ac:dyDescent="0.25">
      <c r="A3012" s="3" t="s">
        <v>3023</v>
      </c>
      <c r="B3012" s="4">
        <v>9.42</v>
      </c>
      <c r="C3012" s="4">
        <v>0.03</v>
      </c>
      <c r="D3012" s="4">
        <v>0</v>
      </c>
      <c r="E3012" s="4">
        <v>-1.616247341677076E-2</v>
      </c>
      <c r="F3012" s="3">
        <v>3010</v>
      </c>
      <c r="G3012" s="3">
        <v>3</v>
      </c>
      <c r="H3012" s="5">
        <v>43849672.140000001</v>
      </c>
      <c r="I3012" s="5">
        <v>376898452.13999999</v>
      </c>
      <c r="J3012" s="5">
        <v>340376660</v>
      </c>
      <c r="K3012" s="5">
        <v>7327880</v>
      </c>
      <c r="L3012" s="5">
        <v>181894290</v>
      </c>
      <c r="M3012" s="5">
        <v>40024370</v>
      </c>
      <c r="N3012" s="5">
        <v>1302370</v>
      </c>
    </row>
    <row r="3013" spans="1:14" x14ac:dyDescent="0.25">
      <c r="A3013" s="3" t="s">
        <v>3024</v>
      </c>
      <c r="B3013" s="4">
        <v>9.48</v>
      </c>
      <c r="C3013" s="4">
        <v>0.04</v>
      </c>
      <c r="D3013" s="4">
        <v>0.02</v>
      </c>
      <c r="E3013" s="4">
        <v>-1.616685699078375E-2</v>
      </c>
      <c r="F3013" s="3">
        <v>3011</v>
      </c>
      <c r="G3013" s="3">
        <v>3</v>
      </c>
      <c r="H3013" s="5">
        <v>2131810539.75</v>
      </c>
      <c r="I3013" s="5">
        <v>2126018539.75</v>
      </c>
      <c r="J3013" s="5">
        <v>296362000</v>
      </c>
      <c r="K3013" s="5">
        <v>302154000</v>
      </c>
      <c r="L3013" s="5">
        <v>607028000</v>
      </c>
      <c r="M3013" s="5">
        <v>224224000</v>
      </c>
      <c r="N3013" s="5">
        <v>70522000</v>
      </c>
    </row>
    <row r="3014" spans="1:14" x14ac:dyDescent="0.25">
      <c r="A3014" s="3" t="s">
        <v>3025</v>
      </c>
      <c r="B3014" s="4">
        <v>14.8</v>
      </c>
      <c r="C3014" s="4">
        <v>1.18</v>
      </c>
      <c r="D3014" s="4">
        <v>-0.03</v>
      </c>
      <c r="E3014" s="4">
        <v>-1.617528835486827E-2</v>
      </c>
      <c r="F3014" s="3">
        <v>3012</v>
      </c>
      <c r="G3014" s="3">
        <v>3</v>
      </c>
      <c r="H3014" s="5">
        <v>1388860.52</v>
      </c>
      <c r="I3014" s="5">
        <v>232278860.52000001</v>
      </c>
      <c r="J3014" s="5">
        <v>247050000</v>
      </c>
      <c r="K3014" s="5">
        <v>16160000</v>
      </c>
      <c r="L3014" s="5">
        <v>41345000</v>
      </c>
      <c r="M3014" s="5">
        <v>15698000</v>
      </c>
      <c r="N3014" s="5">
        <v>-10552000</v>
      </c>
    </row>
    <row r="3015" spans="1:14" x14ac:dyDescent="0.25">
      <c r="A3015" s="3" t="s">
        <v>3026</v>
      </c>
      <c r="B3015" s="4">
        <v>9.4499999999999993</v>
      </c>
      <c r="C3015" s="4">
        <v>0.03</v>
      </c>
      <c r="D3015" s="4">
        <v>0</v>
      </c>
      <c r="E3015" s="4">
        <v>-1.618104103386199E-2</v>
      </c>
      <c r="F3015" s="3">
        <v>3013</v>
      </c>
      <c r="G3015" s="3">
        <v>3</v>
      </c>
      <c r="H3015" s="5">
        <v>2724396256.4200001</v>
      </c>
      <c r="I3015" s="5">
        <v>694582396256.42004</v>
      </c>
      <c r="J3015" s="5">
        <v>732277000000</v>
      </c>
      <c r="K3015" s="5">
        <v>40419000000</v>
      </c>
      <c r="L3015" s="5">
        <v>97063000000</v>
      </c>
      <c r="M3015" s="5">
        <v>73504000000</v>
      </c>
      <c r="N3015" s="5">
        <v>3814000000</v>
      </c>
    </row>
    <row r="3016" spans="1:14" x14ac:dyDescent="0.25">
      <c r="A3016" s="3" t="s">
        <v>3027</v>
      </c>
      <c r="B3016" s="4">
        <v>11.6</v>
      </c>
      <c r="C3016" s="4">
        <v>0.46</v>
      </c>
      <c r="D3016" s="4">
        <v>0.44</v>
      </c>
      <c r="E3016" s="4">
        <v>-1.6184417987701691E-2</v>
      </c>
      <c r="F3016" s="3">
        <v>3014</v>
      </c>
      <c r="G3016" s="3">
        <v>3</v>
      </c>
      <c r="H3016" s="5">
        <v>4267596.8</v>
      </c>
      <c r="I3016" s="5">
        <v>-35177403.200000003</v>
      </c>
      <c r="J3016" s="5">
        <v>0</v>
      </c>
      <c r="K3016" s="5">
        <v>39445000</v>
      </c>
      <c r="L3016" s="5">
        <v>0</v>
      </c>
      <c r="M3016" s="5">
        <v>-3032000</v>
      </c>
      <c r="N3016" s="5">
        <v>17445000</v>
      </c>
    </row>
    <row r="3017" spans="1:14" x14ac:dyDescent="0.25">
      <c r="A3017" s="3" t="s">
        <v>3028</v>
      </c>
      <c r="B3017" s="4">
        <v>9.27</v>
      </c>
      <c r="C3017" s="4">
        <v>-0.01</v>
      </c>
      <c r="D3017" s="4">
        <v>-0.01</v>
      </c>
      <c r="E3017" s="4">
        <v>-1.618713878594993E-2</v>
      </c>
      <c r="F3017" s="3">
        <v>3015</v>
      </c>
      <c r="G3017" s="3">
        <v>3</v>
      </c>
      <c r="H3017" s="5">
        <v>144062629.44</v>
      </c>
      <c r="I3017" s="5">
        <v>145676149.44</v>
      </c>
      <c r="J3017" s="5">
        <v>31739460</v>
      </c>
      <c r="K3017" s="5">
        <v>30125940</v>
      </c>
      <c r="L3017" s="5">
        <v>151115530</v>
      </c>
      <c r="M3017" s="5">
        <v>15718300</v>
      </c>
      <c r="N3017" s="5">
        <v>-1480250</v>
      </c>
    </row>
    <row r="3018" spans="1:14" x14ac:dyDescent="0.25">
      <c r="A3018" s="3" t="s">
        <v>3029</v>
      </c>
      <c r="B3018" s="4">
        <v>9.9</v>
      </c>
      <c r="C3018" s="4">
        <v>0.12</v>
      </c>
      <c r="D3018" s="4">
        <v>0.05</v>
      </c>
      <c r="E3018" s="4">
        <v>-1.6189867694212819E-2</v>
      </c>
      <c r="F3018" s="3">
        <v>3016</v>
      </c>
      <c r="G3018" s="3">
        <v>3</v>
      </c>
      <c r="H3018" s="5">
        <v>228252069</v>
      </c>
      <c r="I3018" s="5">
        <v>237002069</v>
      </c>
      <c r="J3018" s="5">
        <v>24466000</v>
      </c>
      <c r="K3018" s="5">
        <v>15716000</v>
      </c>
      <c r="L3018" s="5">
        <v>158384000</v>
      </c>
      <c r="M3018" s="5">
        <v>23930000</v>
      </c>
      <c r="N3018" s="5">
        <v>8983000</v>
      </c>
    </row>
    <row r="3019" spans="1:14" x14ac:dyDescent="0.25">
      <c r="A3019" s="3" t="s">
        <v>3030</v>
      </c>
      <c r="B3019" s="4">
        <v>10.33</v>
      </c>
      <c r="C3019" s="4">
        <v>0.21</v>
      </c>
      <c r="D3019" s="4">
        <v>0.08</v>
      </c>
      <c r="E3019" s="4">
        <v>-1.6190173996324522E-2</v>
      </c>
      <c r="F3019" s="3">
        <v>3017</v>
      </c>
      <c r="G3019" s="3">
        <v>3</v>
      </c>
      <c r="H3019" s="5">
        <v>66408138954.129997</v>
      </c>
      <c r="I3019" s="5">
        <v>97725138954.130005</v>
      </c>
      <c r="J3019" s="5">
        <v>31900000000</v>
      </c>
      <c r="K3019" s="5">
        <v>583000000</v>
      </c>
      <c r="L3019" s="5">
        <v>56219000000</v>
      </c>
      <c r="M3019" s="5">
        <v>9462000000</v>
      </c>
      <c r="N3019" s="5">
        <v>5901000000</v>
      </c>
    </row>
    <row r="3020" spans="1:14" x14ac:dyDescent="0.25">
      <c r="A3020" s="3" t="s">
        <v>3031</v>
      </c>
      <c r="B3020" s="4">
        <v>9.33</v>
      </c>
      <c r="C3020" s="4">
        <v>0</v>
      </c>
      <c r="D3020" s="4">
        <v>0</v>
      </c>
      <c r="E3020" s="4">
        <v>-1.619345138654044E-2</v>
      </c>
      <c r="F3020" s="3">
        <v>3018</v>
      </c>
      <c r="G3020" s="3">
        <v>3</v>
      </c>
      <c r="H3020" s="5">
        <v>645424000</v>
      </c>
      <c r="I3020" s="5">
        <v>1517365000</v>
      </c>
      <c r="J3020" s="5">
        <v>900903000</v>
      </c>
      <c r="K3020" s="5">
        <v>28962000</v>
      </c>
      <c r="L3020" s="5">
        <v>1665397000</v>
      </c>
      <c r="M3020" s="5">
        <v>162621000</v>
      </c>
      <c r="N3020" s="5">
        <v>3095000</v>
      </c>
    </row>
    <row r="3021" spans="1:14" x14ac:dyDescent="0.25">
      <c r="A3021" s="3" t="s">
        <v>3032</v>
      </c>
      <c r="B3021" s="4">
        <v>10.01</v>
      </c>
      <c r="C3021" s="4">
        <v>0.14000000000000001</v>
      </c>
      <c r="D3021" s="4">
        <v>0.08</v>
      </c>
      <c r="E3021" s="4">
        <v>-1.6194374663119241E-2</v>
      </c>
      <c r="F3021" s="3">
        <v>3019</v>
      </c>
      <c r="G3021" s="3">
        <v>3</v>
      </c>
      <c r="H3021" s="5">
        <v>9236028240</v>
      </c>
      <c r="I3021" s="5">
        <v>9536234240</v>
      </c>
      <c r="J3021" s="5">
        <v>646291000</v>
      </c>
      <c r="K3021" s="5">
        <v>346085000</v>
      </c>
      <c r="L3021" s="5">
        <v>5004989000</v>
      </c>
      <c r="M3021" s="5">
        <v>952762000</v>
      </c>
      <c r="N3021" s="5">
        <v>493197000</v>
      </c>
    </row>
    <row r="3022" spans="1:14" x14ac:dyDescent="0.25">
      <c r="A3022" s="3" t="s">
        <v>3033</v>
      </c>
      <c r="B3022" s="4">
        <v>10.119999999999999</v>
      </c>
      <c r="C3022" s="4">
        <v>0.16</v>
      </c>
      <c r="D3022" s="4">
        <v>0.09</v>
      </c>
      <c r="E3022" s="4">
        <v>-1.620273968518067E-2</v>
      </c>
      <c r="F3022" s="3">
        <v>3020</v>
      </c>
      <c r="G3022" s="3">
        <v>3</v>
      </c>
      <c r="H3022" s="5">
        <v>11925000</v>
      </c>
      <c r="I3022" s="5">
        <v>16555090</v>
      </c>
      <c r="J3022" s="5">
        <v>4630580</v>
      </c>
      <c r="K3022" s="5">
        <v>490</v>
      </c>
      <c r="L3022" s="5">
        <v>15796980</v>
      </c>
      <c r="M3022" s="5">
        <v>1635610</v>
      </c>
      <c r="N3022" s="5">
        <v>1606490</v>
      </c>
    </row>
    <row r="3023" spans="1:14" x14ac:dyDescent="0.25">
      <c r="A3023" s="3" t="s">
        <v>3034</v>
      </c>
      <c r="B3023" s="4">
        <v>10.119999999999999</v>
      </c>
      <c r="C3023" s="4">
        <v>0.16</v>
      </c>
      <c r="D3023" s="4">
        <v>0.05</v>
      </c>
      <c r="E3023" s="4">
        <v>-1.6210455791490691E-2</v>
      </c>
      <c r="F3023" s="3">
        <v>3021</v>
      </c>
      <c r="G3023" s="3">
        <v>3</v>
      </c>
      <c r="H3023" s="5">
        <v>3125898200.1500001</v>
      </c>
      <c r="I3023" s="5">
        <v>3045460200.1500001</v>
      </c>
      <c r="J3023" s="5">
        <v>0</v>
      </c>
      <c r="K3023" s="5">
        <v>80438000</v>
      </c>
      <c r="L3023" s="5">
        <v>547005000</v>
      </c>
      <c r="M3023" s="5">
        <v>300898000</v>
      </c>
      <c r="N3023" s="5">
        <v>117573000</v>
      </c>
    </row>
    <row r="3024" spans="1:14" x14ac:dyDescent="0.25">
      <c r="A3024" s="3" t="s">
        <v>3035</v>
      </c>
      <c r="B3024" s="4">
        <v>10.62</v>
      </c>
      <c r="C3024" s="4">
        <v>0.26</v>
      </c>
      <c r="D3024" s="4">
        <v>0.15</v>
      </c>
      <c r="E3024" s="4">
        <v>-1.6211689740424931E-2</v>
      </c>
      <c r="F3024" s="3">
        <v>3022</v>
      </c>
      <c r="G3024" s="3">
        <v>3</v>
      </c>
      <c r="H3024" s="5">
        <v>521052449.66000003</v>
      </c>
      <c r="I3024" s="5">
        <v>517420449.66000003</v>
      </c>
      <c r="J3024" s="5">
        <v>12734000</v>
      </c>
      <c r="K3024" s="5">
        <v>16366000</v>
      </c>
      <c r="L3024" s="5">
        <v>313855000</v>
      </c>
      <c r="M3024" s="5">
        <v>48733000</v>
      </c>
      <c r="N3024" s="5">
        <v>29630000</v>
      </c>
    </row>
    <row r="3025" spans="1:14" x14ac:dyDescent="0.25">
      <c r="A3025" s="3" t="s">
        <v>3036</v>
      </c>
      <c r="B3025" s="4">
        <v>-0.39</v>
      </c>
      <c r="C3025" s="4">
        <v>-2.04</v>
      </c>
      <c r="D3025" s="4">
        <v>-0.73</v>
      </c>
      <c r="E3025" s="4">
        <v>-1.6212658220088511E-2</v>
      </c>
      <c r="F3025" s="3">
        <v>3023</v>
      </c>
      <c r="G3025" s="3">
        <v>3</v>
      </c>
      <c r="H3025" s="5">
        <v>53505387.149999999</v>
      </c>
      <c r="I3025" s="5">
        <v>19829387.15000001</v>
      </c>
      <c r="J3025" s="5">
        <v>27226000</v>
      </c>
      <c r="K3025" s="5">
        <v>60902000</v>
      </c>
      <c r="L3025" s="5">
        <v>0</v>
      </c>
      <c r="M3025" s="5">
        <v>-51058000</v>
      </c>
      <c r="N3025" s="5">
        <v>-51869000</v>
      </c>
    </row>
    <row r="3026" spans="1:14" x14ac:dyDescent="0.25">
      <c r="A3026" s="3" t="s">
        <v>3037</v>
      </c>
      <c r="B3026" s="4">
        <v>10.28</v>
      </c>
      <c r="C3026" s="4">
        <v>0.19</v>
      </c>
      <c r="D3026" s="4">
        <v>0.1</v>
      </c>
      <c r="E3026" s="4">
        <v>-1.6213157128713039E-2</v>
      </c>
      <c r="F3026" s="3">
        <v>3024</v>
      </c>
      <c r="G3026" s="3">
        <v>3</v>
      </c>
      <c r="H3026" s="5">
        <v>509552266.80000001</v>
      </c>
      <c r="I3026" s="5">
        <v>526426266.80000001</v>
      </c>
      <c r="J3026" s="5">
        <v>48458000</v>
      </c>
      <c r="K3026" s="5">
        <v>31584000</v>
      </c>
      <c r="L3026" s="5">
        <v>422633000</v>
      </c>
      <c r="M3026" s="5">
        <v>51188000</v>
      </c>
      <c r="N3026" s="5">
        <v>29975000</v>
      </c>
    </row>
    <row r="3027" spans="1:14" x14ac:dyDescent="0.25">
      <c r="A3027" s="3" t="s">
        <v>3038</v>
      </c>
      <c r="B3027" s="4">
        <v>8.7899999999999991</v>
      </c>
      <c r="C3027" s="4">
        <v>-0.12</v>
      </c>
      <c r="D3027" s="4">
        <v>-0.05</v>
      </c>
      <c r="E3027" s="4">
        <v>-1.6215602695959279E-2</v>
      </c>
      <c r="F3027" s="3">
        <v>3025</v>
      </c>
      <c r="G3027" s="3">
        <v>3</v>
      </c>
      <c r="H3027" s="5">
        <v>289574574.18000001</v>
      </c>
      <c r="I3027" s="5">
        <v>448828574.18000001</v>
      </c>
      <c r="J3027" s="5">
        <v>171578000</v>
      </c>
      <c r="K3027" s="5">
        <v>12324000</v>
      </c>
      <c r="L3027" s="5">
        <v>342646000</v>
      </c>
      <c r="M3027" s="5">
        <v>51050000</v>
      </c>
      <c r="N3027" s="5">
        <v>-20439000</v>
      </c>
    </row>
    <row r="3028" spans="1:14" x14ac:dyDescent="0.25">
      <c r="A3028" s="3" t="s">
        <v>3039</v>
      </c>
      <c r="B3028" s="4">
        <v>8.8000000000000007</v>
      </c>
      <c r="C3028" s="4">
        <v>-0.13</v>
      </c>
      <c r="D3028" s="4">
        <v>0.13</v>
      </c>
      <c r="E3028" s="4">
        <v>-1.6215963030275699E-2</v>
      </c>
      <c r="F3028" s="3">
        <v>3026</v>
      </c>
      <c r="G3028" s="3">
        <v>3</v>
      </c>
      <c r="H3028" s="5">
        <v>25405506.309999999</v>
      </c>
      <c r="I3028" s="5">
        <v>52232936.310000002</v>
      </c>
      <c r="J3028" s="5">
        <v>27515350</v>
      </c>
      <c r="K3028" s="5">
        <v>687920</v>
      </c>
      <c r="L3028" s="5">
        <v>34834240</v>
      </c>
      <c r="M3028" s="5">
        <v>5934570</v>
      </c>
      <c r="N3028" s="5">
        <v>2124980</v>
      </c>
    </row>
    <row r="3029" spans="1:14" x14ac:dyDescent="0.25">
      <c r="A3029" s="3" t="s">
        <v>3040</v>
      </c>
      <c r="B3029" s="4">
        <v>10.36</v>
      </c>
      <c r="C3029" s="4">
        <v>0.21</v>
      </c>
      <c r="D3029" s="4">
        <v>0.04</v>
      </c>
      <c r="E3029" s="4">
        <v>-1.6216457719725769E-2</v>
      </c>
      <c r="F3029" s="3">
        <v>3027</v>
      </c>
      <c r="G3029" s="3">
        <v>3</v>
      </c>
      <c r="H3029" s="5">
        <v>28395182121.279999</v>
      </c>
      <c r="I3029" s="5">
        <v>29261401121.279999</v>
      </c>
      <c r="J3029" s="5">
        <v>2840966000</v>
      </c>
      <c r="K3029" s="5">
        <v>1974747000</v>
      </c>
      <c r="L3029" s="5">
        <v>13679752000</v>
      </c>
      <c r="M3029" s="5">
        <v>2824657000</v>
      </c>
      <c r="N3029" s="5">
        <v>1756115000</v>
      </c>
    </row>
    <row r="3030" spans="1:14" x14ac:dyDescent="0.25">
      <c r="A3030" s="3" t="s">
        <v>3041</v>
      </c>
      <c r="B3030" s="4">
        <v>3.31</v>
      </c>
      <c r="C3030" s="4">
        <v>-1.3</v>
      </c>
      <c r="D3030" s="4">
        <v>-0.04</v>
      </c>
      <c r="E3030" s="4">
        <v>-1.6231434575089371E-2</v>
      </c>
      <c r="F3030" s="3">
        <v>3028</v>
      </c>
      <c r="G3030" s="3">
        <v>3</v>
      </c>
      <c r="H3030" s="5">
        <v>754851104.63999999</v>
      </c>
      <c r="I3030" s="5">
        <v>2870416104.6399999</v>
      </c>
      <c r="J3030" s="5">
        <v>2505217000</v>
      </c>
      <c r="K3030" s="5">
        <v>389652000</v>
      </c>
      <c r="L3030" s="5">
        <v>2930126000</v>
      </c>
      <c r="M3030" s="5">
        <v>866116000</v>
      </c>
      <c r="N3030" s="5">
        <v>-176084000</v>
      </c>
    </row>
    <row r="3031" spans="1:14" x14ac:dyDescent="0.25">
      <c r="A3031" s="3" t="s">
        <v>3042</v>
      </c>
      <c r="B3031" s="4">
        <v>10.39</v>
      </c>
      <c r="C3031" s="4">
        <v>0.21</v>
      </c>
      <c r="D3031" s="4">
        <v>0.05</v>
      </c>
      <c r="E3031" s="4">
        <v>-1.62330963102395E-2</v>
      </c>
      <c r="F3031" s="3">
        <v>3029</v>
      </c>
      <c r="G3031" s="3">
        <v>3</v>
      </c>
      <c r="H3031" s="5">
        <v>8745761644.7999992</v>
      </c>
      <c r="I3031" s="5">
        <v>12806461644.799999</v>
      </c>
      <c r="J3031" s="5">
        <v>4131400000</v>
      </c>
      <c r="K3031" s="5">
        <v>70700000</v>
      </c>
      <c r="L3031" s="5">
        <v>6451300000</v>
      </c>
      <c r="M3031" s="5">
        <v>1232300000</v>
      </c>
      <c r="N3031" s="5">
        <v>357200000</v>
      </c>
    </row>
    <row r="3032" spans="1:14" x14ac:dyDescent="0.25">
      <c r="A3032" s="3" t="s">
        <v>3043</v>
      </c>
      <c r="B3032" s="4">
        <v>9.5399999999999991</v>
      </c>
      <c r="C3032" s="4">
        <v>0.03</v>
      </c>
      <c r="D3032" s="4">
        <v>0.01</v>
      </c>
      <c r="E3032" s="4">
        <v>-1.623481485855818E-2</v>
      </c>
      <c r="F3032" s="3">
        <v>3030</v>
      </c>
      <c r="G3032" s="3">
        <v>3</v>
      </c>
      <c r="H3032" s="5">
        <v>1773848418.75</v>
      </c>
      <c r="I3032" s="5">
        <v>2616114418.75</v>
      </c>
      <c r="J3032" s="5">
        <v>1107487000</v>
      </c>
      <c r="K3032" s="5">
        <v>265221000</v>
      </c>
      <c r="L3032" s="5">
        <v>4322155000</v>
      </c>
      <c r="M3032" s="5">
        <v>274086000</v>
      </c>
      <c r="N3032" s="5">
        <v>34684000</v>
      </c>
    </row>
    <row r="3033" spans="1:14" x14ac:dyDescent="0.25">
      <c r="A3033" s="3" t="s">
        <v>3044</v>
      </c>
      <c r="B3033" s="4">
        <v>9.74</v>
      </c>
      <c r="C3033" s="4">
        <v>7.0000000000000007E-2</v>
      </c>
      <c r="D3033" s="4">
        <v>0.05</v>
      </c>
      <c r="E3033" s="4">
        <v>-1.6235308438131878E-2</v>
      </c>
      <c r="F3033" s="3">
        <v>3031</v>
      </c>
      <c r="G3033" s="3">
        <v>3</v>
      </c>
      <c r="H3033" s="5">
        <v>91958708.444999993</v>
      </c>
      <c r="I3033" s="5">
        <v>92143708.444999993</v>
      </c>
      <c r="J3033" s="5">
        <v>9172000</v>
      </c>
      <c r="K3033" s="5">
        <v>8987000</v>
      </c>
      <c r="L3033" s="5">
        <v>73293000</v>
      </c>
      <c r="M3033" s="5">
        <v>9461000</v>
      </c>
      <c r="N3033" s="5">
        <v>4599000</v>
      </c>
    </row>
    <row r="3034" spans="1:14" x14ac:dyDescent="0.25">
      <c r="A3034" s="3" t="s">
        <v>3045</v>
      </c>
      <c r="B3034" s="4">
        <v>-0.12</v>
      </c>
      <c r="C3034" s="4">
        <v>-1.96</v>
      </c>
      <c r="D3034" s="4">
        <v>-1.18</v>
      </c>
      <c r="E3034" s="4">
        <v>-1.6235424113781701E-2</v>
      </c>
      <c r="F3034" s="3">
        <v>3032</v>
      </c>
      <c r="G3034" s="3">
        <v>3</v>
      </c>
      <c r="H3034" s="5">
        <v>7387650.1600000001</v>
      </c>
      <c r="I3034" s="5">
        <v>1515020.16</v>
      </c>
      <c r="J3034" s="5">
        <v>0</v>
      </c>
      <c r="K3034" s="5">
        <v>5872630</v>
      </c>
      <c r="L3034" s="5">
        <v>14022630</v>
      </c>
      <c r="M3034" s="5">
        <v>-12564040</v>
      </c>
      <c r="N3034" s="5">
        <v>-12733440</v>
      </c>
    </row>
    <row r="3035" spans="1:14" x14ac:dyDescent="0.25">
      <c r="A3035" s="3" t="s">
        <v>3046</v>
      </c>
      <c r="B3035" s="4">
        <v>9.84</v>
      </c>
      <c r="C3035" s="4">
        <v>0.09</v>
      </c>
      <c r="D3035" s="4">
        <v>0.04</v>
      </c>
      <c r="E3035" s="4">
        <v>-1.624134230765124E-2</v>
      </c>
      <c r="F3035" s="3">
        <v>3033</v>
      </c>
      <c r="G3035" s="3">
        <v>3</v>
      </c>
      <c r="H3035" s="5">
        <v>2335355913.8000002</v>
      </c>
      <c r="I3035" s="5">
        <v>2853643913.8000002</v>
      </c>
      <c r="J3035" s="5">
        <v>707168000</v>
      </c>
      <c r="K3035" s="5">
        <v>188880000</v>
      </c>
      <c r="L3035" s="5">
        <v>1839686000</v>
      </c>
      <c r="M3035" s="5">
        <v>290026000</v>
      </c>
      <c r="N3035" s="5">
        <v>116644000</v>
      </c>
    </row>
    <row r="3036" spans="1:14" x14ac:dyDescent="0.25">
      <c r="A3036" s="3" t="s">
        <v>3047</v>
      </c>
      <c r="B3036" s="4">
        <v>9.9600000000000009</v>
      </c>
      <c r="C3036" s="4">
        <v>0.11</v>
      </c>
      <c r="D3036" s="4">
        <v>0.08</v>
      </c>
      <c r="E3036" s="4">
        <v>-1.6250109455677231E-2</v>
      </c>
      <c r="F3036" s="3">
        <v>3034</v>
      </c>
      <c r="G3036" s="3">
        <v>3</v>
      </c>
      <c r="H3036" s="5">
        <v>2146295470.2</v>
      </c>
      <c r="I3036" s="5">
        <v>2169502470.1999998</v>
      </c>
      <c r="J3036" s="5">
        <v>220481000</v>
      </c>
      <c r="K3036" s="5">
        <v>197274000</v>
      </c>
      <c r="L3036" s="5">
        <v>1628513000</v>
      </c>
      <c r="M3036" s="5">
        <v>217892000</v>
      </c>
      <c r="N3036" s="5">
        <v>115930000</v>
      </c>
    </row>
    <row r="3037" spans="1:14" x14ac:dyDescent="0.25">
      <c r="A3037" s="3" t="s">
        <v>3048</v>
      </c>
      <c r="B3037" s="4">
        <v>8.56</v>
      </c>
      <c r="C3037" s="4">
        <v>-0.18</v>
      </c>
      <c r="D3037" s="4">
        <v>-0.08</v>
      </c>
      <c r="E3037" s="4">
        <v>-1.6252399686745769E-2</v>
      </c>
      <c r="F3037" s="3">
        <v>3035</v>
      </c>
      <c r="G3037" s="3">
        <v>3</v>
      </c>
      <c r="H3037" s="5">
        <v>72198966.674999997</v>
      </c>
      <c r="I3037" s="5">
        <v>60423966.674999997</v>
      </c>
      <c r="J3037" s="5">
        <v>38813000</v>
      </c>
      <c r="K3037" s="5">
        <v>50588000</v>
      </c>
      <c r="L3037" s="5">
        <v>124961000</v>
      </c>
      <c r="M3037" s="5">
        <v>7061000</v>
      </c>
      <c r="N3037" s="5">
        <v>-21581000</v>
      </c>
    </row>
    <row r="3038" spans="1:14" x14ac:dyDescent="0.25">
      <c r="A3038" s="3" t="s">
        <v>3049</v>
      </c>
      <c r="B3038" s="4">
        <v>10.09</v>
      </c>
      <c r="C3038" s="4">
        <v>0.14000000000000001</v>
      </c>
      <c r="D3038" s="4">
        <v>0.03</v>
      </c>
      <c r="E3038" s="4">
        <v>-1.6253533441583388E-2</v>
      </c>
      <c r="F3038" s="3">
        <v>3036</v>
      </c>
      <c r="G3038" s="3">
        <v>3</v>
      </c>
      <c r="H3038" s="5">
        <v>1196197592.9400001</v>
      </c>
      <c r="I3038" s="5">
        <v>2403304592.9400001</v>
      </c>
      <c r="J3038" s="5">
        <v>1210326000</v>
      </c>
      <c r="K3038" s="5">
        <v>3219000</v>
      </c>
      <c r="L3038" s="5">
        <v>1327172000</v>
      </c>
      <c r="M3038" s="5">
        <v>238225000</v>
      </c>
      <c r="N3038" s="5">
        <v>74174000</v>
      </c>
    </row>
    <row r="3039" spans="1:14" x14ac:dyDescent="0.25">
      <c r="A3039" s="3" t="s">
        <v>3050</v>
      </c>
      <c r="B3039" s="4">
        <v>9.81</v>
      </c>
      <c r="C3039" s="4">
        <v>0.08</v>
      </c>
      <c r="D3039" s="4">
        <v>0.03</v>
      </c>
      <c r="E3039" s="4">
        <v>-1.6253597324151971E-2</v>
      </c>
      <c r="F3039" s="3">
        <v>3037</v>
      </c>
      <c r="G3039" s="3">
        <v>3</v>
      </c>
      <c r="H3039" s="5">
        <v>27051270383.150002</v>
      </c>
      <c r="I3039" s="5">
        <v>36597270383.150002</v>
      </c>
      <c r="J3039" s="5">
        <v>10157000000</v>
      </c>
      <c r="K3039" s="5">
        <v>611000000</v>
      </c>
      <c r="L3039" s="5">
        <v>85530000000</v>
      </c>
      <c r="M3039" s="5">
        <v>3730000000</v>
      </c>
      <c r="N3039" s="5">
        <v>1800000000</v>
      </c>
    </row>
    <row r="3040" spans="1:14" x14ac:dyDescent="0.25">
      <c r="A3040" s="3" t="s">
        <v>3051</v>
      </c>
      <c r="B3040" s="4">
        <v>9.82</v>
      </c>
      <c r="C3040" s="4">
        <v>0.08</v>
      </c>
      <c r="D3040" s="4">
        <v>0.06</v>
      </c>
      <c r="E3040" s="4">
        <v>-1.6253999450116529E-2</v>
      </c>
      <c r="F3040" s="3">
        <v>3038</v>
      </c>
      <c r="G3040" s="3">
        <v>3</v>
      </c>
      <c r="H3040" s="5">
        <v>10922015683.82</v>
      </c>
      <c r="I3040" s="5">
        <v>10529415683.82</v>
      </c>
      <c r="J3040" s="5">
        <v>995800000</v>
      </c>
      <c r="K3040" s="5">
        <v>1388400000</v>
      </c>
      <c r="L3040" s="5">
        <v>4086900000</v>
      </c>
      <c r="M3040" s="5">
        <v>1072600000</v>
      </c>
      <c r="N3040" s="5">
        <v>477100000</v>
      </c>
    </row>
    <row r="3041" spans="1:14" x14ac:dyDescent="0.25">
      <c r="A3041" s="3" t="s">
        <v>3052</v>
      </c>
      <c r="B3041" s="4">
        <v>11.48</v>
      </c>
      <c r="C3041" s="4">
        <v>0.42</v>
      </c>
      <c r="D3041" s="4">
        <v>0.28000000000000003</v>
      </c>
      <c r="E3041" s="4">
        <v>-1.625658637263469E-2</v>
      </c>
      <c r="F3041" s="3">
        <v>3039</v>
      </c>
      <c r="G3041" s="3">
        <v>3</v>
      </c>
      <c r="H3041" s="5">
        <v>3136278241</v>
      </c>
      <c r="I3041" s="5">
        <v>2942443241</v>
      </c>
      <c r="J3041" s="5">
        <v>0</v>
      </c>
      <c r="K3041" s="5">
        <v>193835000</v>
      </c>
      <c r="L3041" s="5">
        <v>1201354000</v>
      </c>
      <c r="M3041" s="5">
        <v>256260000</v>
      </c>
      <c r="N3041" s="5">
        <v>186821000</v>
      </c>
    </row>
    <row r="3042" spans="1:14" x14ac:dyDescent="0.25">
      <c r="A3042" s="3" t="s">
        <v>3053</v>
      </c>
      <c r="B3042" s="4">
        <v>10.97</v>
      </c>
      <c r="C3042" s="4">
        <v>0.32</v>
      </c>
      <c r="D3042" s="4">
        <v>0.12</v>
      </c>
      <c r="E3042" s="4">
        <v>-1.6260737377468411E-2</v>
      </c>
      <c r="F3042" s="3">
        <v>3040</v>
      </c>
      <c r="G3042" s="3">
        <v>3</v>
      </c>
      <c r="H3042" s="5">
        <v>52460220540.160004</v>
      </c>
      <c r="I3042" s="5">
        <v>72092220540.160004</v>
      </c>
      <c r="J3042" s="5">
        <v>21151000000</v>
      </c>
      <c r="K3042" s="5">
        <v>1519000000</v>
      </c>
      <c r="L3042" s="5">
        <v>11933000000</v>
      </c>
      <c r="M3042" s="5">
        <v>6571000000</v>
      </c>
      <c r="N3042" s="5">
        <v>4317000000</v>
      </c>
    </row>
    <row r="3043" spans="1:14" x14ac:dyDescent="0.25">
      <c r="A3043" s="3" t="s">
        <v>3054</v>
      </c>
      <c r="B3043" s="4">
        <v>-0.23</v>
      </c>
      <c r="C3043" s="4">
        <v>-2</v>
      </c>
      <c r="D3043" s="4">
        <v>-1.1100000000000001</v>
      </c>
      <c r="E3043" s="4">
        <v>-1.6269414093129139E-2</v>
      </c>
      <c r="F3043" s="3">
        <v>3041</v>
      </c>
      <c r="G3043" s="3">
        <v>3</v>
      </c>
      <c r="H3043" s="5">
        <v>9.4510149999999999</v>
      </c>
      <c r="I3043" s="5">
        <v>12715479.451014999</v>
      </c>
      <c r="J3043" s="5">
        <v>13178220</v>
      </c>
      <c r="K3043" s="5">
        <v>462750</v>
      </c>
      <c r="L3043" s="5">
        <v>6557530</v>
      </c>
      <c r="M3043" s="5">
        <v>-55395260</v>
      </c>
      <c r="N3043" s="5">
        <v>-62879400</v>
      </c>
    </row>
    <row r="3044" spans="1:14" x14ac:dyDescent="0.25">
      <c r="A3044" s="3" t="s">
        <v>3055</v>
      </c>
      <c r="B3044" s="4">
        <v>0.35</v>
      </c>
      <c r="C3044" s="4">
        <v>-1.91</v>
      </c>
      <c r="D3044" s="4">
        <v>-0.65</v>
      </c>
      <c r="E3044" s="4">
        <v>-1.627961033786424E-2</v>
      </c>
      <c r="F3044" s="3">
        <v>3042</v>
      </c>
      <c r="G3044" s="3">
        <v>3</v>
      </c>
      <c r="H3044" s="5">
        <v>31.037383999999999</v>
      </c>
      <c r="I3044" s="5">
        <v>-4512968.9626160003</v>
      </c>
      <c r="J3044" s="5">
        <v>0</v>
      </c>
      <c r="K3044" s="5">
        <v>4513000</v>
      </c>
      <c r="L3044" s="5">
        <v>216700000</v>
      </c>
      <c r="M3044" s="5">
        <v>-12813000</v>
      </c>
      <c r="N3044" s="5">
        <v>-34434000</v>
      </c>
    </row>
    <row r="3045" spans="1:14" x14ac:dyDescent="0.25">
      <c r="A3045" s="3" t="s">
        <v>3056</v>
      </c>
      <c r="B3045" s="4">
        <v>11.88</v>
      </c>
      <c r="C3045" s="4">
        <v>0.51</v>
      </c>
      <c r="D3045" s="4">
        <v>0.06</v>
      </c>
      <c r="E3045" s="4">
        <v>-1.6286550722092789E-2</v>
      </c>
      <c r="F3045" s="3">
        <v>3043</v>
      </c>
      <c r="G3045" s="3">
        <v>3</v>
      </c>
      <c r="H3045" s="5">
        <v>35009562401.879997</v>
      </c>
      <c r="I3045" s="5">
        <v>49026862401.879997</v>
      </c>
      <c r="J3045" s="5">
        <v>14174600000</v>
      </c>
      <c r="K3045" s="5">
        <v>157300000</v>
      </c>
      <c r="L3045" s="5">
        <v>16381500000</v>
      </c>
      <c r="M3045" s="5">
        <v>4125600000</v>
      </c>
      <c r="N3045" s="5">
        <v>1312000000</v>
      </c>
    </row>
    <row r="3046" spans="1:14" x14ac:dyDescent="0.25">
      <c r="A3046" s="3" t="s">
        <v>3057</v>
      </c>
      <c r="B3046" s="4">
        <v>9.6</v>
      </c>
      <c r="C3046" s="4">
        <v>0.02</v>
      </c>
      <c r="D3046" s="4">
        <v>0.01</v>
      </c>
      <c r="E3046" s="4">
        <v>-1.63008436997551E-2</v>
      </c>
      <c r="F3046" s="3">
        <v>3044</v>
      </c>
      <c r="G3046" s="3">
        <v>3</v>
      </c>
      <c r="H3046" s="5">
        <v>7237072620</v>
      </c>
      <c r="I3046" s="5">
        <v>9900838620</v>
      </c>
      <c r="J3046" s="5">
        <v>2882027000</v>
      </c>
      <c r="K3046" s="5">
        <v>218261000</v>
      </c>
      <c r="L3046" s="5">
        <v>7410078000</v>
      </c>
      <c r="M3046" s="5">
        <v>1031183000</v>
      </c>
      <c r="N3046" s="5">
        <v>117626000</v>
      </c>
    </row>
    <row r="3047" spans="1:14" x14ac:dyDescent="0.25">
      <c r="A3047" s="3" t="s">
        <v>3058</v>
      </c>
      <c r="B3047" s="4">
        <v>9.41</v>
      </c>
      <c r="C3047" s="4">
        <v>-0.02</v>
      </c>
      <c r="D3047" s="4">
        <v>-0.02</v>
      </c>
      <c r="E3047" s="4">
        <v>-1.630461029930098E-2</v>
      </c>
      <c r="F3047" s="3">
        <v>3045</v>
      </c>
      <c r="G3047" s="3">
        <v>3</v>
      </c>
      <c r="H3047" s="5">
        <v>19773639889.5</v>
      </c>
      <c r="I3047" s="5">
        <v>20919639889.5</v>
      </c>
      <c r="J3047" s="5">
        <v>2320000000</v>
      </c>
      <c r="K3047" s="5">
        <v>1174000000</v>
      </c>
      <c r="L3047" s="5">
        <v>6750000000</v>
      </c>
      <c r="M3047" s="5">
        <v>2224000000</v>
      </c>
      <c r="N3047" s="5">
        <v>-265000000</v>
      </c>
    </row>
    <row r="3048" spans="1:14" x14ac:dyDescent="0.25">
      <c r="A3048" s="3" t="s">
        <v>3059</v>
      </c>
      <c r="B3048" s="4">
        <v>10.47</v>
      </c>
      <c r="C3048" s="4">
        <v>0.2</v>
      </c>
      <c r="D3048" s="4">
        <v>0.08</v>
      </c>
      <c r="E3048" s="4">
        <v>-1.6305716483098059E-2</v>
      </c>
      <c r="F3048" s="3">
        <v>3046</v>
      </c>
      <c r="G3048" s="3">
        <v>3</v>
      </c>
      <c r="H3048" s="5">
        <v>10716167291</v>
      </c>
      <c r="I3048" s="5">
        <v>11275967291</v>
      </c>
      <c r="J3048" s="5">
        <v>1122500000</v>
      </c>
      <c r="K3048" s="5">
        <v>562700000</v>
      </c>
      <c r="L3048" s="5">
        <v>3877500000</v>
      </c>
      <c r="M3048" s="5">
        <v>1077200000</v>
      </c>
      <c r="N3048" s="5">
        <v>424000000</v>
      </c>
    </row>
    <row r="3049" spans="1:14" x14ac:dyDescent="0.25">
      <c r="A3049" s="3" t="s">
        <v>3060</v>
      </c>
      <c r="B3049" s="4">
        <v>4.75</v>
      </c>
      <c r="C3049" s="4">
        <v>-1</v>
      </c>
      <c r="D3049" s="4">
        <v>-0.31</v>
      </c>
      <c r="E3049" s="4">
        <v>-1.6307955702627441E-2</v>
      </c>
      <c r="F3049" s="3">
        <v>3047</v>
      </c>
      <c r="G3049" s="3">
        <v>3</v>
      </c>
      <c r="H3049" s="5">
        <v>1960409621.3399999</v>
      </c>
      <c r="I3049" s="5">
        <v>2416236621.3400002</v>
      </c>
      <c r="J3049" s="5">
        <v>643748000</v>
      </c>
      <c r="K3049" s="5">
        <v>187921000</v>
      </c>
      <c r="L3049" s="5">
        <v>1032248000</v>
      </c>
      <c r="M3049" s="5">
        <v>508264000</v>
      </c>
      <c r="N3049" s="5">
        <v>-401406000</v>
      </c>
    </row>
    <row r="3050" spans="1:14" x14ac:dyDescent="0.25">
      <c r="A3050" s="3" t="s">
        <v>3061</v>
      </c>
      <c r="B3050" s="4">
        <v>10.23</v>
      </c>
      <c r="C3050" s="4">
        <v>0.15</v>
      </c>
      <c r="D3050" s="4">
        <v>0.04</v>
      </c>
      <c r="E3050" s="4">
        <v>-1.6309359687750508E-2</v>
      </c>
      <c r="F3050" s="3">
        <v>3048</v>
      </c>
      <c r="G3050" s="3">
        <v>3</v>
      </c>
      <c r="H3050" s="5">
        <v>1423525685.75</v>
      </c>
      <c r="I3050" s="5">
        <v>2796608685.75</v>
      </c>
      <c r="J3050" s="5">
        <v>1810237000</v>
      </c>
      <c r="K3050" s="5">
        <v>437154000</v>
      </c>
      <c r="L3050" s="5">
        <v>356349000</v>
      </c>
      <c r="M3050" s="5">
        <v>273275000</v>
      </c>
      <c r="N3050" s="5">
        <v>117684000</v>
      </c>
    </row>
    <row r="3051" spans="1:14" x14ac:dyDescent="0.25">
      <c r="A3051" s="3" t="s">
        <v>3062</v>
      </c>
      <c r="B3051" s="4">
        <v>10.76</v>
      </c>
      <c r="C3051" s="4">
        <v>0.25</v>
      </c>
      <c r="D3051" s="4">
        <v>0.18</v>
      </c>
      <c r="E3051" s="4">
        <v>-1.632144514746595E-2</v>
      </c>
      <c r="F3051" s="3">
        <v>3049</v>
      </c>
      <c r="G3051" s="3">
        <v>3</v>
      </c>
      <c r="H3051" s="5">
        <v>5130201004.6300001</v>
      </c>
      <c r="I3051" s="5">
        <v>4839055004.6300001</v>
      </c>
      <c r="J3051" s="5">
        <v>0</v>
      </c>
      <c r="K3051" s="5">
        <v>291146000</v>
      </c>
      <c r="L3051" s="5">
        <v>1557632000</v>
      </c>
      <c r="M3051" s="5">
        <v>449669000</v>
      </c>
      <c r="N3051" s="5">
        <v>367070000</v>
      </c>
    </row>
    <row r="3052" spans="1:14" x14ac:dyDescent="0.25">
      <c r="A3052" s="3" t="s">
        <v>3063</v>
      </c>
      <c r="B3052" s="4">
        <v>10.38</v>
      </c>
      <c r="C3052" s="4">
        <v>0.17</v>
      </c>
      <c r="D3052" s="4">
        <v>0.1</v>
      </c>
      <c r="E3052" s="4">
        <v>-1.6332836399712721E-2</v>
      </c>
      <c r="F3052" s="3">
        <v>3050</v>
      </c>
      <c r="G3052" s="3">
        <v>3</v>
      </c>
      <c r="H3052" s="5">
        <v>22508352817.669998</v>
      </c>
      <c r="I3052" s="5">
        <v>25149895817.669998</v>
      </c>
      <c r="J3052" s="5">
        <v>3231007000</v>
      </c>
      <c r="K3052" s="5">
        <v>589464000</v>
      </c>
      <c r="L3052" s="5">
        <v>17540390000</v>
      </c>
      <c r="M3052" s="5">
        <v>2421944000</v>
      </c>
      <c r="N3052" s="5">
        <v>1537134000</v>
      </c>
    </row>
    <row r="3053" spans="1:14" x14ac:dyDescent="0.25">
      <c r="A3053" s="3" t="s">
        <v>3064</v>
      </c>
      <c r="B3053" s="4">
        <v>8.94</v>
      </c>
      <c r="C3053" s="4">
        <v>-0.13</v>
      </c>
      <c r="D3053" s="4">
        <v>-0.05</v>
      </c>
      <c r="E3053" s="4">
        <v>-1.6337334388429891E-2</v>
      </c>
      <c r="F3053" s="3">
        <v>3051</v>
      </c>
      <c r="G3053" s="3">
        <v>3</v>
      </c>
      <c r="H3053" s="5">
        <v>568650679.79999995</v>
      </c>
      <c r="I3053" s="5">
        <v>817731679.79999995</v>
      </c>
      <c r="J3053" s="5">
        <v>336851000</v>
      </c>
      <c r="K3053" s="5">
        <v>87770000</v>
      </c>
      <c r="L3053" s="5">
        <v>833881000</v>
      </c>
      <c r="M3053" s="5">
        <v>91433000</v>
      </c>
      <c r="N3053" s="5">
        <v>-54235000</v>
      </c>
    </row>
    <row r="3054" spans="1:14" x14ac:dyDescent="0.25">
      <c r="A3054" s="3" t="s">
        <v>3065</v>
      </c>
      <c r="B3054" s="4">
        <v>9.7200000000000006</v>
      </c>
      <c r="C3054" s="4">
        <v>0.03</v>
      </c>
      <c r="D3054" s="4">
        <v>0.02</v>
      </c>
      <c r="E3054" s="4">
        <v>-1.6344291534528071E-2</v>
      </c>
      <c r="F3054" s="3">
        <v>3052</v>
      </c>
      <c r="G3054" s="3">
        <v>3</v>
      </c>
      <c r="H3054" s="5">
        <v>1676528546.2</v>
      </c>
      <c r="I3054" s="5">
        <v>2722073546.1999998</v>
      </c>
      <c r="J3054" s="5">
        <v>1126926000</v>
      </c>
      <c r="K3054" s="5">
        <v>81381000</v>
      </c>
      <c r="L3054" s="5">
        <v>1129883000</v>
      </c>
      <c r="M3054" s="5">
        <v>280109000</v>
      </c>
      <c r="N3054" s="5">
        <v>48047000</v>
      </c>
    </row>
    <row r="3055" spans="1:14" x14ac:dyDescent="0.25">
      <c r="A3055" s="3" t="s">
        <v>3066</v>
      </c>
      <c r="B3055" s="4">
        <v>2.4300000000000002</v>
      </c>
      <c r="C3055" s="4">
        <v>-1.5</v>
      </c>
      <c r="D3055" s="4">
        <v>-0.51</v>
      </c>
      <c r="E3055" s="4">
        <v>-1.635532086317849E-2</v>
      </c>
      <c r="F3055" s="3">
        <v>3053</v>
      </c>
      <c r="G3055" s="3">
        <v>3</v>
      </c>
      <c r="H3055" s="5">
        <v>18.198948000000001</v>
      </c>
      <c r="I3055" s="5">
        <v>-1214841.8010519999</v>
      </c>
      <c r="J3055" s="5">
        <v>0</v>
      </c>
      <c r="K3055" s="5">
        <v>1214860</v>
      </c>
      <c r="L3055" s="5">
        <v>1645170</v>
      </c>
      <c r="M3055" s="5">
        <v>-498950</v>
      </c>
      <c r="N3055" s="5">
        <v>-5105110</v>
      </c>
    </row>
    <row r="3056" spans="1:14" x14ac:dyDescent="0.25">
      <c r="A3056" s="3" t="s">
        <v>3067</v>
      </c>
      <c r="B3056" s="4">
        <v>10.18</v>
      </c>
      <c r="C3056" s="4">
        <v>0.12</v>
      </c>
      <c r="D3056" s="4">
        <v>0.06</v>
      </c>
      <c r="E3056" s="4">
        <v>-1.6361236427153491E-2</v>
      </c>
      <c r="F3056" s="3">
        <v>3054</v>
      </c>
      <c r="G3056" s="3">
        <v>3</v>
      </c>
      <c r="H3056" s="5">
        <v>2944483850.9299998</v>
      </c>
      <c r="I3056" s="5">
        <v>3862070850.9299998</v>
      </c>
      <c r="J3056" s="5">
        <v>1015471000</v>
      </c>
      <c r="K3056" s="5">
        <v>97884000</v>
      </c>
      <c r="L3056" s="5">
        <v>1137762000</v>
      </c>
      <c r="M3056" s="5">
        <v>379471000</v>
      </c>
      <c r="N3056" s="5">
        <v>214605000</v>
      </c>
    </row>
    <row r="3057" spans="1:14" x14ac:dyDescent="0.25">
      <c r="A3057" s="3" t="s">
        <v>3068</v>
      </c>
      <c r="B3057" s="4">
        <v>11.63</v>
      </c>
      <c r="C3057" s="4">
        <v>0.43</v>
      </c>
      <c r="D3057" s="4">
        <v>0.04</v>
      </c>
      <c r="E3057" s="4">
        <v>-1.6366827488936531E-2</v>
      </c>
      <c r="F3057" s="3">
        <v>3055</v>
      </c>
      <c r="G3057" s="3">
        <v>3</v>
      </c>
      <c r="H3057" s="5">
        <v>23306565066.549999</v>
      </c>
      <c r="I3057" s="5">
        <v>24623565066.549999</v>
      </c>
      <c r="J3057" s="5">
        <v>3250000000</v>
      </c>
      <c r="K3057" s="5">
        <v>1933000000</v>
      </c>
      <c r="L3057" s="5">
        <v>29802000000</v>
      </c>
      <c r="M3057" s="5">
        <v>2118000000</v>
      </c>
      <c r="N3057" s="5">
        <v>657000000</v>
      </c>
    </row>
    <row r="3058" spans="1:14" x14ac:dyDescent="0.25">
      <c r="A3058" s="3" t="s">
        <v>3069</v>
      </c>
      <c r="B3058" s="4">
        <v>9.8800000000000008</v>
      </c>
      <c r="C3058" s="4">
        <v>0.05</v>
      </c>
      <c r="D3058" s="4">
        <v>0.03</v>
      </c>
      <c r="E3058" s="4">
        <v>-1.6383602585074888E-2</v>
      </c>
      <c r="F3058" s="3">
        <v>3056</v>
      </c>
      <c r="G3058" s="3">
        <v>3</v>
      </c>
      <c r="H3058" s="5">
        <v>330791708.27999997</v>
      </c>
      <c r="I3058" s="5">
        <v>446580398.27999997</v>
      </c>
      <c r="J3058" s="5">
        <v>125730740</v>
      </c>
      <c r="K3058" s="5">
        <v>9942050</v>
      </c>
      <c r="L3058" s="5">
        <v>70270270</v>
      </c>
      <c r="M3058" s="5">
        <v>45178030</v>
      </c>
      <c r="N3058" s="5">
        <v>17599950</v>
      </c>
    </row>
    <row r="3059" spans="1:14" x14ac:dyDescent="0.25">
      <c r="A3059" s="3" t="s">
        <v>3070</v>
      </c>
      <c r="B3059" s="4">
        <v>8.6999999999999993</v>
      </c>
      <c r="C3059" s="4">
        <v>-0.2</v>
      </c>
      <c r="D3059" s="4">
        <v>-7.0000000000000007E-2</v>
      </c>
      <c r="E3059" s="4">
        <v>-1.6394906753956259E-2</v>
      </c>
      <c r="F3059" s="3">
        <v>3057</v>
      </c>
      <c r="G3059" s="3">
        <v>3</v>
      </c>
      <c r="H3059" s="5">
        <v>11229679941.6</v>
      </c>
      <c r="I3059" s="5">
        <v>18849879941.599998</v>
      </c>
      <c r="J3059" s="5">
        <v>7690100000</v>
      </c>
      <c r="K3059" s="5">
        <v>69900000</v>
      </c>
      <c r="L3059" s="5">
        <v>8726100000</v>
      </c>
      <c r="M3059" s="5">
        <v>2166100000</v>
      </c>
      <c r="N3059" s="5">
        <v>-1230800000</v>
      </c>
    </row>
    <row r="3060" spans="1:14" x14ac:dyDescent="0.25">
      <c r="A3060" s="3" t="s">
        <v>3071</v>
      </c>
      <c r="B3060" s="4">
        <v>11.98</v>
      </c>
      <c r="C3060" s="4">
        <v>0.49</v>
      </c>
      <c r="D3060" s="4">
        <v>0.05</v>
      </c>
      <c r="E3060" s="4">
        <v>-1.640815901966999E-2</v>
      </c>
      <c r="F3060" s="3">
        <v>3058</v>
      </c>
      <c r="G3060" s="3">
        <v>3</v>
      </c>
      <c r="H3060" s="5">
        <v>5813385907.9799995</v>
      </c>
      <c r="I3060" s="5">
        <v>8714087907.9799995</v>
      </c>
      <c r="J3060" s="5">
        <v>3378396000</v>
      </c>
      <c r="K3060" s="5">
        <v>477694000</v>
      </c>
      <c r="L3060" s="5">
        <v>2339226000</v>
      </c>
      <c r="M3060" s="5">
        <v>727420000</v>
      </c>
      <c r="N3060" s="5">
        <v>271638000</v>
      </c>
    </row>
    <row r="3061" spans="1:14" x14ac:dyDescent="0.25">
      <c r="A3061" s="3" t="s">
        <v>3072</v>
      </c>
      <c r="B3061" s="4">
        <v>9.9700000000000006</v>
      </c>
      <c r="C3061" s="4">
        <v>0.06</v>
      </c>
      <c r="D3061" s="4">
        <v>0.04</v>
      </c>
      <c r="E3061" s="4">
        <v>-1.640848280275662E-2</v>
      </c>
      <c r="F3061" s="3">
        <v>3059</v>
      </c>
      <c r="G3061" s="3">
        <v>3</v>
      </c>
      <c r="H3061" s="5">
        <v>1069680815.7</v>
      </c>
      <c r="I3061" s="5">
        <v>1364103815.7</v>
      </c>
      <c r="J3061" s="5">
        <v>496514000</v>
      </c>
      <c r="K3061" s="5">
        <v>202091000</v>
      </c>
      <c r="L3061" s="5">
        <v>223091000</v>
      </c>
      <c r="M3061" s="5">
        <v>136797000</v>
      </c>
      <c r="N3061" s="5">
        <v>95044000</v>
      </c>
    </row>
    <row r="3062" spans="1:14" x14ac:dyDescent="0.25">
      <c r="A3062" s="3" t="s">
        <v>3073</v>
      </c>
      <c r="B3062" s="4">
        <v>9.8699999999999992</v>
      </c>
      <c r="C3062" s="4">
        <v>0.04</v>
      </c>
      <c r="D3062" s="4">
        <v>0.01</v>
      </c>
      <c r="E3062" s="4">
        <v>-1.641016503954728E-2</v>
      </c>
      <c r="F3062" s="3">
        <v>3060</v>
      </c>
      <c r="G3062" s="3">
        <v>3</v>
      </c>
      <c r="H3062" s="5">
        <v>6108225327.1800003</v>
      </c>
      <c r="I3062" s="5">
        <v>7399225327.1800003</v>
      </c>
      <c r="J3062" s="5">
        <v>1983000000</v>
      </c>
      <c r="K3062" s="5">
        <v>692000000</v>
      </c>
      <c r="L3062" s="5">
        <v>6761000000</v>
      </c>
      <c r="M3062" s="5">
        <v>750000000</v>
      </c>
      <c r="N3062" s="5">
        <v>116000000</v>
      </c>
    </row>
    <row r="3063" spans="1:14" x14ac:dyDescent="0.25">
      <c r="A3063" s="3" t="s">
        <v>3074</v>
      </c>
      <c r="B3063" s="4">
        <v>9.9700000000000006</v>
      </c>
      <c r="C3063" s="4">
        <v>0.06</v>
      </c>
      <c r="D3063" s="4">
        <v>0.03</v>
      </c>
      <c r="E3063" s="4">
        <v>-1.6410411829334129E-2</v>
      </c>
      <c r="F3063" s="3">
        <v>3061</v>
      </c>
      <c r="G3063" s="3">
        <v>3</v>
      </c>
      <c r="H3063" s="5">
        <v>5643426543.3500004</v>
      </c>
      <c r="I3063" s="5">
        <v>7314226543.3500004</v>
      </c>
      <c r="J3063" s="5">
        <v>2352800000</v>
      </c>
      <c r="K3063" s="5">
        <v>682000000</v>
      </c>
      <c r="L3063" s="5">
        <v>3408200000</v>
      </c>
      <c r="M3063" s="5">
        <v>733600000</v>
      </c>
      <c r="N3063" s="5">
        <v>194900000</v>
      </c>
    </row>
    <row r="3064" spans="1:14" x14ac:dyDescent="0.25">
      <c r="A3064" s="3" t="s">
        <v>3075</v>
      </c>
      <c r="B3064" s="4">
        <v>9.26</v>
      </c>
      <c r="C3064" s="4">
        <v>-0.09</v>
      </c>
      <c r="D3064" s="4">
        <v>-0.02</v>
      </c>
      <c r="E3064" s="4">
        <v>-1.6414027462946019E-2</v>
      </c>
      <c r="F3064" s="3">
        <v>3062</v>
      </c>
      <c r="G3064" s="3">
        <v>3</v>
      </c>
      <c r="H3064" s="5">
        <v>2815478643.5999999</v>
      </c>
      <c r="I3064" s="5">
        <v>5916278643.6000004</v>
      </c>
      <c r="J3064" s="5">
        <v>3370300000</v>
      </c>
      <c r="K3064" s="5">
        <v>269500000</v>
      </c>
      <c r="L3064" s="5">
        <v>3114300000</v>
      </c>
      <c r="M3064" s="5">
        <v>638800000</v>
      </c>
      <c r="N3064" s="5">
        <v>-168100000</v>
      </c>
    </row>
    <row r="3065" spans="1:14" x14ac:dyDescent="0.25">
      <c r="A3065" s="3" t="s">
        <v>3076</v>
      </c>
      <c r="B3065" s="4">
        <v>9.7899999999999991</v>
      </c>
      <c r="C3065" s="4">
        <v>0.02</v>
      </c>
      <c r="D3065" s="4">
        <v>0.01</v>
      </c>
      <c r="E3065" s="4">
        <v>-1.6418438607999571E-2</v>
      </c>
      <c r="F3065" s="3">
        <v>3063</v>
      </c>
      <c r="G3065" s="3">
        <v>3</v>
      </c>
      <c r="H3065" s="5">
        <v>9413780963.7299995</v>
      </c>
      <c r="I3065" s="5">
        <v>21106008963.73</v>
      </c>
      <c r="J3065" s="5">
        <v>12244374000</v>
      </c>
      <c r="K3065" s="5">
        <v>552146000</v>
      </c>
      <c r="L3065" s="5">
        <v>3233608000</v>
      </c>
      <c r="M3065" s="5">
        <v>2155984000</v>
      </c>
      <c r="N3065" s="5">
        <v>322949000</v>
      </c>
    </row>
    <row r="3066" spans="1:14" x14ac:dyDescent="0.25">
      <c r="A3066" s="3" t="s">
        <v>3077</v>
      </c>
      <c r="B3066" s="4">
        <v>-3.42</v>
      </c>
      <c r="C3066" s="4">
        <v>-2.66</v>
      </c>
      <c r="D3066" s="4">
        <v>-2.2599999999999998</v>
      </c>
      <c r="E3066" s="4">
        <v>-1.642387359512883E-2</v>
      </c>
      <c r="F3066" s="3">
        <v>3064</v>
      </c>
      <c r="G3066" s="3">
        <v>3</v>
      </c>
      <c r="H3066" s="5">
        <v>22459450.399999999</v>
      </c>
      <c r="I3066" s="5">
        <v>20191490.399999999</v>
      </c>
      <c r="J3066" s="5">
        <v>0</v>
      </c>
      <c r="K3066" s="5">
        <v>2267960</v>
      </c>
      <c r="L3066" s="5">
        <v>42240</v>
      </c>
      <c r="M3066" s="5">
        <v>-5907350</v>
      </c>
      <c r="N3066" s="5">
        <v>-5921730</v>
      </c>
    </row>
    <row r="3067" spans="1:14" x14ac:dyDescent="0.25">
      <c r="A3067" s="3" t="s">
        <v>3078</v>
      </c>
      <c r="B3067" s="4">
        <v>10.09</v>
      </c>
      <c r="C3067" s="4">
        <v>0.08</v>
      </c>
      <c r="D3067" s="4">
        <v>0.02</v>
      </c>
      <c r="E3067" s="4">
        <v>-1.6428824110247649E-2</v>
      </c>
      <c r="F3067" s="3">
        <v>3065</v>
      </c>
      <c r="G3067" s="3">
        <v>3</v>
      </c>
      <c r="H3067" s="5">
        <v>5351099446.6400003</v>
      </c>
      <c r="I3067" s="5">
        <v>10166099446.639999</v>
      </c>
      <c r="J3067" s="5">
        <v>4827000000</v>
      </c>
      <c r="K3067" s="5">
        <v>12000000</v>
      </c>
      <c r="L3067" s="5">
        <v>3440000000</v>
      </c>
      <c r="M3067" s="5">
        <v>1008000000</v>
      </c>
      <c r="N3067" s="5">
        <v>313000000</v>
      </c>
    </row>
    <row r="3068" spans="1:14" x14ac:dyDescent="0.25">
      <c r="A3068" s="3" t="s">
        <v>3079</v>
      </c>
      <c r="B3068" s="4">
        <v>10</v>
      </c>
      <c r="C3068" s="4">
        <v>0.06</v>
      </c>
      <c r="D3068" s="4">
        <v>0.03</v>
      </c>
      <c r="E3068" s="4">
        <v>-1.6428979446425358E-2</v>
      </c>
      <c r="F3068" s="3">
        <v>3066</v>
      </c>
      <c r="G3068" s="3">
        <v>3</v>
      </c>
      <c r="H3068" s="5">
        <v>1677029923.5</v>
      </c>
      <c r="I3068" s="5">
        <v>1619071923.5</v>
      </c>
      <c r="J3068" s="5">
        <v>257194000</v>
      </c>
      <c r="K3068" s="5">
        <v>315152000</v>
      </c>
      <c r="L3068" s="5">
        <v>2656105000</v>
      </c>
      <c r="M3068" s="5">
        <v>161891000</v>
      </c>
      <c r="N3068" s="5">
        <v>63327000</v>
      </c>
    </row>
    <row r="3069" spans="1:14" x14ac:dyDescent="0.25">
      <c r="A3069" s="3" t="s">
        <v>3080</v>
      </c>
      <c r="B3069" s="4">
        <v>9.86</v>
      </c>
      <c r="C3069" s="4">
        <v>0.03</v>
      </c>
      <c r="D3069" s="4">
        <v>0</v>
      </c>
      <c r="E3069" s="4">
        <v>-1.6434798467442158E-2</v>
      </c>
      <c r="F3069" s="3">
        <v>3067</v>
      </c>
      <c r="G3069" s="3">
        <v>3</v>
      </c>
      <c r="H3069" s="5">
        <v>3534640602.7600002</v>
      </c>
      <c r="I3069" s="5">
        <v>10125640602.76</v>
      </c>
      <c r="J3069" s="5">
        <v>6919000000</v>
      </c>
      <c r="K3069" s="5">
        <v>328000000</v>
      </c>
      <c r="L3069" s="5">
        <v>4981000000</v>
      </c>
      <c r="M3069" s="5">
        <v>1027000000</v>
      </c>
      <c r="N3069" s="5">
        <v>47000000</v>
      </c>
    </row>
    <row r="3070" spans="1:14" x14ac:dyDescent="0.25">
      <c r="A3070" s="3" t="s">
        <v>3081</v>
      </c>
      <c r="B3070" s="4">
        <v>10.97</v>
      </c>
      <c r="C3070" s="4">
        <v>0.26</v>
      </c>
      <c r="D3070" s="4">
        <v>0.11</v>
      </c>
      <c r="E3070" s="4">
        <v>-1.6436028046132669E-2</v>
      </c>
      <c r="F3070" s="3">
        <v>3068</v>
      </c>
      <c r="G3070" s="3">
        <v>3</v>
      </c>
      <c r="H3070" s="5">
        <v>4173293291.2199998</v>
      </c>
      <c r="I3070" s="5">
        <v>5010424291.2199993</v>
      </c>
      <c r="J3070" s="5">
        <v>963862000</v>
      </c>
      <c r="K3070" s="5">
        <v>126731000</v>
      </c>
      <c r="L3070" s="5">
        <v>893477000</v>
      </c>
      <c r="M3070" s="5">
        <v>456731000</v>
      </c>
      <c r="N3070" s="5">
        <v>288864000</v>
      </c>
    </row>
    <row r="3071" spans="1:14" x14ac:dyDescent="0.25">
      <c r="A3071" s="3" t="s">
        <v>3082</v>
      </c>
      <c r="B3071" s="4">
        <v>10.27</v>
      </c>
      <c r="C3071" s="4">
        <v>0.11</v>
      </c>
      <c r="D3071" s="4">
        <v>0.1</v>
      </c>
      <c r="E3071" s="4">
        <v>-1.6438116779131619E-2</v>
      </c>
      <c r="F3071" s="3">
        <v>3069</v>
      </c>
      <c r="G3071" s="3">
        <v>3</v>
      </c>
      <c r="H3071" s="5">
        <v>273571865.39999998</v>
      </c>
      <c r="I3071" s="5">
        <v>212789865.40000001</v>
      </c>
      <c r="J3071" s="5">
        <v>0</v>
      </c>
      <c r="K3071" s="5">
        <v>60782000</v>
      </c>
      <c r="L3071" s="5">
        <v>145941000</v>
      </c>
      <c r="M3071" s="5">
        <v>20714000</v>
      </c>
      <c r="N3071" s="5">
        <v>16587000</v>
      </c>
    </row>
    <row r="3072" spans="1:14" x14ac:dyDescent="0.25">
      <c r="A3072" s="3" t="s">
        <v>3083</v>
      </c>
      <c r="B3072" s="4">
        <v>10.36</v>
      </c>
      <c r="C3072" s="4">
        <v>0.13</v>
      </c>
      <c r="D3072" s="4">
        <v>0.08</v>
      </c>
      <c r="E3072" s="4">
        <v>-1.6439890469531409E-2</v>
      </c>
      <c r="F3072" s="3">
        <v>3070</v>
      </c>
      <c r="G3072" s="3">
        <v>3</v>
      </c>
      <c r="H3072" s="5">
        <v>15136154065.559999</v>
      </c>
      <c r="I3072" s="5">
        <v>14695154065.559999</v>
      </c>
      <c r="J3072" s="5">
        <v>1962000000</v>
      </c>
      <c r="K3072" s="5">
        <v>2403000000</v>
      </c>
      <c r="L3072" s="5">
        <v>8452000000</v>
      </c>
      <c r="M3072" s="5">
        <v>1418000000</v>
      </c>
      <c r="N3072" s="5">
        <v>1180000000</v>
      </c>
    </row>
    <row r="3073" spans="1:14" x14ac:dyDescent="0.25">
      <c r="A3073" s="3" t="s">
        <v>3084</v>
      </c>
      <c r="B3073" s="4">
        <v>10.06</v>
      </c>
      <c r="C3073" s="4">
        <v>7.0000000000000007E-2</v>
      </c>
      <c r="D3073" s="4">
        <v>0.01</v>
      </c>
      <c r="E3073" s="4">
        <v>-1.644107912674838E-2</v>
      </c>
      <c r="F3073" s="3">
        <v>3071</v>
      </c>
      <c r="G3073" s="3">
        <v>3</v>
      </c>
      <c r="H3073" s="5">
        <v>2999930554.2600002</v>
      </c>
      <c r="I3073" s="5">
        <v>3158239554.2600002</v>
      </c>
      <c r="J3073" s="5">
        <v>695831000</v>
      </c>
      <c r="K3073" s="5">
        <v>537522000</v>
      </c>
      <c r="L3073" s="5">
        <v>851437000</v>
      </c>
      <c r="M3073" s="5">
        <v>313934000</v>
      </c>
      <c r="N3073" s="5">
        <v>32878000</v>
      </c>
    </row>
    <row r="3074" spans="1:14" x14ac:dyDescent="0.25">
      <c r="A3074" s="3" t="s">
        <v>3085</v>
      </c>
      <c r="B3074" s="4">
        <v>10.08</v>
      </c>
      <c r="C3074" s="4">
        <v>7.0000000000000007E-2</v>
      </c>
      <c r="D3074" s="4">
        <v>0.04</v>
      </c>
      <c r="E3074" s="4">
        <v>-1.6447670458410009E-2</v>
      </c>
      <c r="F3074" s="3">
        <v>3072</v>
      </c>
      <c r="G3074" s="3">
        <v>3</v>
      </c>
      <c r="H3074" s="5">
        <v>2387518347.6399999</v>
      </c>
      <c r="I3074" s="5">
        <v>3359449347.6399999</v>
      </c>
      <c r="J3074" s="5">
        <v>1018474000</v>
      </c>
      <c r="K3074" s="5">
        <v>46543000</v>
      </c>
      <c r="L3074" s="5">
        <v>1716596000</v>
      </c>
      <c r="M3074" s="5">
        <v>333337000</v>
      </c>
      <c r="N3074" s="5">
        <v>119896000</v>
      </c>
    </row>
    <row r="3075" spans="1:14" x14ac:dyDescent="0.25">
      <c r="A3075" s="3" t="s">
        <v>3086</v>
      </c>
      <c r="B3075" s="4">
        <v>10.17</v>
      </c>
      <c r="C3075" s="4">
        <v>0.09</v>
      </c>
      <c r="D3075" s="4">
        <v>0.02</v>
      </c>
      <c r="E3075" s="4">
        <v>-1.6449444148809809E-2</v>
      </c>
      <c r="F3075" s="3">
        <v>3073</v>
      </c>
      <c r="G3075" s="3">
        <v>3</v>
      </c>
      <c r="H3075" s="5">
        <v>10587812695.540001</v>
      </c>
      <c r="I3075" s="5">
        <v>20011072695.540001</v>
      </c>
      <c r="J3075" s="5">
        <v>9427098000</v>
      </c>
      <c r="K3075" s="5">
        <v>3838000</v>
      </c>
      <c r="L3075" s="5">
        <v>5124915000</v>
      </c>
      <c r="M3075" s="5">
        <v>1968247000</v>
      </c>
      <c r="N3075" s="5">
        <v>608806000</v>
      </c>
    </row>
    <row r="3076" spans="1:14" x14ac:dyDescent="0.25">
      <c r="A3076" s="3" t="s">
        <v>3087</v>
      </c>
      <c r="B3076" s="4">
        <v>10.15</v>
      </c>
      <c r="C3076" s="4">
        <v>0.08</v>
      </c>
      <c r="D3076" s="4">
        <v>0.02</v>
      </c>
      <c r="E3076" s="4">
        <v>-1.6465959344430112E-2</v>
      </c>
      <c r="F3076" s="3">
        <v>3074</v>
      </c>
      <c r="G3076" s="3">
        <v>3</v>
      </c>
      <c r="H3076" s="5">
        <v>35760002614.75</v>
      </c>
      <c r="I3076" s="5">
        <v>92639002614.75</v>
      </c>
      <c r="J3076" s="5">
        <v>57819000000</v>
      </c>
      <c r="K3076" s="5">
        <v>940000000</v>
      </c>
      <c r="L3076" s="5">
        <v>24419000000</v>
      </c>
      <c r="M3076" s="5">
        <v>9125000000</v>
      </c>
      <c r="N3076" s="5">
        <v>2512000000</v>
      </c>
    </row>
    <row r="3077" spans="1:14" x14ac:dyDescent="0.25">
      <c r="A3077" s="3" t="s">
        <v>3088</v>
      </c>
      <c r="B3077" s="4">
        <v>10.59</v>
      </c>
      <c r="C3077" s="4">
        <v>0.17</v>
      </c>
      <c r="D3077" s="4">
        <v>0.08</v>
      </c>
      <c r="E3077" s="4">
        <v>-1.6466667772506369E-2</v>
      </c>
      <c r="F3077" s="3">
        <v>3075</v>
      </c>
      <c r="G3077" s="3">
        <v>3</v>
      </c>
      <c r="H3077" s="5">
        <v>3686248825.1999998</v>
      </c>
      <c r="I3077" s="5">
        <v>4271048825.1999998</v>
      </c>
      <c r="J3077" s="5">
        <v>750600000</v>
      </c>
      <c r="K3077" s="5">
        <v>165800000</v>
      </c>
      <c r="L3077" s="5">
        <v>1486800000</v>
      </c>
      <c r="M3077" s="5">
        <v>403500000</v>
      </c>
      <c r="N3077" s="5">
        <v>184100000</v>
      </c>
    </row>
    <row r="3078" spans="1:14" x14ac:dyDescent="0.25">
      <c r="A3078" s="3" t="s">
        <v>3089</v>
      </c>
      <c r="B3078" s="4">
        <v>9.64</v>
      </c>
      <c r="C3078" s="4">
        <v>-0.03</v>
      </c>
      <c r="D3078" s="4">
        <v>0.01</v>
      </c>
      <c r="E3078" s="4">
        <v>-1.6470068557615711E-2</v>
      </c>
      <c r="F3078" s="3">
        <v>3076</v>
      </c>
      <c r="G3078" s="3">
        <v>3</v>
      </c>
      <c r="H3078" s="5">
        <v>35301694.875</v>
      </c>
      <c r="I3078" s="5">
        <v>43221274.875</v>
      </c>
      <c r="J3078" s="5">
        <v>8480540</v>
      </c>
      <c r="K3078" s="5">
        <v>560960</v>
      </c>
      <c r="L3078" s="5">
        <v>31986110</v>
      </c>
      <c r="M3078" s="5">
        <v>4482290</v>
      </c>
      <c r="N3078" s="5">
        <v>402100</v>
      </c>
    </row>
    <row r="3079" spans="1:14" x14ac:dyDescent="0.25">
      <c r="A3079" s="3" t="s">
        <v>3090</v>
      </c>
      <c r="B3079" s="4">
        <v>0.34</v>
      </c>
      <c r="C3079" s="4">
        <v>-1.93</v>
      </c>
      <c r="D3079" s="4">
        <v>-1.38</v>
      </c>
      <c r="E3079" s="4">
        <v>-1.647202728635401E-2</v>
      </c>
      <c r="F3079" s="3">
        <v>3077</v>
      </c>
      <c r="G3079" s="3">
        <v>3</v>
      </c>
      <c r="H3079" s="5">
        <v>23244249.952</v>
      </c>
      <c r="I3079" s="5">
        <v>-24004750.048</v>
      </c>
      <c r="J3079" s="5">
        <v>0</v>
      </c>
      <c r="K3079" s="5">
        <v>47249000</v>
      </c>
      <c r="L3079" s="5">
        <v>0</v>
      </c>
      <c r="M3079" s="5">
        <v>-70052000</v>
      </c>
      <c r="N3079" s="5">
        <v>-67555000</v>
      </c>
    </row>
    <row r="3080" spans="1:14" x14ac:dyDescent="0.25">
      <c r="A3080" s="3" t="s">
        <v>3091</v>
      </c>
      <c r="B3080" s="4">
        <v>10.57</v>
      </c>
      <c r="C3080" s="4">
        <v>0.16</v>
      </c>
      <c r="D3080" s="4">
        <v>0.1</v>
      </c>
      <c r="E3080" s="4">
        <v>-1.6479324914971651E-2</v>
      </c>
      <c r="F3080" s="3">
        <v>3078</v>
      </c>
      <c r="G3080" s="3">
        <v>3</v>
      </c>
      <c r="H3080" s="5">
        <v>109511026.69</v>
      </c>
      <c r="I3080" s="5">
        <v>90648376.689999998</v>
      </c>
      <c r="J3080" s="5">
        <v>0</v>
      </c>
      <c r="K3080" s="5">
        <v>18862650</v>
      </c>
      <c r="L3080" s="5">
        <v>43950870</v>
      </c>
      <c r="M3080" s="5">
        <v>8578200</v>
      </c>
      <c r="N3080" s="5">
        <v>8142950</v>
      </c>
    </row>
    <row r="3081" spans="1:14" x14ac:dyDescent="0.25">
      <c r="A3081" s="3" t="s">
        <v>3092</v>
      </c>
      <c r="B3081" s="4">
        <v>8.42</v>
      </c>
      <c r="C3081" s="4">
        <v>-0.28999999999999998</v>
      </c>
      <c r="D3081" s="4">
        <v>-7.0000000000000007E-2</v>
      </c>
      <c r="E3081" s="4">
        <v>-1.6481651457568209E-2</v>
      </c>
      <c r="F3081" s="3">
        <v>3079</v>
      </c>
      <c r="G3081" s="3">
        <v>3</v>
      </c>
      <c r="H3081" s="5">
        <v>4045067749.2600002</v>
      </c>
      <c r="I3081" s="5">
        <v>15662067749.26</v>
      </c>
      <c r="J3081" s="5">
        <v>12579000000</v>
      </c>
      <c r="K3081" s="5">
        <v>962000000</v>
      </c>
      <c r="L3081" s="5">
        <v>10280000000</v>
      </c>
      <c r="M3081" s="5">
        <v>1860000000</v>
      </c>
      <c r="N3081" s="5">
        <v>-1522000000</v>
      </c>
    </row>
    <row r="3082" spans="1:14" x14ac:dyDescent="0.25">
      <c r="A3082" s="3" t="s">
        <v>3093</v>
      </c>
      <c r="B3082" s="4">
        <v>9.9499999999999993</v>
      </c>
      <c r="C3082" s="4">
        <v>0.03</v>
      </c>
      <c r="D3082" s="4">
        <v>0.01</v>
      </c>
      <c r="E3082" s="4">
        <v>-1.6488572292138359E-2</v>
      </c>
      <c r="F3082" s="3">
        <v>3080</v>
      </c>
      <c r="G3082" s="3">
        <v>3</v>
      </c>
      <c r="H3082" s="5">
        <v>16745400</v>
      </c>
      <c r="I3082" s="5">
        <v>14369270</v>
      </c>
      <c r="J3082" s="5">
        <v>2790720</v>
      </c>
      <c r="K3082" s="5">
        <v>5166850</v>
      </c>
      <c r="L3082" s="5">
        <v>49864050</v>
      </c>
      <c r="M3082" s="5">
        <v>1443660</v>
      </c>
      <c r="N3082" s="5">
        <v>470990</v>
      </c>
    </row>
    <row r="3083" spans="1:14" x14ac:dyDescent="0.25">
      <c r="A3083" s="3" t="s">
        <v>3094</v>
      </c>
      <c r="B3083" s="4">
        <v>10.42</v>
      </c>
      <c r="C3083" s="4">
        <v>0.13</v>
      </c>
      <c r="D3083" s="4">
        <v>0.02</v>
      </c>
      <c r="E3083" s="4">
        <v>-1.648859986317891E-2</v>
      </c>
      <c r="F3083" s="3">
        <v>3081</v>
      </c>
      <c r="G3083" s="3">
        <v>3</v>
      </c>
      <c r="H3083" s="5">
        <v>2105540533.98</v>
      </c>
      <c r="I3083" s="5">
        <v>7568240533.9799995</v>
      </c>
      <c r="J3083" s="5">
        <v>5690900000</v>
      </c>
      <c r="K3083" s="5">
        <v>228200000</v>
      </c>
      <c r="L3083" s="5">
        <v>3079200000</v>
      </c>
      <c r="M3083" s="5">
        <v>726300000</v>
      </c>
      <c r="N3083" s="5">
        <v>138400000</v>
      </c>
    </row>
    <row r="3084" spans="1:14" x14ac:dyDescent="0.25">
      <c r="A3084" s="3" t="s">
        <v>3095</v>
      </c>
      <c r="B3084" s="4">
        <v>7.57</v>
      </c>
      <c r="C3084" s="4">
        <v>-0.47</v>
      </c>
      <c r="D3084" s="4">
        <v>-0.16</v>
      </c>
      <c r="E3084" s="4">
        <v>-1.6493015138774419E-2</v>
      </c>
      <c r="F3084" s="3">
        <v>3082</v>
      </c>
      <c r="G3084" s="3">
        <v>3</v>
      </c>
      <c r="H3084" s="5">
        <v>2517486325.8200002</v>
      </c>
      <c r="I3084" s="5">
        <v>4380486325.8199997</v>
      </c>
      <c r="J3084" s="5">
        <v>2135000000</v>
      </c>
      <c r="K3084" s="5">
        <v>272000000</v>
      </c>
      <c r="L3084" s="5">
        <v>3793000000</v>
      </c>
      <c r="M3084" s="5">
        <v>579000000</v>
      </c>
      <c r="N3084" s="5">
        <v>-910000000</v>
      </c>
    </row>
    <row r="3085" spans="1:14" x14ac:dyDescent="0.25">
      <c r="A3085" s="3" t="s">
        <v>3096</v>
      </c>
      <c r="B3085" s="4">
        <v>10.39</v>
      </c>
      <c r="C3085" s="4">
        <v>0.12</v>
      </c>
      <c r="D3085" s="4">
        <v>0.04</v>
      </c>
      <c r="E3085" s="4">
        <v>-1.6495067799947121E-2</v>
      </c>
      <c r="F3085" s="3">
        <v>3083</v>
      </c>
      <c r="G3085" s="3">
        <v>3</v>
      </c>
      <c r="H3085" s="5">
        <v>2771593269.9099998</v>
      </c>
      <c r="I3085" s="5">
        <v>4103465269.9099998</v>
      </c>
      <c r="J3085" s="5">
        <v>1381993000</v>
      </c>
      <c r="K3085" s="5">
        <v>50121000</v>
      </c>
      <c r="L3085" s="5">
        <v>1036806000</v>
      </c>
      <c r="M3085" s="5">
        <v>395131000</v>
      </c>
      <c r="N3085" s="5">
        <v>190807000</v>
      </c>
    </row>
    <row r="3086" spans="1:14" x14ac:dyDescent="0.25">
      <c r="A3086" s="3" t="s">
        <v>3097</v>
      </c>
      <c r="B3086" s="4">
        <v>-20.65</v>
      </c>
      <c r="C3086" s="4">
        <v>-6.51</v>
      </c>
      <c r="D3086" s="4">
        <v>-0.25</v>
      </c>
      <c r="E3086" s="4">
        <v>-1.6496176537552039E-2</v>
      </c>
      <c r="F3086" s="3">
        <v>3084</v>
      </c>
      <c r="G3086" s="3">
        <v>3</v>
      </c>
      <c r="H3086" s="5">
        <v>128238191.64</v>
      </c>
      <c r="I3086" s="5">
        <v>239933191.63999999</v>
      </c>
      <c r="J3086" s="5">
        <v>116241000</v>
      </c>
      <c r="K3086" s="5">
        <v>4546000</v>
      </c>
      <c r="L3086" s="5">
        <v>106662000</v>
      </c>
      <c r="M3086" s="5">
        <v>-11621000</v>
      </c>
      <c r="N3086" s="5">
        <v>-56204000</v>
      </c>
    </row>
    <row r="3087" spans="1:14" x14ac:dyDescent="0.25">
      <c r="A3087" s="3" t="s">
        <v>3098</v>
      </c>
      <c r="B3087" s="4">
        <v>10.69</v>
      </c>
      <c r="C3087" s="4">
        <v>0.18</v>
      </c>
      <c r="D3087" s="4">
        <v>0.08</v>
      </c>
      <c r="E3087" s="4">
        <v>-1.649966622246268E-2</v>
      </c>
      <c r="F3087" s="3">
        <v>3085</v>
      </c>
      <c r="G3087" s="3">
        <v>3</v>
      </c>
      <c r="H3087" s="5">
        <v>46417843409.279999</v>
      </c>
      <c r="I3087" s="5">
        <v>49076843409.279999</v>
      </c>
      <c r="J3087" s="5">
        <v>6023000000</v>
      </c>
      <c r="K3087" s="5">
        <v>3364000000</v>
      </c>
      <c r="L3087" s="5">
        <v>27829000000</v>
      </c>
      <c r="M3087" s="5">
        <v>4591000000</v>
      </c>
      <c r="N3087" s="5">
        <v>2979000000</v>
      </c>
    </row>
    <row r="3088" spans="1:14" x14ac:dyDescent="0.25">
      <c r="A3088" s="3" t="s">
        <v>3099</v>
      </c>
      <c r="B3088" s="4">
        <v>0.53</v>
      </c>
      <c r="C3088" s="4">
        <v>-1.91</v>
      </c>
      <c r="D3088" s="4">
        <v>-1.22</v>
      </c>
      <c r="E3088" s="4">
        <v>-1.650097055532947E-2</v>
      </c>
      <c r="F3088" s="3">
        <v>3086</v>
      </c>
      <c r="G3088" s="3">
        <v>3</v>
      </c>
      <c r="H3088" s="5">
        <v>87.352363999999994</v>
      </c>
      <c r="I3088" s="5">
        <v>-2849102.6476360001</v>
      </c>
      <c r="J3088" s="5">
        <v>0</v>
      </c>
      <c r="K3088" s="5">
        <v>2849190</v>
      </c>
      <c r="L3088" s="5">
        <v>0</v>
      </c>
      <c r="M3088" s="5">
        <v>-5400050</v>
      </c>
      <c r="N3088" s="5">
        <v>-4471720</v>
      </c>
    </row>
    <row r="3089" spans="1:14" x14ac:dyDescent="0.25">
      <c r="A3089" s="3" t="s">
        <v>3100</v>
      </c>
      <c r="B3089" s="4">
        <v>10.130000000000001</v>
      </c>
      <c r="C3089" s="4">
        <v>0.06</v>
      </c>
      <c r="D3089" s="4">
        <v>0.04</v>
      </c>
      <c r="E3089" s="4">
        <v>-1.6507510093909859E-2</v>
      </c>
      <c r="F3089" s="3">
        <v>3087</v>
      </c>
      <c r="G3089" s="3">
        <v>3</v>
      </c>
      <c r="H3089" s="5">
        <v>1228858690.8</v>
      </c>
      <c r="I3089" s="5">
        <v>1587164690.8</v>
      </c>
      <c r="J3089" s="5">
        <v>414325000</v>
      </c>
      <c r="K3089" s="5">
        <v>56019000</v>
      </c>
      <c r="L3089" s="5">
        <v>909186000</v>
      </c>
      <c r="M3089" s="5">
        <v>156615000</v>
      </c>
      <c r="N3089" s="5">
        <v>82267000</v>
      </c>
    </row>
    <row r="3090" spans="1:14" x14ac:dyDescent="0.25">
      <c r="A3090" s="3" t="s">
        <v>3101</v>
      </c>
      <c r="B3090" s="4">
        <v>10.66</v>
      </c>
      <c r="C3090" s="4">
        <v>0.17</v>
      </c>
      <c r="D3090" s="4">
        <v>0.04</v>
      </c>
      <c r="E3090" s="4">
        <v>-1.6517708318695919E-2</v>
      </c>
      <c r="F3090" s="3">
        <v>3088</v>
      </c>
      <c r="G3090" s="3">
        <v>3</v>
      </c>
      <c r="H3090" s="5">
        <v>3174602112</v>
      </c>
      <c r="I3090" s="5">
        <v>6664174112</v>
      </c>
      <c r="J3090" s="5">
        <v>3563482000</v>
      </c>
      <c r="K3090" s="5">
        <v>73910000</v>
      </c>
      <c r="L3090" s="5">
        <v>1529449000</v>
      </c>
      <c r="M3090" s="5">
        <v>625385000</v>
      </c>
      <c r="N3090" s="5">
        <v>209448000</v>
      </c>
    </row>
    <row r="3091" spans="1:14" x14ac:dyDescent="0.25">
      <c r="A3091" s="3" t="s">
        <v>3102</v>
      </c>
      <c r="B3091" s="4">
        <v>-15.69</v>
      </c>
      <c r="C3091" s="4">
        <v>-5.44</v>
      </c>
      <c r="D3091" s="4">
        <v>-0.54</v>
      </c>
      <c r="E3091" s="4">
        <v>-1.6530348383503129E-2</v>
      </c>
      <c r="F3091" s="3">
        <v>3089</v>
      </c>
      <c r="G3091" s="3">
        <v>3</v>
      </c>
      <c r="H3091" s="5">
        <v>3017006866.4400001</v>
      </c>
      <c r="I3091" s="5">
        <v>3337459866.4400001</v>
      </c>
      <c r="J3091" s="5">
        <v>378988000</v>
      </c>
      <c r="K3091" s="5">
        <v>58535000</v>
      </c>
      <c r="L3091" s="5">
        <v>233175000</v>
      </c>
      <c r="M3091" s="5">
        <v>-212645000</v>
      </c>
      <c r="N3091" s="5">
        <v>-321545000</v>
      </c>
    </row>
    <row r="3092" spans="1:14" x14ac:dyDescent="0.25">
      <c r="A3092" s="3" t="s">
        <v>3103</v>
      </c>
      <c r="B3092" s="4">
        <v>10.35</v>
      </c>
      <c r="C3092" s="4">
        <v>0.1</v>
      </c>
      <c r="D3092" s="4">
        <v>0.02</v>
      </c>
      <c r="E3092" s="4">
        <v>-1.6531956244342741E-2</v>
      </c>
      <c r="F3092" s="3">
        <v>3090</v>
      </c>
      <c r="G3092" s="3">
        <v>3</v>
      </c>
      <c r="H3092" s="5">
        <v>1372032205.8800001</v>
      </c>
      <c r="I3092" s="5">
        <v>969032205.88000011</v>
      </c>
      <c r="J3092" s="5">
        <v>196300000</v>
      </c>
      <c r="K3092" s="5">
        <v>599300000</v>
      </c>
      <c r="L3092" s="5">
        <v>1176500000</v>
      </c>
      <c r="M3092" s="5">
        <v>93600000</v>
      </c>
      <c r="N3092" s="5">
        <v>30900000</v>
      </c>
    </row>
    <row r="3093" spans="1:14" x14ac:dyDescent="0.25">
      <c r="A3093" s="3" t="s">
        <v>3104</v>
      </c>
      <c r="B3093" s="4">
        <v>10.56</v>
      </c>
      <c r="C3093" s="4">
        <v>0.14000000000000001</v>
      </c>
      <c r="D3093" s="4">
        <v>0.09</v>
      </c>
      <c r="E3093" s="4">
        <v>-1.6532851949880991E-2</v>
      </c>
      <c r="F3093" s="3">
        <v>3091</v>
      </c>
      <c r="G3093" s="3">
        <v>3</v>
      </c>
      <c r="H3093" s="5">
        <v>1243457679.8</v>
      </c>
      <c r="I3093" s="5">
        <v>1107925679.8</v>
      </c>
      <c r="J3093" s="5">
        <v>115043000</v>
      </c>
      <c r="K3093" s="5">
        <v>250575000</v>
      </c>
      <c r="L3093" s="5">
        <v>676368000</v>
      </c>
      <c r="M3093" s="5">
        <v>104924000</v>
      </c>
      <c r="N3093" s="5">
        <v>74052000</v>
      </c>
    </row>
    <row r="3094" spans="1:14" x14ac:dyDescent="0.25">
      <c r="A3094" s="3" t="s">
        <v>3105</v>
      </c>
      <c r="B3094" s="4">
        <v>-0.17</v>
      </c>
      <c r="C3094" s="4">
        <v>4.68</v>
      </c>
      <c r="D3094" s="4">
        <v>-102.34</v>
      </c>
      <c r="E3094" s="4">
        <v>-1.6533155885745571E-2</v>
      </c>
      <c r="F3094" s="3">
        <v>3092</v>
      </c>
      <c r="G3094" s="3">
        <v>3</v>
      </c>
      <c r="H3094" s="5">
        <v>711670.52</v>
      </c>
      <c r="I3094" s="5">
        <v>992910.52</v>
      </c>
      <c r="J3094" s="5">
        <v>281520</v>
      </c>
      <c r="K3094" s="5">
        <v>280</v>
      </c>
      <c r="L3094" s="5">
        <v>50080</v>
      </c>
      <c r="M3094" s="5">
        <v>-5893890</v>
      </c>
      <c r="N3094" s="5">
        <v>-10027090</v>
      </c>
    </row>
    <row r="3095" spans="1:14" x14ac:dyDescent="0.25">
      <c r="A3095" s="3" t="s">
        <v>3106</v>
      </c>
      <c r="B3095" s="4">
        <v>9.92</v>
      </c>
      <c r="C3095" s="4">
        <v>0</v>
      </c>
      <c r="D3095" s="4">
        <v>0</v>
      </c>
      <c r="E3095" s="4">
        <v>-1.6558614522668009E-2</v>
      </c>
      <c r="F3095" s="3">
        <v>3093</v>
      </c>
      <c r="G3095" s="3">
        <v>3</v>
      </c>
      <c r="H3095" s="5">
        <v>6367999.2000000002</v>
      </c>
      <c r="I3095" s="5">
        <v>9419999.1999999993</v>
      </c>
      <c r="J3095" s="5">
        <v>8794000</v>
      </c>
      <c r="K3095" s="5">
        <v>5742000</v>
      </c>
      <c r="L3095" s="5">
        <v>19279000</v>
      </c>
      <c r="M3095" s="5">
        <v>950000</v>
      </c>
      <c r="N3095" s="5">
        <v>32000</v>
      </c>
    </row>
    <row r="3096" spans="1:14" x14ac:dyDescent="0.25">
      <c r="A3096" s="3" t="s">
        <v>3107</v>
      </c>
      <c r="B3096" s="4">
        <v>10.51</v>
      </c>
      <c r="C3096" s="4">
        <v>0.12</v>
      </c>
      <c r="D3096" s="4">
        <v>0.09</v>
      </c>
      <c r="E3096" s="4">
        <v>-1.6559693135424519E-2</v>
      </c>
      <c r="F3096" s="3">
        <v>3094</v>
      </c>
      <c r="G3096" s="3">
        <v>3</v>
      </c>
      <c r="H3096" s="5">
        <v>14470417010.25</v>
      </c>
      <c r="I3096" s="5">
        <v>15294817010.25</v>
      </c>
      <c r="J3096" s="5">
        <v>1142500000</v>
      </c>
      <c r="K3096" s="5">
        <v>318100000</v>
      </c>
      <c r="L3096" s="5">
        <v>13835000000</v>
      </c>
      <c r="M3096" s="5">
        <v>1454700000</v>
      </c>
      <c r="N3096" s="5">
        <v>875200000</v>
      </c>
    </row>
    <row r="3097" spans="1:14" x14ac:dyDescent="0.25">
      <c r="A3097" s="3" t="s">
        <v>3108</v>
      </c>
      <c r="B3097" s="4">
        <v>0.01</v>
      </c>
      <c r="C3097" s="4">
        <v>-2.0299999999999998</v>
      </c>
      <c r="D3097" s="4">
        <v>-1.41</v>
      </c>
      <c r="E3097" s="4">
        <v>-1.6562506648227549E-2</v>
      </c>
      <c r="F3097" s="3">
        <v>3095</v>
      </c>
      <c r="G3097" s="3">
        <v>3</v>
      </c>
      <c r="H3097" s="5">
        <v>58620837.277199998</v>
      </c>
      <c r="I3097" s="5">
        <v>-1410162.722800002</v>
      </c>
      <c r="J3097" s="5">
        <v>0</v>
      </c>
      <c r="K3097" s="5">
        <v>60031000</v>
      </c>
      <c r="L3097" s="5">
        <v>0</v>
      </c>
      <c r="M3097" s="5">
        <v>-94924000</v>
      </c>
      <c r="N3097" s="5">
        <v>-95491000</v>
      </c>
    </row>
    <row r="3098" spans="1:14" x14ac:dyDescent="0.25">
      <c r="A3098" s="3" t="s">
        <v>3109</v>
      </c>
      <c r="B3098" s="4">
        <v>-1.25</v>
      </c>
      <c r="C3098" s="4">
        <v>-2.38</v>
      </c>
      <c r="D3098" s="4">
        <v>-0.28000000000000003</v>
      </c>
      <c r="E3098" s="4">
        <v>-1.657596297264366E-2</v>
      </c>
      <c r="F3098" s="3">
        <v>3096</v>
      </c>
      <c r="G3098" s="3">
        <v>3</v>
      </c>
      <c r="H3098" s="5">
        <v>84693321.900000006</v>
      </c>
      <c r="I3098" s="5">
        <v>150994321.90000001</v>
      </c>
      <c r="J3098" s="5">
        <v>200604000</v>
      </c>
      <c r="K3098" s="5">
        <v>134303000</v>
      </c>
      <c r="L3098" s="5">
        <v>681849000</v>
      </c>
      <c r="M3098" s="5">
        <v>-121155000</v>
      </c>
      <c r="N3098" s="5">
        <v>-145518000</v>
      </c>
    </row>
    <row r="3099" spans="1:14" x14ac:dyDescent="0.25">
      <c r="A3099" s="3" t="s">
        <v>3110</v>
      </c>
      <c r="B3099" s="4">
        <v>10.31</v>
      </c>
      <c r="C3099" s="4">
        <v>7.0000000000000007E-2</v>
      </c>
      <c r="D3099" s="4">
        <v>0.03</v>
      </c>
      <c r="E3099" s="4">
        <v>-1.6591951216020299E-2</v>
      </c>
      <c r="F3099" s="3">
        <v>3097</v>
      </c>
      <c r="G3099" s="3">
        <v>3</v>
      </c>
      <c r="H3099" s="5">
        <v>31864815725.860001</v>
      </c>
      <c r="I3099" s="5">
        <v>41364815725.860001</v>
      </c>
      <c r="J3099" s="5">
        <v>11721000000</v>
      </c>
      <c r="K3099" s="5">
        <v>2221000000</v>
      </c>
      <c r="L3099" s="5">
        <v>117761000000</v>
      </c>
      <c r="M3099" s="5">
        <v>4011000000</v>
      </c>
      <c r="N3099" s="5">
        <v>1207000000</v>
      </c>
    </row>
    <row r="3100" spans="1:14" x14ac:dyDescent="0.25">
      <c r="A3100" s="3" t="s">
        <v>3111</v>
      </c>
      <c r="B3100" s="4">
        <v>10.029999999999999</v>
      </c>
      <c r="C3100" s="4">
        <v>0.01</v>
      </c>
      <c r="D3100" s="4">
        <v>0</v>
      </c>
      <c r="E3100" s="4">
        <v>-1.6597802178321401E-2</v>
      </c>
      <c r="F3100" s="3">
        <v>3098</v>
      </c>
      <c r="G3100" s="3">
        <v>3</v>
      </c>
      <c r="H3100" s="5">
        <v>956814749.73000002</v>
      </c>
      <c r="I3100" s="5">
        <v>1590201749.73</v>
      </c>
      <c r="J3100" s="5">
        <v>705061000</v>
      </c>
      <c r="K3100" s="5">
        <v>71674000</v>
      </c>
      <c r="L3100" s="5">
        <v>1393921000</v>
      </c>
      <c r="M3100" s="5">
        <v>158526000</v>
      </c>
      <c r="N3100" s="5">
        <v>6550000</v>
      </c>
    </row>
    <row r="3101" spans="1:14" x14ac:dyDescent="0.25">
      <c r="A3101" s="3" t="s">
        <v>3112</v>
      </c>
      <c r="B3101" s="4">
        <v>10.34</v>
      </c>
      <c r="C3101" s="4">
        <v>7.0000000000000007E-2</v>
      </c>
      <c r="D3101" s="4">
        <v>0.06</v>
      </c>
      <c r="E3101" s="4">
        <v>-1.660473175337902E-2</v>
      </c>
      <c r="F3101" s="3">
        <v>3099</v>
      </c>
      <c r="G3101" s="3">
        <v>3</v>
      </c>
      <c r="H3101" s="5">
        <v>912000000</v>
      </c>
      <c r="I3101" s="5">
        <v>860114000</v>
      </c>
      <c r="J3101" s="5">
        <v>0</v>
      </c>
      <c r="K3101" s="5">
        <v>51886000</v>
      </c>
      <c r="L3101" s="5">
        <v>100384000</v>
      </c>
      <c r="M3101" s="5">
        <v>83199000</v>
      </c>
      <c r="N3101" s="5">
        <v>73778000</v>
      </c>
    </row>
    <row r="3102" spans="1:14" x14ac:dyDescent="0.25">
      <c r="A3102" s="3" t="s">
        <v>3113</v>
      </c>
      <c r="B3102" s="4">
        <v>10.53</v>
      </c>
      <c r="C3102" s="4">
        <v>0.11</v>
      </c>
      <c r="D3102" s="4">
        <v>7.0000000000000007E-2</v>
      </c>
      <c r="E3102" s="4">
        <v>-1.660482320698815E-2</v>
      </c>
      <c r="F3102" s="3">
        <v>3100</v>
      </c>
      <c r="G3102" s="3">
        <v>3</v>
      </c>
      <c r="H3102" s="5">
        <v>972442326.42999995</v>
      </c>
      <c r="I3102" s="5">
        <v>1071869326.4299999</v>
      </c>
      <c r="J3102" s="5">
        <v>138964000</v>
      </c>
      <c r="K3102" s="5">
        <v>39537000</v>
      </c>
      <c r="L3102" s="5">
        <v>498207000</v>
      </c>
      <c r="M3102" s="5">
        <v>101795000</v>
      </c>
      <c r="N3102" s="5">
        <v>53515000</v>
      </c>
    </row>
    <row r="3103" spans="1:14" x14ac:dyDescent="0.25">
      <c r="A3103" s="3" t="s">
        <v>3114</v>
      </c>
      <c r="B3103" s="4">
        <v>10.48</v>
      </c>
      <c r="C3103" s="4">
        <v>0.1</v>
      </c>
      <c r="D3103" s="4">
        <v>0.05</v>
      </c>
      <c r="E3103" s="4">
        <v>-1.6606628838672231E-2</v>
      </c>
      <c r="F3103" s="3">
        <v>3101</v>
      </c>
      <c r="G3103" s="3">
        <v>3</v>
      </c>
      <c r="H3103" s="5">
        <v>10464275833.440001</v>
      </c>
      <c r="I3103" s="5">
        <v>13492379833.440001</v>
      </c>
      <c r="J3103" s="5">
        <v>3545811000</v>
      </c>
      <c r="K3103" s="5">
        <v>517707000</v>
      </c>
      <c r="L3103" s="5">
        <v>3991168000</v>
      </c>
      <c r="M3103" s="5">
        <v>1287264000</v>
      </c>
      <c r="N3103" s="5">
        <v>504918000</v>
      </c>
    </row>
    <row r="3104" spans="1:14" x14ac:dyDescent="0.25">
      <c r="A3104" s="3" t="s">
        <v>3115</v>
      </c>
      <c r="B3104" s="4">
        <v>9.76</v>
      </c>
      <c r="C3104" s="4">
        <v>-0.05</v>
      </c>
      <c r="D3104" s="4">
        <v>-0.03</v>
      </c>
      <c r="E3104" s="4">
        <v>-1.660984234631957E-2</v>
      </c>
      <c r="F3104" s="3">
        <v>3102</v>
      </c>
      <c r="G3104" s="3">
        <v>3</v>
      </c>
      <c r="H3104" s="5">
        <v>4295620699.5</v>
      </c>
      <c r="I3104" s="5">
        <v>10887620699.5</v>
      </c>
      <c r="J3104" s="5">
        <v>7152000000</v>
      </c>
      <c r="K3104" s="5">
        <v>560000000</v>
      </c>
      <c r="L3104" s="5">
        <v>3524000000</v>
      </c>
      <c r="M3104" s="5">
        <v>1115000000</v>
      </c>
      <c r="N3104" s="5">
        <v>-512000000</v>
      </c>
    </row>
    <row r="3105" spans="1:14" x14ac:dyDescent="0.25">
      <c r="A3105" s="3" t="s">
        <v>3116</v>
      </c>
      <c r="B3105" s="4">
        <v>10.63</v>
      </c>
      <c r="C3105" s="4">
        <v>0.13</v>
      </c>
      <c r="D3105" s="4">
        <v>0.06</v>
      </c>
      <c r="E3105" s="4">
        <v>-1.6610857076507519E-2</v>
      </c>
      <c r="F3105" s="3">
        <v>3103</v>
      </c>
      <c r="G3105" s="3">
        <v>3</v>
      </c>
      <c r="H3105" s="5">
        <v>529336335.5</v>
      </c>
      <c r="I3105" s="5">
        <v>970747335.5</v>
      </c>
      <c r="J3105" s="5">
        <v>455709000</v>
      </c>
      <c r="K3105" s="5">
        <v>14298000</v>
      </c>
      <c r="L3105" s="5">
        <v>156846000</v>
      </c>
      <c r="M3105" s="5">
        <v>91279000</v>
      </c>
      <c r="N3105" s="5">
        <v>65319000</v>
      </c>
    </row>
    <row r="3106" spans="1:14" x14ac:dyDescent="0.25">
      <c r="A3106" s="3" t="s">
        <v>3117</v>
      </c>
      <c r="B3106" s="4">
        <v>11.43</v>
      </c>
      <c r="C3106" s="4">
        <v>0.3</v>
      </c>
      <c r="D3106" s="4">
        <v>0.08</v>
      </c>
      <c r="E3106" s="4">
        <v>-1.6610944159872919E-2</v>
      </c>
      <c r="F3106" s="3">
        <v>3104</v>
      </c>
      <c r="G3106" s="3">
        <v>3</v>
      </c>
      <c r="H3106" s="5">
        <v>13489592160.879999</v>
      </c>
      <c r="I3106" s="5">
        <v>16312692160.879999</v>
      </c>
      <c r="J3106" s="5">
        <v>3152200000</v>
      </c>
      <c r="K3106" s="5">
        <v>329100000</v>
      </c>
      <c r="L3106" s="5">
        <v>8755700000</v>
      </c>
      <c r="M3106" s="5">
        <v>1427600000</v>
      </c>
      <c r="N3106" s="5">
        <v>704900000</v>
      </c>
    </row>
    <row r="3107" spans="1:14" x14ac:dyDescent="0.25">
      <c r="A3107" s="3" t="s">
        <v>3118</v>
      </c>
      <c r="B3107" s="4">
        <v>-0.49</v>
      </c>
      <c r="C3107" s="4">
        <v>-2.2200000000000002</v>
      </c>
      <c r="D3107" s="4">
        <v>-0.46</v>
      </c>
      <c r="E3107" s="4">
        <v>-1.6618767371785321E-2</v>
      </c>
      <c r="F3107" s="3">
        <v>3105</v>
      </c>
      <c r="G3107" s="3">
        <v>3</v>
      </c>
      <c r="H3107" s="5">
        <v>27.950785</v>
      </c>
      <c r="I3107" s="5">
        <v>11495027.950785</v>
      </c>
      <c r="J3107" s="5">
        <v>32292000</v>
      </c>
      <c r="K3107" s="5">
        <v>20797000</v>
      </c>
      <c r="L3107" s="5">
        <v>12169000</v>
      </c>
      <c r="M3107" s="5">
        <v>-23383000</v>
      </c>
      <c r="N3107" s="5">
        <v>-31035000</v>
      </c>
    </row>
    <row r="3108" spans="1:14" x14ac:dyDescent="0.25">
      <c r="A3108" s="3" t="s">
        <v>3119</v>
      </c>
      <c r="B3108" s="4">
        <v>11.38</v>
      </c>
      <c r="C3108" s="4">
        <v>0.28000000000000003</v>
      </c>
      <c r="D3108" s="4">
        <v>0.16</v>
      </c>
      <c r="E3108" s="4">
        <v>-1.6622353132796391E-2</v>
      </c>
      <c r="F3108" s="3">
        <v>3106</v>
      </c>
      <c r="G3108" s="3">
        <v>3</v>
      </c>
      <c r="H3108" s="5">
        <v>9193873122.5400009</v>
      </c>
      <c r="I3108" s="5">
        <v>9147473122.5400009</v>
      </c>
      <c r="J3108" s="5">
        <v>193200000</v>
      </c>
      <c r="K3108" s="5">
        <v>239600000</v>
      </c>
      <c r="L3108" s="5">
        <v>3818100000</v>
      </c>
      <c r="M3108" s="5">
        <v>804100000</v>
      </c>
      <c r="N3108" s="5">
        <v>533600000</v>
      </c>
    </row>
    <row r="3109" spans="1:14" x14ac:dyDescent="0.25">
      <c r="A3109" s="3" t="s">
        <v>3120</v>
      </c>
      <c r="B3109" s="4">
        <v>11.42</v>
      </c>
      <c r="C3109" s="4">
        <v>0.28999999999999998</v>
      </c>
      <c r="D3109" s="4">
        <v>0.1</v>
      </c>
      <c r="E3109" s="4">
        <v>-1.6629790508035279E-2</v>
      </c>
      <c r="F3109" s="3">
        <v>3107</v>
      </c>
      <c r="G3109" s="3">
        <v>3</v>
      </c>
      <c r="H3109" s="5">
        <v>7765212760.25</v>
      </c>
      <c r="I3109" s="5">
        <v>7508622760.25</v>
      </c>
      <c r="J3109" s="5">
        <v>8569000</v>
      </c>
      <c r="K3109" s="5">
        <v>265159000</v>
      </c>
      <c r="L3109" s="5">
        <v>7719290000</v>
      </c>
      <c r="M3109" s="5">
        <v>657557000</v>
      </c>
      <c r="N3109" s="5">
        <v>380601000</v>
      </c>
    </row>
    <row r="3110" spans="1:14" x14ac:dyDescent="0.25">
      <c r="A3110" s="3" t="s">
        <v>3121</v>
      </c>
      <c r="B3110" s="4">
        <v>-0.44</v>
      </c>
      <c r="C3110" s="4">
        <v>-2.15</v>
      </c>
      <c r="D3110" s="4">
        <v>-1.43</v>
      </c>
      <c r="E3110" s="4">
        <v>-1.6634573729187571E-2</v>
      </c>
      <c r="F3110" s="3">
        <v>3108</v>
      </c>
      <c r="G3110" s="3">
        <v>3</v>
      </c>
      <c r="H3110" s="5">
        <v>6174363.5199999996</v>
      </c>
      <c r="I3110" s="5">
        <v>2973943.52</v>
      </c>
      <c r="J3110" s="5">
        <v>301660</v>
      </c>
      <c r="K3110" s="5">
        <v>3502080</v>
      </c>
      <c r="L3110" s="5">
        <v>5210030</v>
      </c>
      <c r="M3110" s="5">
        <v>-6730140</v>
      </c>
      <c r="N3110" s="5">
        <v>-7986940</v>
      </c>
    </row>
    <row r="3111" spans="1:14" x14ac:dyDescent="0.25">
      <c r="A3111" s="3" t="s">
        <v>3122</v>
      </c>
      <c r="B3111" s="4">
        <v>-0.49</v>
      </c>
      <c r="C3111" s="4">
        <v>-2.19</v>
      </c>
      <c r="D3111" s="4">
        <v>-1.01</v>
      </c>
      <c r="E3111" s="4">
        <v>-1.6638183012504769E-2</v>
      </c>
      <c r="F3111" s="3">
        <v>3109</v>
      </c>
      <c r="G3111" s="3">
        <v>3</v>
      </c>
      <c r="H3111" s="5">
        <v>44179601.950000003</v>
      </c>
      <c r="I3111" s="5">
        <v>20265601.949999999</v>
      </c>
      <c r="J3111" s="5">
        <v>6354000</v>
      </c>
      <c r="K3111" s="5">
        <v>30268000</v>
      </c>
      <c r="L3111" s="5">
        <v>0</v>
      </c>
      <c r="M3111" s="5">
        <v>-41637000</v>
      </c>
      <c r="N3111" s="5">
        <v>-41843000</v>
      </c>
    </row>
    <row r="3112" spans="1:14" x14ac:dyDescent="0.25">
      <c r="A3112" s="3" t="s">
        <v>3123</v>
      </c>
      <c r="B3112" s="4">
        <v>10.3</v>
      </c>
      <c r="C3112" s="4">
        <v>0.05</v>
      </c>
      <c r="D3112" s="4">
        <v>0.01</v>
      </c>
      <c r="E3112" s="4">
        <v>-1.6647407277507149E-2</v>
      </c>
      <c r="F3112" s="3">
        <v>3110</v>
      </c>
      <c r="G3112" s="3">
        <v>3</v>
      </c>
      <c r="H3112" s="5">
        <v>1236485819.4300001</v>
      </c>
      <c r="I3112" s="5">
        <v>3306655819.4299998</v>
      </c>
      <c r="J3112" s="5">
        <v>2455635000</v>
      </c>
      <c r="K3112" s="5">
        <v>385465000</v>
      </c>
      <c r="L3112" s="5">
        <v>767923000</v>
      </c>
      <c r="M3112" s="5">
        <v>321059000</v>
      </c>
      <c r="N3112" s="5">
        <v>51642000</v>
      </c>
    </row>
    <row r="3113" spans="1:14" x14ac:dyDescent="0.25">
      <c r="A3113" s="3" t="s">
        <v>3124</v>
      </c>
      <c r="B3113" s="4">
        <v>0.1</v>
      </c>
      <c r="C3113" s="4">
        <v>-2.04</v>
      </c>
      <c r="D3113" s="4">
        <v>-1.43</v>
      </c>
      <c r="E3113" s="4">
        <v>-1.665096115967072E-2</v>
      </c>
      <c r="F3113" s="3">
        <v>3111</v>
      </c>
      <c r="G3113" s="3">
        <v>3</v>
      </c>
      <c r="H3113" s="5">
        <v>4225712.4000000004</v>
      </c>
      <c r="I3113" s="5">
        <v>-802287.59999999963</v>
      </c>
      <c r="J3113" s="5">
        <v>0</v>
      </c>
      <c r="K3113" s="5">
        <v>5028000</v>
      </c>
      <c r="L3113" s="5">
        <v>0</v>
      </c>
      <c r="M3113" s="5">
        <v>-8231000</v>
      </c>
      <c r="N3113" s="5">
        <v>-8207000</v>
      </c>
    </row>
    <row r="3114" spans="1:14" x14ac:dyDescent="0.25">
      <c r="A3114" s="3" t="s">
        <v>3125</v>
      </c>
      <c r="B3114" s="4">
        <v>0.03</v>
      </c>
      <c r="C3114" s="4">
        <v>-2.08</v>
      </c>
      <c r="D3114" s="4">
        <v>-1.08</v>
      </c>
      <c r="E3114" s="4">
        <v>-1.6655695217636299E-2</v>
      </c>
      <c r="F3114" s="3">
        <v>3112</v>
      </c>
      <c r="G3114" s="3">
        <v>3</v>
      </c>
      <c r="H3114" s="5">
        <v>17719377.600000001</v>
      </c>
      <c r="I3114" s="5">
        <v>-463622.39999999851</v>
      </c>
      <c r="J3114" s="5">
        <v>1350000</v>
      </c>
      <c r="K3114" s="5">
        <v>19533000</v>
      </c>
      <c r="L3114" s="5">
        <v>0</v>
      </c>
      <c r="M3114" s="5">
        <v>-17529000</v>
      </c>
      <c r="N3114" s="5">
        <v>-24515000</v>
      </c>
    </row>
    <row r="3115" spans="1:14" x14ac:dyDescent="0.25">
      <c r="A3115" s="3" t="s">
        <v>3126</v>
      </c>
      <c r="B3115" s="4">
        <v>11.59</v>
      </c>
      <c r="C3115" s="4">
        <v>0.32</v>
      </c>
      <c r="D3115" s="4">
        <v>0.06</v>
      </c>
      <c r="E3115" s="4">
        <v>-1.6656042290152249E-2</v>
      </c>
      <c r="F3115" s="3">
        <v>3113</v>
      </c>
      <c r="G3115" s="3">
        <v>3</v>
      </c>
      <c r="H3115" s="5">
        <v>18479077887.27</v>
      </c>
      <c r="I3115" s="5">
        <v>24921515887.27</v>
      </c>
      <c r="J3115" s="5">
        <v>7996080000</v>
      </c>
      <c r="K3115" s="5">
        <v>1553642000</v>
      </c>
      <c r="L3115" s="5">
        <v>3974589000</v>
      </c>
      <c r="M3115" s="5">
        <v>2149935000</v>
      </c>
      <c r="N3115" s="5">
        <v>1003746000</v>
      </c>
    </row>
    <row r="3116" spans="1:14" x14ac:dyDescent="0.25">
      <c r="A3116" s="3" t="s">
        <v>3127</v>
      </c>
      <c r="B3116" s="4">
        <v>9.66</v>
      </c>
      <c r="C3116" s="4">
        <v>-0.09</v>
      </c>
      <c r="D3116" s="4">
        <v>-0.02</v>
      </c>
      <c r="E3116" s="4">
        <v>-1.6661595690829121E-2</v>
      </c>
      <c r="F3116" s="3">
        <v>3114</v>
      </c>
      <c r="G3116" s="3">
        <v>3</v>
      </c>
      <c r="H3116" s="5">
        <v>1017754928</v>
      </c>
      <c r="I3116" s="5">
        <v>2443882928</v>
      </c>
      <c r="J3116" s="5">
        <v>1591884000</v>
      </c>
      <c r="K3116" s="5">
        <v>165756000</v>
      </c>
      <c r="L3116" s="5">
        <v>6116462000</v>
      </c>
      <c r="M3116" s="5">
        <v>253099000</v>
      </c>
      <c r="N3116" s="5">
        <v>-101816000</v>
      </c>
    </row>
    <row r="3117" spans="1:14" x14ac:dyDescent="0.25">
      <c r="A3117" s="3" t="s">
        <v>3128</v>
      </c>
      <c r="B3117" s="4">
        <v>10.52</v>
      </c>
      <c r="C3117" s="4">
        <v>0.09</v>
      </c>
      <c r="D3117" s="4">
        <v>0.02</v>
      </c>
      <c r="E3117" s="4">
        <v>-1.6666066348207519E-2</v>
      </c>
      <c r="F3117" s="3">
        <v>3115</v>
      </c>
      <c r="G3117" s="3">
        <v>3</v>
      </c>
      <c r="H3117" s="5">
        <v>3691578094.79</v>
      </c>
      <c r="I3117" s="5">
        <v>5476178094.79</v>
      </c>
      <c r="J3117" s="5">
        <v>2072400000</v>
      </c>
      <c r="K3117" s="5">
        <v>287800000</v>
      </c>
      <c r="L3117" s="5">
        <v>7175400000</v>
      </c>
      <c r="M3117" s="5">
        <v>520600000</v>
      </c>
      <c r="N3117" s="5">
        <v>110800000</v>
      </c>
    </row>
    <row r="3118" spans="1:14" x14ac:dyDescent="0.25">
      <c r="A3118" s="3" t="s">
        <v>3129</v>
      </c>
      <c r="B3118" s="4">
        <v>0.61</v>
      </c>
      <c r="C3118" s="4">
        <v>-1.94</v>
      </c>
      <c r="D3118" s="4">
        <v>-1.38</v>
      </c>
      <c r="E3118" s="4">
        <v>-1.6668029447189561E-2</v>
      </c>
      <c r="F3118" s="3">
        <v>3116</v>
      </c>
      <c r="G3118" s="3">
        <v>3</v>
      </c>
      <c r="H3118" s="5">
        <v>4872.4970000000003</v>
      </c>
      <c r="I3118" s="5">
        <v>-25446127.502999999</v>
      </c>
      <c r="J3118" s="5">
        <v>0</v>
      </c>
      <c r="K3118" s="5">
        <v>25451000</v>
      </c>
      <c r="L3118" s="5">
        <v>0</v>
      </c>
      <c r="M3118" s="5">
        <v>-41774000</v>
      </c>
      <c r="N3118" s="5">
        <v>-39650000</v>
      </c>
    </row>
    <row r="3119" spans="1:14" x14ac:dyDescent="0.25">
      <c r="A3119" s="3" t="s">
        <v>3130</v>
      </c>
      <c r="B3119" s="4">
        <v>10.73</v>
      </c>
      <c r="C3119" s="4">
        <v>0.13</v>
      </c>
      <c r="D3119" s="4">
        <v>0.08</v>
      </c>
      <c r="E3119" s="4">
        <v>-1.6668891080323281E-2</v>
      </c>
      <c r="F3119" s="3">
        <v>3117</v>
      </c>
      <c r="G3119" s="3">
        <v>3</v>
      </c>
      <c r="H3119" s="5">
        <v>1265510431.46</v>
      </c>
      <c r="I3119" s="5">
        <v>1927248431.46</v>
      </c>
      <c r="J3119" s="5">
        <v>850851000</v>
      </c>
      <c r="K3119" s="5">
        <v>189113000</v>
      </c>
      <c r="L3119" s="5">
        <v>285133000</v>
      </c>
      <c r="M3119" s="5">
        <v>179536000</v>
      </c>
      <c r="N3119" s="5">
        <v>188071000</v>
      </c>
    </row>
    <row r="3120" spans="1:14" x14ac:dyDescent="0.25">
      <c r="A3120" s="3" t="s">
        <v>3131</v>
      </c>
      <c r="B3120" s="4">
        <v>-0.95</v>
      </c>
      <c r="C3120" s="4">
        <v>-2.25</v>
      </c>
      <c r="D3120" s="4">
        <v>-1.75</v>
      </c>
      <c r="E3120" s="4">
        <v>-1.6669589159261391E-2</v>
      </c>
      <c r="F3120" s="3">
        <v>3118</v>
      </c>
      <c r="G3120" s="3">
        <v>3</v>
      </c>
      <c r="H3120" s="5">
        <v>83310971.219999999</v>
      </c>
      <c r="I3120" s="5">
        <v>79453941.219999999</v>
      </c>
      <c r="J3120" s="5">
        <v>0</v>
      </c>
      <c r="K3120" s="5">
        <v>3857030</v>
      </c>
      <c r="L3120" s="5">
        <v>0</v>
      </c>
      <c r="M3120" s="5">
        <v>-83891040</v>
      </c>
      <c r="N3120" s="5">
        <v>-79979350</v>
      </c>
    </row>
    <row r="3121" spans="1:14" x14ac:dyDescent="0.25">
      <c r="A3121" s="3" t="s">
        <v>3132</v>
      </c>
      <c r="B3121" s="4">
        <v>9.77</v>
      </c>
      <c r="C3121" s="4">
        <v>-7.0000000000000007E-2</v>
      </c>
      <c r="D3121" s="4">
        <v>-0.02</v>
      </c>
      <c r="E3121" s="4">
        <v>-1.6671889739468052E-2</v>
      </c>
      <c r="F3121" s="3">
        <v>3119</v>
      </c>
      <c r="G3121" s="3">
        <v>3</v>
      </c>
      <c r="H3121" s="5">
        <v>9455266260</v>
      </c>
      <c r="I3121" s="5">
        <v>20535266260</v>
      </c>
      <c r="J3121" s="5">
        <v>11830000000</v>
      </c>
      <c r="K3121" s="5">
        <v>750000000</v>
      </c>
      <c r="L3121" s="5">
        <v>5937000000</v>
      </c>
      <c r="M3121" s="5">
        <v>2102000000</v>
      </c>
      <c r="N3121" s="5">
        <v>-322000000</v>
      </c>
    </row>
    <row r="3122" spans="1:14" x14ac:dyDescent="0.25">
      <c r="A3122" s="3" t="s">
        <v>3133</v>
      </c>
      <c r="B3122" s="4">
        <v>7.85</v>
      </c>
      <c r="C3122" s="4">
        <v>-0.48</v>
      </c>
      <c r="D3122" s="4">
        <v>-0.08</v>
      </c>
      <c r="E3122" s="4">
        <v>-1.6679774292687001E-2</v>
      </c>
      <c r="F3122" s="3">
        <v>3120</v>
      </c>
      <c r="G3122" s="3">
        <v>3</v>
      </c>
      <c r="H3122" s="5">
        <v>318414921.01999998</v>
      </c>
      <c r="I3122" s="5">
        <v>2289005921.02</v>
      </c>
      <c r="J3122" s="5">
        <v>2021174000</v>
      </c>
      <c r="K3122" s="5">
        <v>50583000</v>
      </c>
      <c r="L3122" s="5">
        <v>1932454000</v>
      </c>
      <c r="M3122" s="5">
        <v>291756000</v>
      </c>
      <c r="N3122" s="5">
        <v>-251251000</v>
      </c>
    </row>
    <row r="3123" spans="1:14" x14ac:dyDescent="0.25">
      <c r="A3123" s="3" t="s">
        <v>3134</v>
      </c>
      <c r="B3123" s="4">
        <v>10.17</v>
      </c>
      <c r="C3123" s="4">
        <v>0.01</v>
      </c>
      <c r="D3123" s="4">
        <v>0</v>
      </c>
      <c r="E3123" s="4">
        <v>-1.6684451058080481E-2</v>
      </c>
      <c r="F3123" s="3">
        <v>3121</v>
      </c>
      <c r="G3123" s="3">
        <v>3</v>
      </c>
      <c r="H3123" s="5">
        <v>805075934.85000002</v>
      </c>
      <c r="I3123" s="5">
        <v>1012975934.85</v>
      </c>
      <c r="J3123" s="5">
        <v>402700000</v>
      </c>
      <c r="K3123" s="5">
        <v>194800000</v>
      </c>
      <c r="L3123" s="5">
        <v>398800000</v>
      </c>
      <c r="M3123" s="5">
        <v>99600000</v>
      </c>
      <c r="N3123" s="5">
        <v>2200000</v>
      </c>
    </row>
    <row r="3124" spans="1:14" x14ac:dyDescent="0.25">
      <c r="A3124" s="3" t="s">
        <v>3135</v>
      </c>
      <c r="B3124" s="4">
        <v>10.41</v>
      </c>
      <c r="C3124" s="4">
        <v>0.06</v>
      </c>
      <c r="D3124" s="4">
        <v>0.02</v>
      </c>
      <c r="E3124" s="4">
        <v>-1.6684665906583039E-2</v>
      </c>
      <c r="F3124" s="3">
        <v>3122</v>
      </c>
      <c r="G3124" s="3">
        <v>3</v>
      </c>
      <c r="H3124" s="5">
        <v>2016973625.02</v>
      </c>
      <c r="I3124" s="5">
        <v>6180973625.0200005</v>
      </c>
      <c r="J3124" s="5">
        <v>4566000000</v>
      </c>
      <c r="K3124" s="5">
        <v>402000000</v>
      </c>
      <c r="L3124" s="5">
        <v>2599000000</v>
      </c>
      <c r="M3124" s="5">
        <v>594000000</v>
      </c>
      <c r="N3124" s="5">
        <v>212000000</v>
      </c>
    </row>
    <row r="3125" spans="1:14" x14ac:dyDescent="0.25">
      <c r="A3125" s="3" t="s">
        <v>3136</v>
      </c>
      <c r="B3125" s="4">
        <v>11.59</v>
      </c>
      <c r="C3125" s="4">
        <v>0.31</v>
      </c>
      <c r="D3125" s="4">
        <v>0.06</v>
      </c>
      <c r="E3125" s="4">
        <v>-1.668493589716671E-2</v>
      </c>
      <c r="F3125" s="3">
        <v>3123</v>
      </c>
      <c r="G3125" s="3">
        <v>3</v>
      </c>
      <c r="H3125" s="5">
        <v>2147652333</v>
      </c>
      <c r="I3125" s="5">
        <v>2524360333</v>
      </c>
      <c r="J3125" s="5">
        <v>538497000</v>
      </c>
      <c r="K3125" s="5">
        <v>161789000</v>
      </c>
      <c r="L3125" s="5">
        <v>1197248000</v>
      </c>
      <c r="M3125" s="5">
        <v>217897000</v>
      </c>
      <c r="N3125" s="5">
        <v>86852000</v>
      </c>
    </row>
    <row r="3126" spans="1:14" x14ac:dyDescent="0.25">
      <c r="A3126" s="3" t="s">
        <v>3137</v>
      </c>
      <c r="B3126" s="4">
        <v>10.98</v>
      </c>
      <c r="C3126" s="4">
        <v>0.18</v>
      </c>
      <c r="D3126" s="4">
        <v>0.05</v>
      </c>
      <c r="E3126" s="4">
        <v>-1.668494026741045E-2</v>
      </c>
      <c r="F3126" s="3">
        <v>3124</v>
      </c>
      <c r="G3126" s="3">
        <v>3</v>
      </c>
      <c r="H3126" s="5">
        <v>10389845163.52</v>
      </c>
      <c r="I3126" s="5">
        <v>16193445163.52</v>
      </c>
      <c r="J3126" s="5">
        <v>5876000000</v>
      </c>
      <c r="K3126" s="5">
        <v>72400000</v>
      </c>
      <c r="L3126" s="5">
        <v>30455200000</v>
      </c>
      <c r="M3126" s="5">
        <v>1474800000</v>
      </c>
      <c r="N3126" s="5">
        <v>918900000</v>
      </c>
    </row>
    <row r="3127" spans="1:14" x14ac:dyDescent="0.25">
      <c r="A3127" s="3" t="s">
        <v>3138</v>
      </c>
      <c r="B3127" s="4">
        <v>10.66</v>
      </c>
      <c r="C3127" s="4">
        <v>0.11</v>
      </c>
      <c r="D3127" s="4">
        <v>0.04</v>
      </c>
      <c r="E3127" s="4">
        <v>-1.6691069960782672E-2</v>
      </c>
      <c r="F3127" s="3">
        <v>3125</v>
      </c>
      <c r="G3127" s="3">
        <v>3</v>
      </c>
      <c r="H3127" s="5">
        <v>8732537339.9799995</v>
      </c>
      <c r="I3127" s="5">
        <v>11146537339.98</v>
      </c>
      <c r="J3127" s="5">
        <v>2536000000</v>
      </c>
      <c r="K3127" s="5">
        <v>122000000</v>
      </c>
      <c r="L3127" s="5">
        <v>12673000000</v>
      </c>
      <c r="M3127" s="5">
        <v>1046000000</v>
      </c>
      <c r="N3127" s="5">
        <v>390000000</v>
      </c>
    </row>
    <row r="3128" spans="1:14" x14ac:dyDescent="0.25">
      <c r="A3128" s="3" t="s">
        <v>3139</v>
      </c>
      <c r="B3128" s="4">
        <v>10.87</v>
      </c>
      <c r="C3128" s="4">
        <v>0.15</v>
      </c>
      <c r="D3128" s="4">
        <v>0.08</v>
      </c>
      <c r="E3128" s="4">
        <v>-1.6697752746053441E-2</v>
      </c>
      <c r="F3128" s="3">
        <v>3126</v>
      </c>
      <c r="G3128" s="3">
        <v>3</v>
      </c>
      <c r="H3128" s="5">
        <v>7583605627.7799997</v>
      </c>
      <c r="I3128" s="5">
        <v>8386112627.7799988</v>
      </c>
      <c r="J3128" s="5">
        <v>1026351000</v>
      </c>
      <c r="K3128" s="5">
        <v>223844000</v>
      </c>
      <c r="L3128" s="5">
        <v>3582890000</v>
      </c>
      <c r="M3128" s="5">
        <v>771572000</v>
      </c>
      <c r="N3128" s="5">
        <v>374541000</v>
      </c>
    </row>
    <row r="3129" spans="1:14" x14ac:dyDescent="0.25">
      <c r="A3129" s="3" t="s">
        <v>3140</v>
      </c>
      <c r="B3129" s="4">
        <v>10.84</v>
      </c>
      <c r="C3129" s="4">
        <v>0.14000000000000001</v>
      </c>
      <c r="D3129" s="4">
        <v>0.12</v>
      </c>
      <c r="E3129" s="4">
        <v>-1.6700362629666649E-2</v>
      </c>
      <c r="F3129" s="3">
        <v>3127</v>
      </c>
      <c r="G3129" s="3">
        <v>3</v>
      </c>
      <c r="H3129" s="5">
        <v>40567659.240000002</v>
      </c>
      <c r="I3129" s="5">
        <v>40332849.240000002</v>
      </c>
      <c r="J3129" s="5">
        <v>600000</v>
      </c>
      <c r="K3129" s="5">
        <v>834810</v>
      </c>
      <c r="L3129" s="5">
        <v>8559290</v>
      </c>
      <c r="M3129" s="5">
        <v>3722010</v>
      </c>
      <c r="N3129" s="5">
        <v>8827610</v>
      </c>
    </row>
    <row r="3130" spans="1:14" x14ac:dyDescent="0.25">
      <c r="A3130" s="3" t="s">
        <v>3141</v>
      </c>
      <c r="B3130" s="4">
        <v>-0.05</v>
      </c>
      <c r="C3130" s="4">
        <v>-2.11</v>
      </c>
      <c r="D3130" s="4">
        <v>-1.1299999999999999</v>
      </c>
      <c r="E3130" s="4">
        <v>-1.6702507525990579E-2</v>
      </c>
      <c r="F3130" s="3">
        <v>3128</v>
      </c>
      <c r="G3130" s="3">
        <v>3</v>
      </c>
      <c r="H3130" s="5">
        <v>15.193241</v>
      </c>
      <c r="I3130" s="5">
        <v>12365.193241000001</v>
      </c>
      <c r="J3130" s="5">
        <v>155000</v>
      </c>
      <c r="K3130" s="5">
        <v>142650</v>
      </c>
      <c r="L3130" s="5">
        <v>485050</v>
      </c>
      <c r="M3130" s="5">
        <v>-231650</v>
      </c>
      <c r="N3130" s="5">
        <v>-1211460</v>
      </c>
    </row>
    <row r="3131" spans="1:14" x14ac:dyDescent="0.25">
      <c r="A3131" s="3" t="s">
        <v>3142</v>
      </c>
      <c r="B3131" s="4">
        <v>11.54</v>
      </c>
      <c r="C3131" s="4">
        <v>0.28000000000000003</v>
      </c>
      <c r="D3131" s="4">
        <v>0.22</v>
      </c>
      <c r="E3131" s="4">
        <v>-1.6709806264484602E-2</v>
      </c>
      <c r="F3131" s="3">
        <v>3129</v>
      </c>
      <c r="G3131" s="3">
        <v>3</v>
      </c>
      <c r="H3131" s="5">
        <v>150970465.88</v>
      </c>
      <c r="I3131" s="5">
        <v>122209465.88</v>
      </c>
      <c r="J3131" s="5">
        <v>0</v>
      </c>
      <c r="K3131" s="5">
        <v>28761000</v>
      </c>
      <c r="L3131" s="5">
        <v>51294000</v>
      </c>
      <c r="M3131" s="5">
        <v>10589000</v>
      </c>
      <c r="N3131" s="5">
        <v>14560000</v>
      </c>
    </row>
    <row r="3132" spans="1:14" x14ac:dyDescent="0.25">
      <c r="A3132" s="3" t="s">
        <v>3143</v>
      </c>
      <c r="B3132" s="4">
        <v>9.27</v>
      </c>
      <c r="C3132" s="4">
        <v>-0.18</v>
      </c>
      <c r="D3132" s="4">
        <v>-0.18</v>
      </c>
      <c r="E3132" s="4">
        <v>-1.6711123557013319E-2</v>
      </c>
      <c r="F3132" s="3">
        <v>3130</v>
      </c>
      <c r="G3132" s="3">
        <v>3</v>
      </c>
      <c r="H3132" s="5">
        <v>284638.81599999999</v>
      </c>
      <c r="I3132" s="5">
        <v>-43886361.184</v>
      </c>
      <c r="J3132" s="5">
        <v>0</v>
      </c>
      <c r="K3132" s="5">
        <v>44171000</v>
      </c>
      <c r="L3132" s="5">
        <v>0</v>
      </c>
      <c r="M3132" s="5">
        <v>-4735000</v>
      </c>
      <c r="N3132" s="5">
        <v>-7910000</v>
      </c>
    </row>
    <row r="3133" spans="1:14" x14ac:dyDescent="0.25">
      <c r="A3133" s="3" t="s">
        <v>3144</v>
      </c>
      <c r="B3133" s="4">
        <v>-0.02</v>
      </c>
      <c r="C3133" s="4">
        <v>-2.11</v>
      </c>
      <c r="D3133" s="4">
        <v>-1.0900000000000001</v>
      </c>
      <c r="E3133" s="4">
        <v>-1.6713359036771791E-2</v>
      </c>
      <c r="F3133" s="3">
        <v>3131</v>
      </c>
      <c r="G3133" s="3">
        <v>3</v>
      </c>
      <c r="H3133" s="5">
        <v>1441090.5</v>
      </c>
      <c r="I3133" s="5">
        <v>181090.5</v>
      </c>
      <c r="J3133" s="5">
        <v>0</v>
      </c>
      <c r="K3133" s="5">
        <v>1260000</v>
      </c>
      <c r="L3133" s="5">
        <v>10000</v>
      </c>
      <c r="M3133" s="5">
        <v>-8009000</v>
      </c>
      <c r="N3133" s="5">
        <v>-8521000</v>
      </c>
    </row>
    <row r="3134" spans="1:14" x14ac:dyDescent="0.25">
      <c r="A3134" s="3" t="s">
        <v>3145</v>
      </c>
      <c r="B3134" s="4">
        <v>10.36</v>
      </c>
      <c r="C3134" s="4">
        <v>0.04</v>
      </c>
      <c r="D3134" s="4">
        <v>0.01</v>
      </c>
      <c r="E3134" s="4">
        <v>-1.6713436118704069E-2</v>
      </c>
      <c r="F3134" s="3">
        <v>3132</v>
      </c>
      <c r="G3134" s="3">
        <v>3</v>
      </c>
      <c r="H3134" s="5">
        <v>6014426078.6599998</v>
      </c>
      <c r="I3134" s="5">
        <v>8232426078.6599998</v>
      </c>
      <c r="J3134" s="5">
        <v>2631000000</v>
      </c>
      <c r="K3134" s="5">
        <v>413000000</v>
      </c>
      <c r="L3134" s="5">
        <v>11709000000</v>
      </c>
      <c r="M3134" s="5">
        <v>795000000</v>
      </c>
      <c r="N3134" s="5">
        <v>134000000</v>
      </c>
    </row>
    <row r="3135" spans="1:14" x14ac:dyDescent="0.25">
      <c r="A3135" s="3" t="s">
        <v>3146</v>
      </c>
      <c r="B3135" s="4">
        <v>10.51</v>
      </c>
      <c r="C3135" s="4">
        <v>7.0000000000000007E-2</v>
      </c>
      <c r="D3135" s="4">
        <v>0.02</v>
      </c>
      <c r="E3135" s="4">
        <v>-1.671766435653935E-2</v>
      </c>
      <c r="F3135" s="3">
        <v>3133</v>
      </c>
      <c r="G3135" s="3">
        <v>3</v>
      </c>
      <c r="H3135" s="5">
        <v>708265181.29999995</v>
      </c>
      <c r="I3135" s="5">
        <v>3086928181.3000002</v>
      </c>
      <c r="J3135" s="5">
        <v>2568823000</v>
      </c>
      <c r="K3135" s="5">
        <v>190160000</v>
      </c>
      <c r="L3135" s="5">
        <v>351969000</v>
      </c>
      <c r="M3135" s="5">
        <v>293722000</v>
      </c>
      <c r="N3135" s="5">
        <v>74335000</v>
      </c>
    </row>
    <row r="3136" spans="1:14" x14ac:dyDescent="0.25">
      <c r="A3136" s="3" t="s">
        <v>3147</v>
      </c>
      <c r="B3136" s="4">
        <v>11.72</v>
      </c>
      <c r="C3136" s="4">
        <v>0.32</v>
      </c>
      <c r="D3136" s="4">
        <v>0.15</v>
      </c>
      <c r="E3136" s="4">
        <v>-1.67191407250167E-2</v>
      </c>
      <c r="F3136" s="3">
        <v>3134</v>
      </c>
      <c r="G3136" s="3">
        <v>3</v>
      </c>
      <c r="H3136" s="5">
        <v>7371196468.0200005</v>
      </c>
      <c r="I3136" s="5">
        <v>8285614468.0200005</v>
      </c>
      <c r="J3136" s="5">
        <v>991894000</v>
      </c>
      <c r="K3136" s="5">
        <v>77476000</v>
      </c>
      <c r="L3136" s="5">
        <v>2786558000</v>
      </c>
      <c r="M3136" s="5">
        <v>706993000</v>
      </c>
      <c r="N3136" s="5">
        <v>462413000</v>
      </c>
    </row>
    <row r="3137" spans="1:14" x14ac:dyDescent="0.25">
      <c r="A3137" s="3" t="s">
        <v>3148</v>
      </c>
      <c r="B3137" s="4">
        <v>8.07</v>
      </c>
      <c r="C3137" s="4">
        <v>-0.44</v>
      </c>
      <c r="D3137" s="4">
        <v>-0.18</v>
      </c>
      <c r="E3137" s="4">
        <v>-1.671965265573994E-2</v>
      </c>
      <c r="F3137" s="3">
        <v>3135</v>
      </c>
      <c r="G3137" s="3">
        <v>3</v>
      </c>
      <c r="H3137" s="5">
        <v>2319120308.9200001</v>
      </c>
      <c r="I3137" s="5">
        <v>3488120308.9200001</v>
      </c>
      <c r="J3137" s="5">
        <v>1384000000</v>
      </c>
      <c r="K3137" s="5">
        <v>215000000</v>
      </c>
      <c r="L3137" s="5">
        <v>1824000000</v>
      </c>
      <c r="M3137" s="5">
        <v>432000000</v>
      </c>
      <c r="N3137" s="5">
        <v>-845000000</v>
      </c>
    </row>
    <row r="3138" spans="1:14" x14ac:dyDescent="0.25">
      <c r="A3138" s="3" t="s">
        <v>3149</v>
      </c>
      <c r="B3138" s="4">
        <v>10.71</v>
      </c>
      <c r="C3138" s="4">
        <v>0.11</v>
      </c>
      <c r="D3138" s="4">
        <v>0.05</v>
      </c>
      <c r="E3138" s="4">
        <v>-1.6720086962690551E-2</v>
      </c>
      <c r="F3138" s="3">
        <v>3136</v>
      </c>
      <c r="G3138" s="3">
        <v>3</v>
      </c>
      <c r="H3138" s="5">
        <v>11145070052.379999</v>
      </c>
      <c r="I3138" s="5">
        <v>15674070052.379999</v>
      </c>
      <c r="J3138" s="5">
        <v>5083000000</v>
      </c>
      <c r="K3138" s="5">
        <v>554000000</v>
      </c>
      <c r="L3138" s="5">
        <v>5684000000</v>
      </c>
      <c r="M3138" s="5">
        <v>1463000000</v>
      </c>
      <c r="N3138" s="5">
        <v>697000000</v>
      </c>
    </row>
    <row r="3139" spans="1:14" x14ac:dyDescent="0.25">
      <c r="A3139" s="3" t="s">
        <v>3150</v>
      </c>
      <c r="B3139" s="4">
        <v>11.18</v>
      </c>
      <c r="C3139" s="4">
        <v>0.21</v>
      </c>
      <c r="D3139" s="4">
        <v>0.05</v>
      </c>
      <c r="E3139" s="4">
        <v>-1.6722043560308621E-2</v>
      </c>
      <c r="F3139" s="3">
        <v>3137</v>
      </c>
      <c r="G3139" s="3">
        <v>3</v>
      </c>
      <c r="H3139" s="5">
        <v>17331777195</v>
      </c>
      <c r="I3139" s="5">
        <v>21136131195</v>
      </c>
      <c r="J3139" s="5">
        <v>4284345000</v>
      </c>
      <c r="K3139" s="5">
        <v>479991000</v>
      </c>
      <c r="L3139" s="5">
        <v>23486569000</v>
      </c>
      <c r="M3139" s="5">
        <v>1891327000</v>
      </c>
      <c r="N3139" s="5">
        <v>904076000</v>
      </c>
    </row>
    <row r="3140" spans="1:14" x14ac:dyDescent="0.25">
      <c r="A3140" s="3" t="s">
        <v>3151</v>
      </c>
      <c r="B3140" s="4">
        <v>11.33</v>
      </c>
      <c r="C3140" s="4">
        <v>0.24</v>
      </c>
      <c r="D3140" s="4">
        <v>0.06</v>
      </c>
      <c r="E3140" s="4">
        <v>-1.6726271798143899E-2</v>
      </c>
      <c r="F3140" s="3">
        <v>3138</v>
      </c>
      <c r="G3140" s="3">
        <v>3</v>
      </c>
      <c r="H3140" s="5">
        <v>34441987571.120003</v>
      </c>
      <c r="I3140" s="5">
        <v>40559987571.120003</v>
      </c>
      <c r="J3140" s="5">
        <v>8991000000</v>
      </c>
      <c r="K3140" s="5">
        <v>2873000000</v>
      </c>
      <c r="L3140" s="5">
        <v>19672000000</v>
      </c>
      <c r="M3140" s="5">
        <v>3579000000</v>
      </c>
      <c r="N3140" s="5">
        <v>1993000000</v>
      </c>
    </row>
    <row r="3141" spans="1:14" x14ac:dyDescent="0.25">
      <c r="A3141" s="3" t="s">
        <v>3152</v>
      </c>
      <c r="B3141" s="4">
        <v>10.1</v>
      </c>
      <c r="C3141" s="4">
        <v>-0.02</v>
      </c>
      <c r="D3141" s="4">
        <v>-0.01</v>
      </c>
      <c r="E3141" s="4">
        <v>-1.6729736465821821E-2</v>
      </c>
      <c r="F3141" s="3">
        <v>3139</v>
      </c>
      <c r="G3141" s="3">
        <v>3</v>
      </c>
      <c r="H3141" s="5">
        <v>4588355351.7399998</v>
      </c>
      <c r="I3141" s="5">
        <v>6762433351.7399998</v>
      </c>
      <c r="J3141" s="5">
        <v>2191276000</v>
      </c>
      <c r="K3141" s="5">
        <v>17198000</v>
      </c>
      <c r="L3141" s="5">
        <v>1245544000</v>
      </c>
      <c r="M3141" s="5">
        <v>669719000</v>
      </c>
      <c r="N3141" s="5">
        <v>-90494000</v>
      </c>
    </row>
    <row r="3142" spans="1:14" x14ac:dyDescent="0.25">
      <c r="A3142" s="3" t="s">
        <v>3153</v>
      </c>
      <c r="B3142" s="4">
        <v>-0.92</v>
      </c>
      <c r="C3142" s="4">
        <v>-2.27</v>
      </c>
      <c r="D3142" s="4">
        <v>-1.7</v>
      </c>
      <c r="E3142" s="4">
        <v>-1.673629885749401E-2</v>
      </c>
      <c r="F3142" s="3">
        <v>3140</v>
      </c>
      <c r="G3142" s="3">
        <v>3</v>
      </c>
      <c r="H3142" s="5">
        <v>5509301.9100000001</v>
      </c>
      <c r="I3142" s="5">
        <v>4418301.91</v>
      </c>
      <c r="J3142" s="5">
        <v>0</v>
      </c>
      <c r="K3142" s="5">
        <v>1091000</v>
      </c>
      <c r="L3142" s="5">
        <v>10000</v>
      </c>
      <c r="M3142" s="5">
        <v>-4810000</v>
      </c>
      <c r="N3142" s="5">
        <v>-4679000</v>
      </c>
    </row>
    <row r="3143" spans="1:14" x14ac:dyDescent="0.25">
      <c r="A3143" s="3" t="s">
        <v>3154</v>
      </c>
      <c r="B3143" s="4">
        <v>9.69</v>
      </c>
      <c r="C3143" s="4">
        <v>-0.11</v>
      </c>
      <c r="D3143" s="4">
        <v>-0.03</v>
      </c>
      <c r="E3143" s="4">
        <v>-1.6739879548526779E-2</v>
      </c>
      <c r="F3143" s="3">
        <v>3141</v>
      </c>
      <c r="G3143" s="3">
        <v>3</v>
      </c>
      <c r="H3143" s="5">
        <v>660308123.40999997</v>
      </c>
      <c r="I3143" s="5">
        <v>1529830123.4100001</v>
      </c>
      <c r="J3143" s="5">
        <v>931858000</v>
      </c>
      <c r="K3143" s="5">
        <v>62336000</v>
      </c>
      <c r="L3143" s="5">
        <v>2663035000</v>
      </c>
      <c r="M3143" s="5">
        <v>157882000</v>
      </c>
      <c r="N3143" s="5">
        <v>-92840000</v>
      </c>
    </row>
    <row r="3144" spans="1:14" x14ac:dyDescent="0.25">
      <c r="A3144" s="3" t="s">
        <v>3155</v>
      </c>
      <c r="B3144" s="4">
        <v>11.2</v>
      </c>
      <c r="C3144" s="4">
        <v>0.2</v>
      </c>
      <c r="D3144" s="4">
        <v>0.15</v>
      </c>
      <c r="E3144" s="4">
        <v>-1.6744025312942171E-2</v>
      </c>
      <c r="F3144" s="3">
        <v>3142</v>
      </c>
      <c r="G3144" s="3">
        <v>3</v>
      </c>
      <c r="H3144" s="5">
        <v>2617743181.9499998</v>
      </c>
      <c r="I3144" s="5">
        <v>2537905181.9499998</v>
      </c>
      <c r="J3144" s="5">
        <v>43674000</v>
      </c>
      <c r="K3144" s="5">
        <v>123512000</v>
      </c>
      <c r="L3144" s="5">
        <v>1017865000</v>
      </c>
      <c r="M3144" s="5">
        <v>226603000</v>
      </c>
      <c r="N3144" s="5">
        <v>200992000</v>
      </c>
    </row>
    <row r="3145" spans="1:14" x14ac:dyDescent="0.25">
      <c r="A3145" s="3" t="s">
        <v>3156</v>
      </c>
      <c r="B3145" s="4">
        <v>10.18</v>
      </c>
      <c r="C3145" s="4">
        <v>-0.01</v>
      </c>
      <c r="D3145" s="4">
        <v>0</v>
      </c>
      <c r="E3145" s="4">
        <v>-1.6748427477806482E-2</v>
      </c>
      <c r="F3145" s="3">
        <v>3143</v>
      </c>
      <c r="G3145" s="3">
        <v>3</v>
      </c>
      <c r="H3145" s="5">
        <v>669310583.91999996</v>
      </c>
      <c r="I3145" s="5">
        <v>1125710583.9200001</v>
      </c>
      <c r="J3145" s="5">
        <v>484100000</v>
      </c>
      <c r="K3145" s="5">
        <v>27700000</v>
      </c>
      <c r="L3145" s="5">
        <v>4598700000</v>
      </c>
      <c r="M3145" s="5">
        <v>110600000</v>
      </c>
      <c r="N3145" s="5">
        <v>-8600000</v>
      </c>
    </row>
    <row r="3146" spans="1:14" x14ac:dyDescent="0.25">
      <c r="A3146" s="3" t="s">
        <v>3157</v>
      </c>
      <c r="B3146" s="4">
        <v>10.66</v>
      </c>
      <c r="C3146" s="4">
        <v>0.09</v>
      </c>
      <c r="D3146" s="4">
        <v>0.02</v>
      </c>
      <c r="E3146" s="4">
        <v>-1.6752715227966598E-2</v>
      </c>
      <c r="F3146" s="3">
        <v>3144</v>
      </c>
      <c r="G3146" s="3">
        <v>3</v>
      </c>
      <c r="H3146" s="5">
        <v>2327710107.73</v>
      </c>
      <c r="I3146" s="5">
        <v>7355710107.7299995</v>
      </c>
      <c r="J3146" s="5">
        <v>5225000000</v>
      </c>
      <c r="K3146" s="5">
        <v>197000000</v>
      </c>
      <c r="L3146" s="5">
        <v>4967000000</v>
      </c>
      <c r="M3146" s="5">
        <v>690000000</v>
      </c>
      <c r="N3146" s="5">
        <v>218000000</v>
      </c>
    </row>
    <row r="3147" spans="1:14" x14ac:dyDescent="0.25">
      <c r="A3147" s="3" t="s">
        <v>3158</v>
      </c>
      <c r="B3147" s="4">
        <v>10.34</v>
      </c>
      <c r="C3147" s="4">
        <v>0.02</v>
      </c>
      <c r="D3147" s="4">
        <v>0.01</v>
      </c>
      <c r="E3147" s="4">
        <v>-1.675884492133884E-2</v>
      </c>
      <c r="F3147" s="3">
        <v>3145</v>
      </c>
      <c r="G3147" s="3">
        <v>3</v>
      </c>
      <c r="H3147" s="5">
        <v>3527175582</v>
      </c>
      <c r="I3147" s="5">
        <v>4827175582</v>
      </c>
      <c r="J3147" s="5">
        <v>1398000000</v>
      </c>
      <c r="K3147" s="5">
        <v>98000000</v>
      </c>
      <c r="L3147" s="5">
        <v>9100000000</v>
      </c>
      <c r="M3147" s="5">
        <v>467000000</v>
      </c>
      <c r="N3147" s="5">
        <v>88000000</v>
      </c>
    </row>
    <row r="3148" spans="1:14" x14ac:dyDescent="0.25">
      <c r="A3148" s="3" t="s">
        <v>3159</v>
      </c>
      <c r="B3148" s="4">
        <v>8.6999999999999993</v>
      </c>
      <c r="C3148" s="4">
        <v>-0.32</v>
      </c>
      <c r="D3148" s="4">
        <v>-0.17</v>
      </c>
      <c r="E3148" s="4">
        <v>-1.676092030390481E-2</v>
      </c>
      <c r="F3148" s="3">
        <v>3146</v>
      </c>
      <c r="G3148" s="3">
        <v>3</v>
      </c>
      <c r="H3148" s="5">
        <v>1799962196.47</v>
      </c>
      <c r="I3148" s="5">
        <v>3081295196.4699998</v>
      </c>
      <c r="J3148" s="5">
        <v>1329500000</v>
      </c>
      <c r="K3148" s="5">
        <v>48167000</v>
      </c>
      <c r="L3148" s="5">
        <v>2107623000</v>
      </c>
      <c r="M3148" s="5">
        <v>354289000</v>
      </c>
      <c r="N3148" s="5">
        <v>-825494000</v>
      </c>
    </row>
    <row r="3149" spans="1:14" x14ac:dyDescent="0.25">
      <c r="A3149" s="3" t="s">
        <v>3160</v>
      </c>
      <c r="B3149" s="4">
        <v>10.74</v>
      </c>
      <c r="C3149" s="4">
        <v>0.1</v>
      </c>
      <c r="D3149" s="4">
        <v>7.0000000000000007E-2</v>
      </c>
      <c r="E3149" s="4">
        <v>-1.6763690133641231E-2</v>
      </c>
      <c r="F3149" s="3">
        <v>3147</v>
      </c>
      <c r="G3149" s="3">
        <v>3</v>
      </c>
      <c r="H3149" s="5">
        <v>281782951.92000002</v>
      </c>
      <c r="I3149" s="5">
        <v>252637951.91999999</v>
      </c>
      <c r="J3149" s="5">
        <v>0</v>
      </c>
      <c r="K3149" s="5">
        <v>29145000</v>
      </c>
      <c r="L3149" s="5">
        <v>137653000</v>
      </c>
      <c r="M3149" s="5">
        <v>23520000</v>
      </c>
      <c r="N3149" s="5">
        <v>14965000</v>
      </c>
    </row>
    <row r="3150" spans="1:14" x14ac:dyDescent="0.25">
      <c r="A3150" s="3" t="s">
        <v>3161</v>
      </c>
      <c r="B3150" s="4">
        <v>12.39</v>
      </c>
      <c r="C3150" s="4">
        <v>0.45</v>
      </c>
      <c r="D3150" s="4">
        <v>0.08</v>
      </c>
      <c r="E3150" s="4">
        <v>-1.6771703801575479E-2</v>
      </c>
      <c r="F3150" s="3">
        <v>3148</v>
      </c>
      <c r="G3150" s="3">
        <v>3</v>
      </c>
      <c r="H3150" s="5">
        <v>20948108536.200001</v>
      </c>
      <c r="I3150" s="5">
        <v>24444608536.200001</v>
      </c>
      <c r="J3150" s="5">
        <v>3736500000</v>
      </c>
      <c r="K3150" s="5">
        <v>240000000</v>
      </c>
      <c r="L3150" s="5">
        <v>12076700000</v>
      </c>
      <c r="M3150" s="5">
        <v>1972200000</v>
      </c>
      <c r="N3150" s="5">
        <v>1049600000</v>
      </c>
    </row>
    <row r="3151" spans="1:14" x14ac:dyDescent="0.25">
      <c r="A3151" s="3" t="s">
        <v>3162</v>
      </c>
      <c r="B3151" s="4">
        <v>-5.26</v>
      </c>
      <c r="C3151" s="4">
        <v>-3.2</v>
      </c>
      <c r="D3151" s="4">
        <v>-1.88</v>
      </c>
      <c r="E3151" s="4">
        <v>-1.6772011515702099E-2</v>
      </c>
      <c r="F3151" s="3">
        <v>3149</v>
      </c>
      <c r="G3151" s="3">
        <v>3</v>
      </c>
      <c r="H3151" s="5">
        <v>363576421.80000001</v>
      </c>
      <c r="I3151" s="5">
        <v>340598421.80000001</v>
      </c>
      <c r="J3151" s="5">
        <v>0</v>
      </c>
      <c r="K3151" s="5">
        <v>22978000</v>
      </c>
      <c r="L3151" s="5">
        <v>0</v>
      </c>
      <c r="M3151" s="5">
        <v>-64730000</v>
      </c>
      <c r="N3151" s="5">
        <v>-63102000</v>
      </c>
    </row>
    <row r="3152" spans="1:14" x14ac:dyDescent="0.25">
      <c r="A3152" s="3" t="s">
        <v>3163</v>
      </c>
      <c r="B3152" s="4">
        <v>10.27</v>
      </c>
      <c r="C3152" s="4">
        <v>0</v>
      </c>
      <c r="D3152" s="4">
        <v>0</v>
      </c>
      <c r="E3152" s="4">
        <v>-1.6775236722065712E-2</v>
      </c>
      <c r="F3152" s="3">
        <v>3150</v>
      </c>
      <c r="G3152" s="3">
        <v>3</v>
      </c>
      <c r="H3152" s="5">
        <v>1220129557.29</v>
      </c>
      <c r="I3152" s="5">
        <v>3304211557.29</v>
      </c>
      <c r="J3152" s="5">
        <v>2290732000</v>
      </c>
      <c r="K3152" s="5">
        <v>206650000</v>
      </c>
      <c r="L3152" s="5">
        <v>1453309000</v>
      </c>
      <c r="M3152" s="5">
        <v>321823000</v>
      </c>
      <c r="N3152" s="5">
        <v>-4242000</v>
      </c>
    </row>
    <row r="3153" spans="1:14" x14ac:dyDescent="0.25">
      <c r="A3153" s="3" t="s">
        <v>3164</v>
      </c>
      <c r="B3153" s="4">
        <v>11.59</v>
      </c>
      <c r="C3153" s="4">
        <v>0.28000000000000003</v>
      </c>
      <c r="D3153" s="4">
        <v>0.04</v>
      </c>
      <c r="E3153" s="4">
        <v>-1.6775474771365088E-2</v>
      </c>
      <c r="F3153" s="3">
        <v>3151</v>
      </c>
      <c r="G3153" s="3">
        <v>3</v>
      </c>
      <c r="H3153" s="5">
        <v>15914057879.92</v>
      </c>
      <c r="I3153" s="5">
        <v>23629057879.919998</v>
      </c>
      <c r="J3153" s="5">
        <v>8259000000</v>
      </c>
      <c r="K3153" s="5">
        <v>544000000</v>
      </c>
      <c r="L3153" s="5">
        <v>3935000000</v>
      </c>
      <c r="M3153" s="5">
        <v>2039000000</v>
      </c>
      <c r="N3153" s="5">
        <v>643000000</v>
      </c>
    </row>
    <row r="3154" spans="1:14" x14ac:dyDescent="0.25">
      <c r="A3154" s="3" t="s">
        <v>3165</v>
      </c>
      <c r="B3154" s="4">
        <v>6.36</v>
      </c>
      <c r="C3154" s="4">
        <v>-0.83</v>
      </c>
      <c r="D3154" s="4">
        <v>-0.15</v>
      </c>
      <c r="E3154" s="4">
        <v>-1.6782362075371031E-2</v>
      </c>
      <c r="F3154" s="3">
        <v>3152</v>
      </c>
      <c r="G3154" s="3">
        <v>3</v>
      </c>
      <c r="H3154" s="5">
        <v>58613760.799999997</v>
      </c>
      <c r="I3154" s="5">
        <v>353263760.80000001</v>
      </c>
      <c r="J3154" s="5">
        <v>310271000</v>
      </c>
      <c r="K3154" s="5">
        <v>15621000</v>
      </c>
      <c r="L3154" s="5">
        <v>476409000</v>
      </c>
      <c r="M3154" s="5">
        <v>55530000</v>
      </c>
      <c r="N3154" s="5">
        <v>-91015000</v>
      </c>
    </row>
    <row r="3155" spans="1:14" x14ac:dyDescent="0.25">
      <c r="A3155" s="3" t="s">
        <v>3166</v>
      </c>
      <c r="B3155" s="4">
        <v>10.73</v>
      </c>
      <c r="C3155" s="4">
        <v>0.09</v>
      </c>
      <c r="D3155" s="4">
        <v>0.08</v>
      </c>
      <c r="E3155" s="4">
        <v>-1.678446550838111E-2</v>
      </c>
      <c r="F3155" s="3">
        <v>3153</v>
      </c>
      <c r="G3155" s="3">
        <v>3</v>
      </c>
      <c r="H3155" s="5">
        <v>1275883820.6800001</v>
      </c>
      <c r="I3155" s="5">
        <v>1158672820.6800001</v>
      </c>
      <c r="J3155" s="5">
        <v>9586000</v>
      </c>
      <c r="K3155" s="5">
        <v>126797000</v>
      </c>
      <c r="L3155" s="5">
        <v>483015000</v>
      </c>
      <c r="M3155" s="5">
        <v>107957000</v>
      </c>
      <c r="N3155" s="5">
        <v>80770000</v>
      </c>
    </row>
    <row r="3156" spans="1:14" x14ac:dyDescent="0.25">
      <c r="A3156" s="3" t="s">
        <v>3167</v>
      </c>
      <c r="B3156" s="4">
        <v>-0.01</v>
      </c>
      <c r="C3156" s="4">
        <v>-2.0699999999999998</v>
      </c>
      <c r="D3156" s="4">
        <v>-2.04</v>
      </c>
      <c r="E3156" s="4">
        <v>-1.6787231339274091E-2</v>
      </c>
      <c r="F3156" s="3">
        <v>3154</v>
      </c>
      <c r="G3156" s="3">
        <v>3</v>
      </c>
      <c r="H3156" s="5">
        <v>53167.511299999998</v>
      </c>
      <c r="I3156" s="5">
        <v>26897.511299999998</v>
      </c>
      <c r="J3156" s="5">
        <v>0</v>
      </c>
      <c r="K3156" s="5">
        <v>26270</v>
      </c>
      <c r="L3156" s="5">
        <v>26211900</v>
      </c>
      <c r="M3156" s="5">
        <v>-3049920</v>
      </c>
      <c r="N3156" s="5">
        <v>-36378220</v>
      </c>
    </row>
    <row r="3157" spans="1:14" x14ac:dyDescent="0.25">
      <c r="A3157" s="3" t="s">
        <v>3168</v>
      </c>
      <c r="B3157" s="4">
        <v>-0.93</v>
      </c>
      <c r="C3157" s="4">
        <v>-2.3199999999999998</v>
      </c>
      <c r="D3157" s="4">
        <v>-1.26</v>
      </c>
      <c r="E3157" s="4">
        <v>-1.6789700517458959E-2</v>
      </c>
      <c r="F3157" s="3">
        <v>3155</v>
      </c>
      <c r="G3157" s="3">
        <v>3</v>
      </c>
      <c r="H3157" s="5">
        <v>56351101.403200001</v>
      </c>
      <c r="I3157" s="5">
        <v>38225101.403200001</v>
      </c>
      <c r="J3157" s="5">
        <v>4333000</v>
      </c>
      <c r="K3157" s="5">
        <v>22459000</v>
      </c>
      <c r="L3157" s="5">
        <v>9287000</v>
      </c>
      <c r="M3157" s="5">
        <v>-41196000</v>
      </c>
      <c r="N3157" s="5">
        <v>-40674000</v>
      </c>
    </row>
    <row r="3158" spans="1:14" x14ac:dyDescent="0.25">
      <c r="A3158" s="3" t="s">
        <v>3169</v>
      </c>
      <c r="B3158" s="4">
        <v>-1.2</v>
      </c>
      <c r="C3158" s="4">
        <v>-2.42</v>
      </c>
      <c r="D3158" s="4">
        <v>-0.64</v>
      </c>
      <c r="E3158" s="4">
        <v>-1.6791928385977092E-2</v>
      </c>
      <c r="F3158" s="3">
        <v>3156</v>
      </c>
      <c r="G3158" s="3">
        <v>3</v>
      </c>
      <c r="H3158" s="5">
        <v>148959483.75999999</v>
      </c>
      <c r="I3158" s="5">
        <v>111657483.76000001</v>
      </c>
      <c r="J3158" s="5">
        <v>30162000</v>
      </c>
      <c r="K3158" s="5">
        <v>67464000</v>
      </c>
      <c r="L3158" s="5">
        <v>93000</v>
      </c>
      <c r="M3158" s="5">
        <v>-92854000</v>
      </c>
      <c r="N3158" s="5">
        <v>-68694000</v>
      </c>
    </row>
    <row r="3159" spans="1:14" x14ac:dyDescent="0.25">
      <c r="A3159" s="3" t="s">
        <v>3170</v>
      </c>
      <c r="B3159" s="4">
        <v>11.08</v>
      </c>
      <c r="C3159" s="4">
        <v>0.16</v>
      </c>
      <c r="D3159" s="4">
        <v>0.11</v>
      </c>
      <c r="E3159" s="4">
        <v>-1.67930453789451E-2</v>
      </c>
      <c r="F3159" s="3">
        <v>3157</v>
      </c>
      <c r="G3159" s="3">
        <v>3</v>
      </c>
      <c r="H3159" s="5">
        <v>7538002418.1300001</v>
      </c>
      <c r="I3159" s="5">
        <v>7718823418.1300001</v>
      </c>
      <c r="J3159" s="5">
        <v>200294000</v>
      </c>
      <c r="K3159" s="5">
        <v>19473000</v>
      </c>
      <c r="L3159" s="5">
        <v>3209074000</v>
      </c>
      <c r="M3159" s="5">
        <v>696742000</v>
      </c>
      <c r="N3159" s="5">
        <v>362065000</v>
      </c>
    </row>
    <row r="3160" spans="1:14" x14ac:dyDescent="0.25">
      <c r="A3160" s="3" t="s">
        <v>3171</v>
      </c>
      <c r="B3160" s="4">
        <v>11.05</v>
      </c>
      <c r="C3160" s="4">
        <v>0.15</v>
      </c>
      <c r="D3160" s="4">
        <v>0.12</v>
      </c>
      <c r="E3160" s="4">
        <v>-1.680144234229081E-2</v>
      </c>
      <c r="F3160" s="3">
        <v>3158</v>
      </c>
      <c r="G3160" s="3">
        <v>3</v>
      </c>
      <c r="H3160" s="5">
        <v>1357877482.7</v>
      </c>
      <c r="I3160" s="5">
        <v>1319967482.7</v>
      </c>
      <c r="J3160" s="5">
        <v>35368000</v>
      </c>
      <c r="K3160" s="5">
        <v>73278000</v>
      </c>
      <c r="L3160" s="5">
        <v>660803000</v>
      </c>
      <c r="M3160" s="5">
        <v>119435000</v>
      </c>
      <c r="N3160" s="5">
        <v>140325000</v>
      </c>
    </row>
    <row r="3161" spans="1:14" x14ac:dyDescent="0.25">
      <c r="A3161" s="3" t="s">
        <v>3172</v>
      </c>
      <c r="B3161" s="4">
        <v>11.08</v>
      </c>
      <c r="C3161" s="4">
        <v>0.16</v>
      </c>
      <c r="D3161" s="4">
        <v>0.03</v>
      </c>
      <c r="E3161" s="4">
        <v>-1.6808477591565139E-2</v>
      </c>
      <c r="F3161" s="3">
        <v>3159</v>
      </c>
      <c r="G3161" s="3">
        <v>3</v>
      </c>
      <c r="H3161" s="5">
        <v>684297048.33000004</v>
      </c>
      <c r="I3161" s="5">
        <v>1227155048.3299999</v>
      </c>
      <c r="J3161" s="5">
        <v>544023000</v>
      </c>
      <c r="K3161" s="5">
        <v>1165000</v>
      </c>
      <c r="L3161" s="5">
        <v>404198000</v>
      </c>
      <c r="M3161" s="5">
        <v>110757000</v>
      </c>
      <c r="N3161" s="5">
        <v>32953000</v>
      </c>
    </row>
    <row r="3162" spans="1:14" x14ac:dyDescent="0.25">
      <c r="A3162" s="3" t="s">
        <v>3173</v>
      </c>
      <c r="B3162" s="4">
        <v>10.48</v>
      </c>
      <c r="C3162" s="4">
        <v>0.03</v>
      </c>
      <c r="D3162" s="4">
        <v>0.02</v>
      </c>
      <c r="E3162" s="4">
        <v>-1.681467116750596E-2</v>
      </c>
      <c r="F3162" s="3">
        <v>3160</v>
      </c>
      <c r="G3162" s="3">
        <v>3</v>
      </c>
      <c r="H3162" s="5">
        <v>104188594.59999999</v>
      </c>
      <c r="I3162" s="5">
        <v>99390594.599999994</v>
      </c>
      <c r="J3162" s="5">
        <v>15032000</v>
      </c>
      <c r="K3162" s="5">
        <v>19830000</v>
      </c>
      <c r="L3162" s="5">
        <v>130690000</v>
      </c>
      <c r="M3162" s="5">
        <v>9486000</v>
      </c>
      <c r="N3162" s="5">
        <v>2891000</v>
      </c>
    </row>
    <row r="3163" spans="1:14" x14ac:dyDescent="0.25">
      <c r="A3163" s="3" t="s">
        <v>3174</v>
      </c>
      <c r="B3163" s="4">
        <v>-0.7</v>
      </c>
      <c r="C3163" s="4">
        <v>-2.2799999999999998</v>
      </c>
      <c r="D3163" s="4">
        <v>-1.27</v>
      </c>
      <c r="E3163" s="4">
        <v>-1.681840684701142E-2</v>
      </c>
      <c r="F3163" s="3">
        <v>3161</v>
      </c>
      <c r="G3163" s="3">
        <v>3</v>
      </c>
      <c r="H3163" s="5">
        <v>27811569.18</v>
      </c>
      <c r="I3163" s="5">
        <v>23521919.18</v>
      </c>
      <c r="J3163" s="5">
        <v>553090</v>
      </c>
      <c r="K3163" s="5">
        <v>4842740</v>
      </c>
      <c r="L3163" s="5">
        <v>2158130</v>
      </c>
      <c r="M3163" s="5">
        <v>-33644790</v>
      </c>
      <c r="N3163" s="5">
        <v>-32955870</v>
      </c>
    </row>
    <row r="3164" spans="1:14" x14ac:dyDescent="0.25">
      <c r="A3164" s="3" t="s">
        <v>3175</v>
      </c>
      <c r="B3164" s="4">
        <v>10.51</v>
      </c>
      <c r="C3164" s="4">
        <v>0.03</v>
      </c>
      <c r="D3164" s="4">
        <v>0.02</v>
      </c>
      <c r="E3164" s="4">
        <v>-1.683323878459719E-2</v>
      </c>
      <c r="F3164" s="3">
        <v>3162</v>
      </c>
      <c r="G3164" s="3">
        <v>3</v>
      </c>
      <c r="H3164" s="5">
        <v>1295190846</v>
      </c>
      <c r="I3164" s="5">
        <v>1777267846</v>
      </c>
      <c r="J3164" s="5">
        <v>521921000</v>
      </c>
      <c r="K3164" s="5">
        <v>39844000</v>
      </c>
      <c r="L3164" s="5">
        <v>186856000</v>
      </c>
      <c r="M3164" s="5">
        <v>169160000</v>
      </c>
      <c r="N3164" s="5">
        <v>42657000</v>
      </c>
    </row>
    <row r="3165" spans="1:14" x14ac:dyDescent="0.25">
      <c r="A3165" s="3" t="s">
        <v>3176</v>
      </c>
      <c r="B3165" s="4">
        <v>10.9</v>
      </c>
      <c r="C3165" s="4">
        <v>0.11</v>
      </c>
      <c r="D3165" s="4">
        <v>7.0000000000000007E-2</v>
      </c>
      <c r="E3165" s="4">
        <v>-1.6833823817780019E-2</v>
      </c>
      <c r="F3165" s="3">
        <v>3163</v>
      </c>
      <c r="G3165" s="3">
        <v>3</v>
      </c>
      <c r="H3165" s="5">
        <v>9945854553.2800007</v>
      </c>
      <c r="I3165" s="5">
        <v>8901967553.2800007</v>
      </c>
      <c r="J3165" s="5">
        <v>0</v>
      </c>
      <c r="K3165" s="5">
        <v>1043887000</v>
      </c>
      <c r="L3165" s="5">
        <v>3999012000</v>
      </c>
      <c r="M3165" s="5">
        <v>816864000</v>
      </c>
      <c r="N3165" s="5">
        <v>421362000</v>
      </c>
    </row>
    <row r="3166" spans="1:14" x14ac:dyDescent="0.25">
      <c r="A3166" s="3" t="s">
        <v>3177</v>
      </c>
      <c r="B3166" s="4">
        <v>10.86</v>
      </c>
      <c r="C3166" s="4">
        <v>0.1</v>
      </c>
      <c r="D3166" s="4">
        <v>0.08</v>
      </c>
      <c r="E3166" s="4">
        <v>-1.6836031575428661E-2</v>
      </c>
      <c r="F3166" s="3">
        <v>3164</v>
      </c>
      <c r="G3166" s="3">
        <v>3</v>
      </c>
      <c r="H3166" s="5">
        <v>1069081943.16</v>
      </c>
      <c r="I3166" s="5">
        <v>872826943.15999997</v>
      </c>
      <c r="J3166" s="5">
        <v>0</v>
      </c>
      <c r="K3166" s="5">
        <v>196255000</v>
      </c>
      <c r="L3166" s="5">
        <v>642491000</v>
      </c>
      <c r="M3166" s="5">
        <v>80356000</v>
      </c>
      <c r="N3166" s="5">
        <v>58167000</v>
      </c>
    </row>
    <row r="3167" spans="1:14" x14ac:dyDescent="0.25">
      <c r="A3167" s="3" t="s">
        <v>3178</v>
      </c>
      <c r="B3167" s="4">
        <v>11.72</v>
      </c>
      <c r="C3167" s="4">
        <v>0.28000000000000003</v>
      </c>
      <c r="D3167" s="4">
        <v>0.13</v>
      </c>
      <c r="E3167" s="4">
        <v>-1.6838573206229539E-2</v>
      </c>
      <c r="F3167" s="3">
        <v>3165</v>
      </c>
      <c r="G3167" s="3">
        <v>3</v>
      </c>
      <c r="H3167" s="5">
        <v>11386703795.129999</v>
      </c>
      <c r="I3167" s="5">
        <v>12366399795.129999</v>
      </c>
      <c r="J3167" s="5">
        <v>1380014000</v>
      </c>
      <c r="K3167" s="5">
        <v>400318000</v>
      </c>
      <c r="L3167" s="5">
        <v>5329803000</v>
      </c>
      <c r="M3167" s="5">
        <v>1054734000</v>
      </c>
      <c r="N3167" s="5">
        <v>622602000</v>
      </c>
    </row>
    <row r="3168" spans="1:14" x14ac:dyDescent="0.25">
      <c r="A3168" s="3" t="s">
        <v>3179</v>
      </c>
      <c r="B3168" s="4">
        <v>1.08</v>
      </c>
      <c r="C3168" s="4">
        <v>-1.97</v>
      </c>
      <c r="D3168" s="4">
        <v>-0.33</v>
      </c>
      <c r="E3168" s="4">
        <v>-1.6843055145357461E-2</v>
      </c>
      <c r="F3168" s="3">
        <v>3166</v>
      </c>
      <c r="G3168" s="3">
        <v>3</v>
      </c>
      <c r="H3168" s="5">
        <v>63785015.350000001</v>
      </c>
      <c r="I3168" s="5">
        <v>10769683.35</v>
      </c>
      <c r="J3168" s="5">
        <v>0</v>
      </c>
      <c r="K3168" s="5">
        <v>53015332</v>
      </c>
      <c r="L3168" s="5">
        <v>192744436</v>
      </c>
      <c r="M3168" s="5">
        <v>10016886.1719</v>
      </c>
      <c r="N3168" s="5">
        <v>-109404386</v>
      </c>
    </row>
    <row r="3169" spans="1:14" x14ac:dyDescent="0.25">
      <c r="A3169" s="3" t="s">
        <v>3180</v>
      </c>
      <c r="B3169" s="4">
        <v>10.67</v>
      </c>
      <c r="C3169" s="4">
        <v>0.06</v>
      </c>
      <c r="D3169" s="4">
        <v>0.02</v>
      </c>
      <c r="E3169" s="4">
        <v>-1.684558525470705E-2</v>
      </c>
      <c r="F3169" s="3">
        <v>3167</v>
      </c>
      <c r="G3169" s="3">
        <v>3</v>
      </c>
      <c r="H3169" s="5">
        <v>1884805271.1600001</v>
      </c>
      <c r="I3169" s="5">
        <v>3726567271.1599998</v>
      </c>
      <c r="J3169" s="5">
        <v>1880252000</v>
      </c>
      <c r="K3169" s="5">
        <v>38490000</v>
      </c>
      <c r="L3169" s="5">
        <v>1152994000</v>
      </c>
      <c r="M3169" s="5">
        <v>349204000</v>
      </c>
      <c r="N3169" s="5">
        <v>78871000</v>
      </c>
    </row>
    <row r="3170" spans="1:14" x14ac:dyDescent="0.25">
      <c r="A3170" s="3" t="s">
        <v>3181</v>
      </c>
      <c r="B3170" s="4">
        <v>11.16</v>
      </c>
      <c r="C3170" s="4">
        <v>0.17</v>
      </c>
      <c r="D3170" s="4">
        <v>-0.06</v>
      </c>
      <c r="E3170" s="4">
        <v>-1.684645886932486E-2</v>
      </c>
      <c r="F3170" s="3">
        <v>3168</v>
      </c>
      <c r="G3170" s="3">
        <v>3</v>
      </c>
      <c r="H3170" s="5">
        <v>789028768</v>
      </c>
      <c r="I3170" s="5">
        <v>5129539768</v>
      </c>
      <c r="J3170" s="5">
        <v>5064990000</v>
      </c>
      <c r="K3170" s="5">
        <v>724479000</v>
      </c>
      <c r="L3170" s="5">
        <v>3029565000</v>
      </c>
      <c r="M3170" s="5">
        <v>459825000</v>
      </c>
      <c r="N3170" s="5">
        <v>-278759000</v>
      </c>
    </row>
    <row r="3171" spans="1:14" x14ac:dyDescent="0.25">
      <c r="A3171" s="3" t="s">
        <v>3182</v>
      </c>
      <c r="B3171" s="4">
        <v>11.45</v>
      </c>
      <c r="C3171" s="4">
        <v>0.22</v>
      </c>
      <c r="D3171" s="4">
        <v>0.11</v>
      </c>
      <c r="E3171" s="4">
        <v>-1.684868434765022E-2</v>
      </c>
      <c r="F3171" s="3">
        <v>3169</v>
      </c>
      <c r="G3171" s="3">
        <v>3</v>
      </c>
      <c r="H3171" s="5">
        <v>12746671986.41</v>
      </c>
      <c r="I3171" s="5">
        <v>15035671986.41</v>
      </c>
      <c r="J3171" s="5">
        <v>2733000000</v>
      </c>
      <c r="K3171" s="5">
        <v>444000000</v>
      </c>
      <c r="L3171" s="5">
        <v>3975000000</v>
      </c>
      <c r="M3171" s="5">
        <v>1313000000</v>
      </c>
      <c r="N3171" s="5">
        <v>869000000</v>
      </c>
    </row>
    <row r="3172" spans="1:14" x14ac:dyDescent="0.25">
      <c r="A3172" s="3" t="s">
        <v>3183</v>
      </c>
      <c r="B3172" s="4">
        <v>10.25</v>
      </c>
      <c r="C3172" s="4">
        <v>-0.03</v>
      </c>
      <c r="D3172" s="4">
        <v>-0.01</v>
      </c>
      <c r="E3172" s="4">
        <v>-1.685146815829244E-2</v>
      </c>
      <c r="F3172" s="3">
        <v>3170</v>
      </c>
      <c r="G3172" s="3">
        <v>3</v>
      </c>
      <c r="H3172" s="5">
        <v>1329904769.8199999</v>
      </c>
      <c r="I3172" s="5">
        <v>3655151769.8200002</v>
      </c>
      <c r="J3172" s="5">
        <v>2329052000</v>
      </c>
      <c r="K3172" s="5">
        <v>3805000</v>
      </c>
      <c r="L3172" s="5">
        <v>1802280000</v>
      </c>
      <c r="M3172" s="5">
        <v>356620000</v>
      </c>
      <c r="N3172" s="5">
        <v>-28655000</v>
      </c>
    </row>
    <row r="3173" spans="1:14" x14ac:dyDescent="0.25">
      <c r="A3173" s="3" t="s">
        <v>3184</v>
      </c>
      <c r="B3173" s="4">
        <v>10.11</v>
      </c>
      <c r="C3173" s="4">
        <v>-0.06</v>
      </c>
      <c r="D3173" s="4">
        <v>-0.02</v>
      </c>
      <c r="E3173" s="4">
        <v>-1.6853429126154239E-2</v>
      </c>
      <c r="F3173" s="3">
        <v>3171</v>
      </c>
      <c r="G3173" s="3">
        <v>3</v>
      </c>
      <c r="H3173" s="5">
        <v>1668310302.5999999</v>
      </c>
      <c r="I3173" s="5">
        <v>6026711302.6000004</v>
      </c>
      <c r="J3173" s="5">
        <v>4518099000</v>
      </c>
      <c r="K3173" s="5">
        <v>159698000</v>
      </c>
      <c r="L3173" s="5">
        <v>805010000</v>
      </c>
      <c r="M3173" s="5">
        <v>595848000</v>
      </c>
      <c r="N3173" s="5">
        <v>-131572000</v>
      </c>
    </row>
    <row r="3174" spans="1:14" x14ac:dyDescent="0.25">
      <c r="A3174" s="3" t="s">
        <v>3185</v>
      </c>
      <c r="B3174" s="4">
        <v>11.03</v>
      </c>
      <c r="C3174" s="4">
        <v>0.13</v>
      </c>
      <c r="D3174" s="4">
        <v>0.06</v>
      </c>
      <c r="E3174" s="4">
        <v>-1.685842530439061E-2</v>
      </c>
      <c r="F3174" s="3">
        <v>3172</v>
      </c>
      <c r="G3174" s="3">
        <v>3</v>
      </c>
      <c r="H3174" s="5">
        <v>3656237635.04</v>
      </c>
      <c r="I3174" s="5">
        <v>10940937635.040001</v>
      </c>
      <c r="J3174" s="5">
        <v>9101000000</v>
      </c>
      <c r="K3174" s="5">
        <v>1816300000</v>
      </c>
      <c r="L3174" s="5">
        <v>4341900000</v>
      </c>
      <c r="M3174" s="5">
        <v>991500000</v>
      </c>
      <c r="N3174" s="5">
        <v>1588000000</v>
      </c>
    </row>
    <row r="3175" spans="1:14" x14ac:dyDescent="0.25">
      <c r="A3175" s="3" t="s">
        <v>3186</v>
      </c>
      <c r="B3175" s="4">
        <v>11.08</v>
      </c>
      <c r="C3175" s="4">
        <v>0.14000000000000001</v>
      </c>
      <c r="D3175" s="4">
        <v>7.0000000000000007E-2</v>
      </c>
      <c r="E3175" s="4">
        <v>-1.6858548699284031E-2</v>
      </c>
      <c r="F3175" s="3">
        <v>3173</v>
      </c>
      <c r="G3175" s="3">
        <v>3</v>
      </c>
      <c r="H3175" s="5">
        <v>16210923406.5</v>
      </c>
      <c r="I3175" s="5">
        <v>17641642406.5</v>
      </c>
      <c r="J3175" s="5">
        <v>1477702000</v>
      </c>
      <c r="K3175" s="5">
        <v>46983000</v>
      </c>
      <c r="L3175" s="5">
        <v>12087204000</v>
      </c>
      <c r="M3175" s="5">
        <v>1592366000</v>
      </c>
      <c r="N3175" s="5">
        <v>570886000</v>
      </c>
    </row>
    <row r="3176" spans="1:14" x14ac:dyDescent="0.25">
      <c r="A3176" s="3" t="s">
        <v>3187</v>
      </c>
      <c r="B3176" s="4">
        <v>10.69</v>
      </c>
      <c r="C3176" s="4">
        <v>0.06</v>
      </c>
      <c r="D3176" s="4">
        <v>0.01</v>
      </c>
      <c r="E3176" s="4">
        <v>-1.6859892692678711E-2</v>
      </c>
      <c r="F3176" s="3">
        <v>3174</v>
      </c>
      <c r="G3176" s="3">
        <v>3</v>
      </c>
      <c r="H3176" s="5">
        <v>7123903139.6800003</v>
      </c>
      <c r="I3176" s="5">
        <v>26861334139.68</v>
      </c>
      <c r="J3176" s="5">
        <v>20209985000</v>
      </c>
      <c r="K3176" s="5">
        <v>472554000</v>
      </c>
      <c r="L3176" s="5">
        <v>2733657000</v>
      </c>
      <c r="M3176" s="5">
        <v>2513837000</v>
      </c>
      <c r="N3176" s="5">
        <v>427704000</v>
      </c>
    </row>
    <row r="3177" spans="1:14" x14ac:dyDescent="0.25">
      <c r="A3177" s="3" t="s">
        <v>3188</v>
      </c>
      <c r="B3177" s="4">
        <v>12.49</v>
      </c>
      <c r="C3177" s="4">
        <v>0.44</v>
      </c>
      <c r="D3177" s="4">
        <v>7.0000000000000007E-2</v>
      </c>
      <c r="E3177" s="4">
        <v>-1.6864418492138222E-2</v>
      </c>
      <c r="F3177" s="3">
        <v>3175</v>
      </c>
      <c r="G3177" s="3">
        <v>3</v>
      </c>
      <c r="H3177" s="5">
        <v>5494137440.3999996</v>
      </c>
      <c r="I3177" s="5">
        <v>7854137440.3999996</v>
      </c>
      <c r="J3177" s="5">
        <v>2463000000</v>
      </c>
      <c r="K3177" s="5">
        <v>103000000</v>
      </c>
      <c r="L3177" s="5">
        <v>1408000000</v>
      </c>
      <c r="M3177" s="5">
        <v>629000000</v>
      </c>
      <c r="N3177" s="5">
        <v>289000000</v>
      </c>
    </row>
    <row r="3178" spans="1:14" x14ac:dyDescent="0.25">
      <c r="A3178" s="3" t="s">
        <v>3189</v>
      </c>
      <c r="B3178" s="4">
        <v>12.92</v>
      </c>
      <c r="C3178" s="4">
        <v>0.53</v>
      </c>
      <c r="D3178" s="4">
        <v>0.1</v>
      </c>
      <c r="E3178" s="4">
        <v>-1.686472479424991E-2</v>
      </c>
      <c r="F3178" s="3">
        <v>3176</v>
      </c>
      <c r="G3178" s="3">
        <v>3</v>
      </c>
      <c r="H3178" s="5">
        <v>195338209828.92001</v>
      </c>
      <c r="I3178" s="5">
        <v>231139209828.92001</v>
      </c>
      <c r="J3178" s="5">
        <v>44306000000</v>
      </c>
      <c r="K3178" s="5">
        <v>8505000000</v>
      </c>
      <c r="L3178" s="5">
        <v>91854000000</v>
      </c>
      <c r="M3178" s="5">
        <v>17884000000</v>
      </c>
      <c r="N3178" s="5">
        <v>9578000000</v>
      </c>
    </row>
    <row r="3179" spans="1:14" x14ac:dyDescent="0.25">
      <c r="A3179" s="3" t="s">
        <v>3190</v>
      </c>
      <c r="B3179" s="4">
        <v>12.72</v>
      </c>
      <c r="C3179" s="4">
        <v>0.48</v>
      </c>
      <c r="D3179" s="4">
        <v>0.2</v>
      </c>
      <c r="E3179" s="4">
        <v>-1.6866118449605592E-2</v>
      </c>
      <c r="F3179" s="3">
        <v>3177</v>
      </c>
      <c r="G3179" s="3">
        <v>3</v>
      </c>
      <c r="H3179" s="5">
        <v>23397555102.48</v>
      </c>
      <c r="I3179" s="5">
        <v>23305606102.48</v>
      </c>
      <c r="J3179" s="5">
        <v>0</v>
      </c>
      <c r="K3179" s="5">
        <v>91949000</v>
      </c>
      <c r="L3179" s="5">
        <v>11295654000</v>
      </c>
      <c r="M3179" s="5">
        <v>1832014000</v>
      </c>
      <c r="N3179" s="5">
        <v>1201118000</v>
      </c>
    </row>
    <row r="3180" spans="1:14" x14ac:dyDescent="0.25">
      <c r="A3180" s="3" t="s">
        <v>3191</v>
      </c>
      <c r="B3180" s="4">
        <v>9.85</v>
      </c>
      <c r="C3180" s="4">
        <v>-0.12</v>
      </c>
      <c r="D3180" s="4">
        <v>-0.04</v>
      </c>
      <c r="E3180" s="4">
        <v>-1.6869729473271981E-2</v>
      </c>
      <c r="F3180" s="3">
        <v>3178</v>
      </c>
      <c r="G3180" s="3">
        <v>3</v>
      </c>
      <c r="H3180" s="5">
        <v>137245098.36000001</v>
      </c>
      <c r="I3180" s="5">
        <v>525959098.36000001</v>
      </c>
      <c r="J3180" s="5">
        <v>403695000</v>
      </c>
      <c r="K3180" s="5">
        <v>14981000</v>
      </c>
      <c r="L3180" s="5">
        <v>604072000</v>
      </c>
      <c r="M3180" s="5">
        <v>53400000</v>
      </c>
      <c r="N3180" s="5">
        <v>-34008000</v>
      </c>
    </row>
    <row r="3181" spans="1:14" x14ac:dyDescent="0.25">
      <c r="A3181" s="3" t="s">
        <v>3192</v>
      </c>
      <c r="B3181" s="4">
        <v>10.18</v>
      </c>
      <c r="C3181" s="4">
        <v>-0.05</v>
      </c>
      <c r="D3181" s="4">
        <v>-0.04</v>
      </c>
      <c r="E3181" s="4">
        <v>-1.6871718012174328E-2</v>
      </c>
      <c r="F3181" s="3">
        <v>3179</v>
      </c>
      <c r="G3181" s="3">
        <v>3</v>
      </c>
      <c r="H3181" s="5">
        <v>406288953.11000001</v>
      </c>
      <c r="I3181" s="5">
        <v>341188953.11000001</v>
      </c>
      <c r="J3181" s="5">
        <v>10000000</v>
      </c>
      <c r="K3181" s="5">
        <v>75100000</v>
      </c>
      <c r="L3181" s="5">
        <v>240800000</v>
      </c>
      <c r="M3181" s="5">
        <v>33500000</v>
      </c>
      <c r="N3181" s="5">
        <v>-22300000</v>
      </c>
    </row>
    <row r="3182" spans="1:14" x14ac:dyDescent="0.25">
      <c r="A3182" s="3" t="s">
        <v>3193</v>
      </c>
      <c r="B3182" s="4">
        <v>12.69</v>
      </c>
      <c r="C3182" s="4">
        <v>0.48</v>
      </c>
      <c r="D3182" s="4">
        <v>7.0000000000000007E-2</v>
      </c>
      <c r="E3182" s="4">
        <v>-1.6872628178021931E-2</v>
      </c>
      <c r="F3182" s="3">
        <v>3180</v>
      </c>
      <c r="G3182" s="3">
        <v>3</v>
      </c>
      <c r="H3182" s="5">
        <v>64169181162.360001</v>
      </c>
      <c r="I3182" s="5">
        <v>81591181162.360001</v>
      </c>
      <c r="J3182" s="5">
        <v>18610000000</v>
      </c>
      <c r="K3182" s="5">
        <v>1188000000</v>
      </c>
      <c r="L3182" s="5">
        <v>17224000000</v>
      </c>
      <c r="M3182" s="5">
        <v>6432000000</v>
      </c>
      <c r="N3182" s="5">
        <v>2659000000</v>
      </c>
    </row>
    <row r="3183" spans="1:14" x14ac:dyDescent="0.25">
      <c r="A3183" s="3" t="s">
        <v>3194</v>
      </c>
      <c r="B3183" s="4">
        <v>10.96</v>
      </c>
      <c r="C3183" s="4">
        <v>0.11</v>
      </c>
      <c r="D3183" s="4">
        <v>0.06</v>
      </c>
      <c r="E3183" s="4">
        <v>-1.6872888078539979E-2</v>
      </c>
      <c r="F3183" s="3">
        <v>3181</v>
      </c>
      <c r="G3183" s="3">
        <v>3</v>
      </c>
      <c r="H3183" s="5">
        <v>1988740654.5599999</v>
      </c>
      <c r="I3183" s="5">
        <v>1764106654.5599999</v>
      </c>
      <c r="J3183" s="5">
        <v>182811000</v>
      </c>
      <c r="K3183" s="5">
        <v>407445000</v>
      </c>
      <c r="L3183" s="5">
        <v>782118000</v>
      </c>
      <c r="M3183" s="5">
        <v>160965000</v>
      </c>
      <c r="N3183" s="5">
        <v>103627000</v>
      </c>
    </row>
    <row r="3184" spans="1:14" x14ac:dyDescent="0.25">
      <c r="A3184" s="3" t="s">
        <v>3195</v>
      </c>
      <c r="B3184" s="4">
        <v>-1.94</v>
      </c>
      <c r="C3184" s="4">
        <v>-2.56</v>
      </c>
      <c r="D3184" s="4">
        <v>-1.37</v>
      </c>
      <c r="E3184" s="4">
        <v>-1.68792566027537E-2</v>
      </c>
      <c r="F3184" s="3">
        <v>3182</v>
      </c>
      <c r="G3184" s="3">
        <v>3</v>
      </c>
      <c r="H3184" s="5">
        <v>26018242.8057</v>
      </c>
      <c r="I3184" s="5">
        <v>20907242.8057</v>
      </c>
      <c r="J3184" s="5">
        <v>0</v>
      </c>
      <c r="K3184" s="5">
        <v>5111000</v>
      </c>
      <c r="L3184" s="5">
        <v>0</v>
      </c>
      <c r="M3184" s="5">
        <v>-10779000</v>
      </c>
      <c r="N3184" s="5">
        <v>-11053000</v>
      </c>
    </row>
    <row r="3185" spans="1:14" x14ac:dyDescent="0.25">
      <c r="A3185" s="3" t="s">
        <v>3196</v>
      </c>
      <c r="B3185" s="4">
        <v>9.58</v>
      </c>
      <c r="C3185" s="4">
        <v>-0.19</v>
      </c>
      <c r="D3185" s="4">
        <v>0.09</v>
      </c>
      <c r="E3185" s="4">
        <v>-1.6879798823044519E-2</v>
      </c>
      <c r="F3185" s="3">
        <v>3183</v>
      </c>
      <c r="G3185" s="3">
        <v>3</v>
      </c>
      <c r="H3185" s="5">
        <v>1351592686.9200001</v>
      </c>
      <c r="I3185" s="5">
        <v>2085452686.9200001</v>
      </c>
      <c r="J3185" s="5">
        <v>771815000</v>
      </c>
      <c r="K3185" s="5">
        <v>37955000</v>
      </c>
      <c r="L3185" s="5">
        <v>2059387000</v>
      </c>
      <c r="M3185" s="5">
        <v>217590000</v>
      </c>
      <c r="N3185" s="5">
        <v>83486000</v>
      </c>
    </row>
    <row r="3186" spans="1:14" x14ac:dyDescent="0.25">
      <c r="A3186" s="3" t="s">
        <v>3197</v>
      </c>
      <c r="B3186" s="4">
        <v>10.01</v>
      </c>
      <c r="C3186" s="4">
        <v>-0.09</v>
      </c>
      <c r="D3186" s="4">
        <v>-0.03</v>
      </c>
      <c r="E3186" s="4">
        <v>-1.6880146916804339E-2</v>
      </c>
      <c r="F3186" s="3">
        <v>3184</v>
      </c>
      <c r="G3186" s="3">
        <v>3</v>
      </c>
      <c r="H3186" s="5">
        <v>9227301699.75</v>
      </c>
      <c r="I3186" s="5">
        <v>20589301699.75</v>
      </c>
      <c r="J3186" s="5">
        <v>13126000000</v>
      </c>
      <c r="K3186" s="5">
        <v>1764000000</v>
      </c>
      <c r="L3186" s="5">
        <v>10636000000</v>
      </c>
      <c r="M3186" s="5">
        <v>2057000000</v>
      </c>
      <c r="N3186" s="5">
        <v>-649000000</v>
      </c>
    </row>
    <row r="3187" spans="1:14" x14ac:dyDescent="0.25">
      <c r="A3187" s="3" t="s">
        <v>3198</v>
      </c>
      <c r="B3187" s="4">
        <v>10.83</v>
      </c>
      <c r="C3187" s="4">
        <v>0.08</v>
      </c>
      <c r="D3187" s="4">
        <v>0.05</v>
      </c>
      <c r="E3187" s="4">
        <v>-1.688103825209886E-2</v>
      </c>
      <c r="F3187" s="3">
        <v>3185</v>
      </c>
      <c r="G3187" s="3">
        <v>3</v>
      </c>
      <c r="H3187" s="5">
        <v>15953632476.280001</v>
      </c>
      <c r="I3187" s="5">
        <v>18847632476.279999</v>
      </c>
      <c r="J3187" s="5">
        <v>3707300000</v>
      </c>
      <c r="K3187" s="5">
        <v>813300000</v>
      </c>
      <c r="L3187" s="5">
        <v>6231800000</v>
      </c>
      <c r="M3187" s="5">
        <v>1740300000</v>
      </c>
      <c r="N3187" s="5">
        <v>832900000</v>
      </c>
    </row>
    <row r="3188" spans="1:14" x14ac:dyDescent="0.25">
      <c r="A3188" s="3" t="s">
        <v>3199</v>
      </c>
      <c r="B3188" s="4">
        <v>10.68</v>
      </c>
      <c r="C3188" s="4">
        <v>0.05</v>
      </c>
      <c r="D3188" s="4">
        <v>0.01</v>
      </c>
      <c r="E3188" s="4">
        <v>-1.6882597093996091E-2</v>
      </c>
      <c r="F3188" s="3">
        <v>3186</v>
      </c>
      <c r="G3188" s="3">
        <v>3</v>
      </c>
      <c r="H3188" s="5">
        <v>671745461.03999996</v>
      </c>
      <c r="I3188" s="5">
        <v>1989308461.04</v>
      </c>
      <c r="J3188" s="5">
        <v>1388205000</v>
      </c>
      <c r="K3188" s="5">
        <v>70642000</v>
      </c>
      <c r="L3188" s="5">
        <v>708470000</v>
      </c>
      <c r="M3188" s="5">
        <v>186309000</v>
      </c>
      <c r="N3188" s="5">
        <v>35645000</v>
      </c>
    </row>
    <row r="3189" spans="1:14" x14ac:dyDescent="0.25">
      <c r="A3189" s="3" t="s">
        <v>3200</v>
      </c>
      <c r="B3189" s="4">
        <v>10.73</v>
      </c>
      <c r="C3189" s="4">
        <v>0.06</v>
      </c>
      <c r="D3189" s="4">
        <v>0.02</v>
      </c>
      <c r="E3189" s="4">
        <v>-1.688272048888952E-2</v>
      </c>
      <c r="F3189" s="3">
        <v>3187</v>
      </c>
      <c r="G3189" s="3">
        <v>3</v>
      </c>
      <c r="H3189" s="5">
        <v>99713921696.75</v>
      </c>
      <c r="I3189" s="5">
        <v>157397921696.75</v>
      </c>
      <c r="J3189" s="5">
        <v>66270000000</v>
      </c>
      <c r="K3189" s="5">
        <v>8586000000</v>
      </c>
      <c r="L3189" s="5">
        <v>372809000000</v>
      </c>
      <c r="M3189" s="5">
        <v>14668000000</v>
      </c>
      <c r="N3189" s="5">
        <v>4614000000</v>
      </c>
    </row>
    <row r="3190" spans="1:14" x14ac:dyDescent="0.25">
      <c r="A3190" s="3" t="s">
        <v>3201</v>
      </c>
      <c r="B3190" s="4">
        <v>10.78</v>
      </c>
      <c r="C3190" s="4">
        <v>7.0000000000000007E-2</v>
      </c>
      <c r="D3190" s="4">
        <v>0.02</v>
      </c>
      <c r="E3190" s="4">
        <v>-1.6884772910360449E-2</v>
      </c>
      <c r="F3190" s="3">
        <v>3188</v>
      </c>
      <c r="G3190" s="3">
        <v>3</v>
      </c>
      <c r="H3190" s="5">
        <v>3223341205</v>
      </c>
      <c r="I3190" s="5">
        <v>6252341205</v>
      </c>
      <c r="J3190" s="5">
        <v>3059000000</v>
      </c>
      <c r="K3190" s="5">
        <v>30000000</v>
      </c>
      <c r="L3190" s="5">
        <v>1938000000</v>
      </c>
      <c r="M3190" s="5">
        <v>580000000</v>
      </c>
      <c r="N3190" s="5">
        <v>180000000</v>
      </c>
    </row>
    <row r="3191" spans="1:14" x14ac:dyDescent="0.25">
      <c r="A3191" s="3" t="s">
        <v>3202</v>
      </c>
      <c r="B3191" s="4">
        <v>6.95</v>
      </c>
      <c r="C3191" s="4">
        <v>-0.74</v>
      </c>
      <c r="D3191" s="4">
        <v>-0.14000000000000001</v>
      </c>
      <c r="E3191" s="4">
        <v>-1.6885553721790979E-2</v>
      </c>
      <c r="F3191" s="3">
        <v>3189</v>
      </c>
      <c r="G3191" s="3">
        <v>3</v>
      </c>
      <c r="H3191" s="5">
        <v>1193193644.4200001</v>
      </c>
      <c r="I3191" s="5">
        <v>2716493644.4200001</v>
      </c>
      <c r="J3191" s="5">
        <v>1873500000</v>
      </c>
      <c r="K3191" s="5">
        <v>350200000</v>
      </c>
      <c r="L3191" s="5">
        <v>4383600000</v>
      </c>
      <c r="M3191" s="5">
        <v>391100000</v>
      </c>
      <c r="N3191" s="5">
        <v>-511500000</v>
      </c>
    </row>
    <row r="3192" spans="1:14" x14ac:dyDescent="0.25">
      <c r="A3192" s="3" t="s">
        <v>3203</v>
      </c>
      <c r="B3192" s="4">
        <v>-3.05</v>
      </c>
      <c r="C3192" s="4">
        <v>-2.78</v>
      </c>
      <c r="D3192" s="4">
        <v>-1.68</v>
      </c>
      <c r="E3192" s="4">
        <v>-1.6887713948598851E-2</v>
      </c>
      <c r="F3192" s="3">
        <v>3190</v>
      </c>
      <c r="G3192" s="3">
        <v>3</v>
      </c>
      <c r="H3192" s="5">
        <v>66145435.039999999</v>
      </c>
      <c r="I3192" s="5">
        <v>61838865.039999999</v>
      </c>
      <c r="J3192" s="5">
        <v>438510</v>
      </c>
      <c r="K3192" s="5">
        <v>4745080</v>
      </c>
      <c r="L3192" s="5">
        <v>0</v>
      </c>
      <c r="M3192" s="5">
        <v>-20265590</v>
      </c>
      <c r="N3192" s="5">
        <v>-20411190</v>
      </c>
    </row>
    <row r="3193" spans="1:14" x14ac:dyDescent="0.25">
      <c r="A3193" s="3" t="s">
        <v>3204</v>
      </c>
      <c r="B3193" s="4">
        <v>10.65</v>
      </c>
      <c r="C3193" s="4">
        <v>0.04</v>
      </c>
      <c r="D3193" s="4">
        <v>0.02</v>
      </c>
      <c r="E3193" s="4">
        <v>-1.6890994057341811E-2</v>
      </c>
      <c r="F3193" s="3">
        <v>3191</v>
      </c>
      <c r="G3193" s="3">
        <v>3</v>
      </c>
      <c r="H3193" s="5">
        <v>842568977</v>
      </c>
      <c r="I3193" s="5">
        <v>1360456977</v>
      </c>
      <c r="J3193" s="5">
        <v>562314000</v>
      </c>
      <c r="K3193" s="5">
        <v>44426000</v>
      </c>
      <c r="L3193" s="5">
        <v>1463849000</v>
      </c>
      <c r="M3193" s="5">
        <v>127705000</v>
      </c>
      <c r="N3193" s="5">
        <v>27500000</v>
      </c>
    </row>
    <row r="3194" spans="1:14" x14ac:dyDescent="0.25">
      <c r="A3194" s="3" t="s">
        <v>3205</v>
      </c>
      <c r="B3194" s="4">
        <v>11.69</v>
      </c>
      <c r="C3194" s="4">
        <v>0.26</v>
      </c>
      <c r="D3194" s="4">
        <v>0.06</v>
      </c>
      <c r="E3194" s="4">
        <v>-1.689129598920977E-2</v>
      </c>
      <c r="F3194" s="3">
        <v>3192</v>
      </c>
      <c r="G3194" s="3">
        <v>3</v>
      </c>
      <c r="H3194" s="5">
        <v>5431346389.5600004</v>
      </c>
      <c r="I3194" s="5">
        <v>7666346389.5600004</v>
      </c>
      <c r="J3194" s="5">
        <v>2585000000</v>
      </c>
      <c r="K3194" s="5">
        <v>350000000</v>
      </c>
      <c r="L3194" s="5">
        <v>7742000000</v>
      </c>
      <c r="M3194" s="5">
        <v>656000000</v>
      </c>
      <c r="N3194" s="5">
        <v>375000000</v>
      </c>
    </row>
    <row r="3195" spans="1:14" x14ac:dyDescent="0.25">
      <c r="A3195" s="3" t="s">
        <v>3206</v>
      </c>
      <c r="B3195" s="4">
        <v>11</v>
      </c>
      <c r="C3195" s="4">
        <v>0.11</v>
      </c>
      <c r="D3195" s="4">
        <v>0.04</v>
      </c>
      <c r="E3195" s="4">
        <v>-1.6901502954483311E-2</v>
      </c>
      <c r="F3195" s="3">
        <v>3193</v>
      </c>
      <c r="G3195" s="3">
        <v>3</v>
      </c>
      <c r="H3195" s="5">
        <v>31093469219.099998</v>
      </c>
      <c r="I3195" s="5">
        <v>38630469219.099998</v>
      </c>
      <c r="J3195" s="5">
        <v>8607000000</v>
      </c>
      <c r="K3195" s="5">
        <v>1070000000</v>
      </c>
      <c r="L3195" s="5">
        <v>15455000000</v>
      </c>
      <c r="M3195" s="5">
        <v>3511000000</v>
      </c>
      <c r="N3195" s="5">
        <v>1030000000</v>
      </c>
    </row>
    <row r="3196" spans="1:14" x14ac:dyDescent="0.25">
      <c r="A3196" s="3" t="s">
        <v>3207</v>
      </c>
      <c r="B3196" s="4">
        <v>10.96</v>
      </c>
      <c r="C3196" s="4">
        <v>0.1</v>
      </c>
      <c r="D3196" s="4">
        <v>0.06</v>
      </c>
      <c r="E3196" s="4">
        <v>-1.6901781685554441E-2</v>
      </c>
      <c r="F3196" s="3">
        <v>3194</v>
      </c>
      <c r="G3196" s="3">
        <v>3</v>
      </c>
      <c r="H3196" s="5">
        <v>11852466231.15</v>
      </c>
      <c r="I3196" s="5">
        <v>13969342231.15</v>
      </c>
      <c r="J3196" s="5">
        <v>2858757000</v>
      </c>
      <c r="K3196" s="5">
        <v>741881000</v>
      </c>
      <c r="L3196" s="5">
        <v>11920797000</v>
      </c>
      <c r="M3196" s="5">
        <v>1274600000</v>
      </c>
      <c r="N3196" s="5">
        <v>805038000</v>
      </c>
    </row>
    <row r="3197" spans="1:14" x14ac:dyDescent="0.25">
      <c r="A3197" s="3" t="s">
        <v>3208</v>
      </c>
      <c r="B3197" s="4">
        <v>4.7</v>
      </c>
      <c r="C3197" s="4">
        <v>-1.24</v>
      </c>
      <c r="D3197" s="4">
        <v>0.04</v>
      </c>
      <c r="E3197" s="4">
        <v>-1.6902940312276349E-2</v>
      </c>
      <c r="F3197" s="3">
        <v>3195</v>
      </c>
      <c r="G3197" s="3">
        <v>3</v>
      </c>
      <c r="H3197" s="5">
        <v>1409238652.5</v>
      </c>
      <c r="I3197" s="5">
        <v>3243538652.5</v>
      </c>
      <c r="J3197" s="5">
        <v>2400100000</v>
      </c>
      <c r="K3197" s="5">
        <v>565800000</v>
      </c>
      <c r="L3197" s="5">
        <v>2549300000</v>
      </c>
      <c r="M3197" s="5">
        <v>690700000</v>
      </c>
      <c r="N3197" s="5">
        <v>162200000</v>
      </c>
    </row>
    <row r="3198" spans="1:14" x14ac:dyDescent="0.25">
      <c r="A3198" s="3" t="s">
        <v>3209</v>
      </c>
      <c r="B3198" s="4">
        <v>10.91</v>
      </c>
      <c r="C3198" s="4">
        <v>0.09</v>
      </c>
      <c r="D3198" s="4">
        <v>0.03</v>
      </c>
      <c r="E3198" s="4">
        <v>-1.690551634381603E-2</v>
      </c>
      <c r="F3198" s="3">
        <v>3196</v>
      </c>
      <c r="G3198" s="3">
        <v>3</v>
      </c>
      <c r="H3198" s="5">
        <v>336079090.50999999</v>
      </c>
      <c r="I3198" s="5">
        <v>513639090.50999999</v>
      </c>
      <c r="J3198" s="5">
        <v>178707000</v>
      </c>
      <c r="K3198" s="5">
        <v>1147000</v>
      </c>
      <c r="L3198" s="5">
        <v>107952000</v>
      </c>
      <c r="M3198" s="5">
        <v>47095000</v>
      </c>
      <c r="N3198" s="5">
        <v>20394000</v>
      </c>
    </row>
    <row r="3199" spans="1:14" x14ac:dyDescent="0.25">
      <c r="A3199" s="3" t="s">
        <v>3210</v>
      </c>
      <c r="B3199" s="4">
        <v>11.07</v>
      </c>
      <c r="C3199" s="4">
        <v>0.12</v>
      </c>
      <c r="D3199" s="4">
        <v>0.05</v>
      </c>
      <c r="E3199" s="4">
        <v>-1.6914004760770891E-2</v>
      </c>
      <c r="F3199" s="3">
        <v>3197</v>
      </c>
      <c r="G3199" s="3">
        <v>3</v>
      </c>
      <c r="H3199" s="5">
        <v>731045175.89999998</v>
      </c>
      <c r="I3199" s="5">
        <v>837999175.89999998</v>
      </c>
      <c r="J3199" s="5">
        <v>126111000</v>
      </c>
      <c r="K3199" s="5">
        <v>19157000</v>
      </c>
      <c r="L3199" s="5">
        <v>523848000</v>
      </c>
      <c r="M3199" s="5">
        <v>75721000</v>
      </c>
      <c r="N3199" s="5">
        <v>31400000</v>
      </c>
    </row>
    <row r="3200" spans="1:14" x14ac:dyDescent="0.25">
      <c r="A3200" s="3" t="s">
        <v>3211</v>
      </c>
      <c r="B3200" s="4">
        <v>10.83</v>
      </c>
      <c r="C3200" s="4">
        <v>7.0000000000000007E-2</v>
      </c>
      <c r="D3200" s="4">
        <v>0.02</v>
      </c>
      <c r="E3200" s="4">
        <v>-1.6915718938845831E-2</v>
      </c>
      <c r="F3200" s="3">
        <v>3198</v>
      </c>
      <c r="G3200" s="3">
        <v>3</v>
      </c>
      <c r="H3200" s="5">
        <v>19176309690.400002</v>
      </c>
      <c r="I3200" s="5">
        <v>23567309690.400002</v>
      </c>
      <c r="J3200" s="5">
        <v>5561000000</v>
      </c>
      <c r="K3200" s="5">
        <v>1170000000</v>
      </c>
      <c r="L3200" s="5">
        <v>18619000000</v>
      </c>
      <c r="M3200" s="5">
        <v>2176000000</v>
      </c>
      <c r="N3200" s="5">
        <v>557000000</v>
      </c>
    </row>
    <row r="3201" spans="1:14" x14ac:dyDescent="0.25">
      <c r="A3201" s="3" t="s">
        <v>3212</v>
      </c>
      <c r="B3201" s="4">
        <v>10.02</v>
      </c>
      <c r="C3201" s="4">
        <v>-0.1</v>
      </c>
      <c r="D3201" s="4">
        <v>-0.06</v>
      </c>
      <c r="E3201" s="4">
        <v>-1.6921016809248391E-2</v>
      </c>
      <c r="F3201" s="3">
        <v>3199</v>
      </c>
      <c r="G3201" s="3">
        <v>3</v>
      </c>
      <c r="H3201" s="5">
        <v>2556064782.4400001</v>
      </c>
      <c r="I3201" s="5">
        <v>2724741782.440001</v>
      </c>
      <c r="J3201" s="5">
        <v>1966847000</v>
      </c>
      <c r="K3201" s="5">
        <v>1798170000</v>
      </c>
      <c r="L3201" s="5">
        <v>3807233000</v>
      </c>
      <c r="M3201" s="5">
        <v>271965000</v>
      </c>
      <c r="N3201" s="5">
        <v>-539897000</v>
      </c>
    </row>
    <row r="3202" spans="1:14" x14ac:dyDescent="0.25">
      <c r="A3202" s="3" t="s">
        <v>3213</v>
      </c>
      <c r="B3202" s="4">
        <v>9.42</v>
      </c>
      <c r="C3202" s="4">
        <v>-0.23</v>
      </c>
      <c r="D3202" s="4">
        <v>-0.05</v>
      </c>
      <c r="E3202" s="4">
        <v>-1.6923352332034191E-2</v>
      </c>
      <c r="F3202" s="3">
        <v>3200</v>
      </c>
      <c r="G3202" s="3">
        <v>3</v>
      </c>
      <c r="H3202" s="5">
        <v>610171315.20000005</v>
      </c>
      <c r="I3202" s="5">
        <v>914602315.20000005</v>
      </c>
      <c r="J3202" s="5">
        <v>346013000</v>
      </c>
      <c r="K3202" s="5">
        <v>41582000</v>
      </c>
      <c r="L3202" s="5">
        <v>573280000</v>
      </c>
      <c r="M3202" s="5">
        <v>97127000</v>
      </c>
      <c r="N3202" s="5">
        <v>-33542000</v>
      </c>
    </row>
    <row r="3203" spans="1:14" x14ac:dyDescent="0.25">
      <c r="A3203" s="3" t="s">
        <v>3214</v>
      </c>
      <c r="B3203" s="4">
        <v>10.27</v>
      </c>
      <c r="C3203" s="4">
        <v>-0.05</v>
      </c>
      <c r="D3203" s="4">
        <v>-0.02</v>
      </c>
      <c r="E3203" s="4">
        <v>-1.692356281029302E-2</v>
      </c>
      <c r="F3203" s="3">
        <v>3201</v>
      </c>
      <c r="G3203" s="3">
        <v>3</v>
      </c>
      <c r="H3203" s="5">
        <v>1024793657.9400001</v>
      </c>
      <c r="I3203" s="5">
        <v>3137502657.9400001</v>
      </c>
      <c r="J3203" s="5">
        <v>2222346000</v>
      </c>
      <c r="K3203" s="5">
        <v>109637000</v>
      </c>
      <c r="L3203" s="5">
        <v>570324000</v>
      </c>
      <c r="M3203" s="5">
        <v>305608000</v>
      </c>
      <c r="N3203" s="5">
        <v>-79069000</v>
      </c>
    </row>
    <row r="3204" spans="1:14" x14ac:dyDescent="0.25">
      <c r="A3204" s="3" t="s">
        <v>3215</v>
      </c>
      <c r="B3204" s="4">
        <v>10.75</v>
      </c>
      <c r="C3204" s="4">
        <v>0.05</v>
      </c>
      <c r="D3204" s="4">
        <v>0.02</v>
      </c>
      <c r="E3204" s="4">
        <v>-1.6923992507298129E-2</v>
      </c>
      <c r="F3204" s="3">
        <v>3202</v>
      </c>
      <c r="G3204" s="3">
        <v>3</v>
      </c>
      <c r="H3204" s="5">
        <v>1152725416.7</v>
      </c>
      <c r="I3204" s="5">
        <v>2737581416.6999998</v>
      </c>
      <c r="J3204" s="5">
        <v>2010515000</v>
      </c>
      <c r="K3204" s="5">
        <v>425659000</v>
      </c>
      <c r="L3204" s="5">
        <v>457855000</v>
      </c>
      <c r="M3204" s="5">
        <v>254660000</v>
      </c>
      <c r="N3204" s="5">
        <v>57585000</v>
      </c>
    </row>
    <row r="3205" spans="1:14" x14ac:dyDescent="0.25">
      <c r="A3205" s="3" t="s">
        <v>3216</v>
      </c>
      <c r="B3205" s="4">
        <v>8.59</v>
      </c>
      <c r="C3205" s="4">
        <v>-0.42</v>
      </c>
      <c r="D3205" s="4">
        <v>0.12</v>
      </c>
      <c r="E3205" s="4">
        <v>-1.692583334063387E-2</v>
      </c>
      <c r="F3205" s="3">
        <v>3203</v>
      </c>
      <c r="G3205" s="3">
        <v>3</v>
      </c>
      <c r="H3205" s="5">
        <v>3395664764.2800002</v>
      </c>
      <c r="I3205" s="5">
        <v>4741664764.2800007</v>
      </c>
      <c r="J3205" s="5">
        <v>1471000000</v>
      </c>
      <c r="K3205" s="5">
        <v>125000000</v>
      </c>
      <c r="L3205" s="5">
        <v>3475000000</v>
      </c>
      <c r="M3205" s="5">
        <v>552000000</v>
      </c>
      <c r="N3205" s="5">
        <v>282000000</v>
      </c>
    </row>
    <row r="3206" spans="1:14" x14ac:dyDescent="0.25">
      <c r="A3206" s="3" t="s">
        <v>3217</v>
      </c>
      <c r="B3206" s="4">
        <v>11.06</v>
      </c>
      <c r="C3206" s="4">
        <v>0.11</v>
      </c>
      <c r="D3206" s="4">
        <v>7.0000000000000007E-2</v>
      </c>
      <c r="E3206" s="4">
        <v>-1.693285110893326E-2</v>
      </c>
      <c r="F3206" s="3">
        <v>3204</v>
      </c>
      <c r="G3206" s="3">
        <v>3</v>
      </c>
      <c r="H3206" s="5">
        <v>40695668.159999996</v>
      </c>
      <c r="I3206" s="5">
        <v>38746668.159999996</v>
      </c>
      <c r="J3206" s="5">
        <v>1419000</v>
      </c>
      <c r="K3206" s="5">
        <v>3368000</v>
      </c>
      <c r="L3206" s="5">
        <v>39949000</v>
      </c>
      <c r="M3206" s="5">
        <v>3504000</v>
      </c>
      <c r="N3206" s="5">
        <v>2300000</v>
      </c>
    </row>
    <row r="3207" spans="1:14" x14ac:dyDescent="0.25">
      <c r="A3207" s="3" t="s">
        <v>3218</v>
      </c>
      <c r="B3207" s="4">
        <v>13.57</v>
      </c>
      <c r="C3207" s="4">
        <v>0.65</v>
      </c>
      <c r="D3207" s="4">
        <v>0.02</v>
      </c>
      <c r="E3207" s="4">
        <v>-1.693573209300649E-2</v>
      </c>
      <c r="F3207" s="3">
        <v>3205</v>
      </c>
      <c r="G3207" s="3">
        <v>3</v>
      </c>
      <c r="H3207" s="5">
        <v>42650225666.910004</v>
      </c>
      <c r="I3207" s="5">
        <v>75799225666.910004</v>
      </c>
      <c r="J3207" s="5">
        <v>41298000000</v>
      </c>
      <c r="K3207" s="5">
        <v>8149000000</v>
      </c>
      <c r="L3207" s="5">
        <v>17926000000</v>
      </c>
      <c r="M3207" s="5">
        <v>5584000000</v>
      </c>
      <c r="N3207" s="5">
        <v>3401000000</v>
      </c>
    </row>
    <row r="3208" spans="1:14" x14ac:dyDescent="0.25">
      <c r="A3208" s="3" t="s">
        <v>3219</v>
      </c>
      <c r="B3208" s="4">
        <v>10.81</v>
      </c>
      <c r="C3208" s="4">
        <v>0.06</v>
      </c>
      <c r="D3208" s="4">
        <v>0</v>
      </c>
      <c r="E3208" s="4">
        <v>-1.6936092187621151E-2</v>
      </c>
      <c r="F3208" s="3">
        <v>3206</v>
      </c>
      <c r="G3208" s="3">
        <v>3</v>
      </c>
      <c r="H3208" s="5">
        <v>1114300012.1400001</v>
      </c>
      <c r="I3208" s="5">
        <v>3497860012.1399999</v>
      </c>
      <c r="J3208" s="5">
        <v>2443246000</v>
      </c>
      <c r="K3208" s="5">
        <v>59686000</v>
      </c>
      <c r="L3208" s="5">
        <v>1201333000</v>
      </c>
      <c r="M3208" s="5">
        <v>323530000</v>
      </c>
      <c r="N3208" s="5">
        <v>-10022000</v>
      </c>
    </row>
    <row r="3209" spans="1:14" x14ac:dyDescent="0.25">
      <c r="A3209" s="3" t="s">
        <v>3220</v>
      </c>
      <c r="B3209" s="4">
        <v>10.63</v>
      </c>
      <c r="C3209" s="4">
        <v>0.02</v>
      </c>
      <c r="D3209" s="4">
        <v>0.01</v>
      </c>
      <c r="E3209" s="4">
        <v>-1.6938331886554081E-2</v>
      </c>
      <c r="F3209" s="3">
        <v>3207</v>
      </c>
      <c r="G3209" s="3">
        <v>3</v>
      </c>
      <c r="H3209" s="5">
        <v>18824817088.349998</v>
      </c>
      <c r="I3209" s="5">
        <v>31564817088.349998</v>
      </c>
      <c r="J3209" s="5">
        <v>13595000000</v>
      </c>
      <c r="K3209" s="5">
        <v>855000000</v>
      </c>
      <c r="L3209" s="5">
        <v>21109000000</v>
      </c>
      <c r="M3209" s="5">
        <v>2969000000</v>
      </c>
      <c r="N3209" s="5">
        <v>319000000</v>
      </c>
    </row>
    <row r="3210" spans="1:14" x14ac:dyDescent="0.25">
      <c r="A3210" s="3" t="s">
        <v>3221</v>
      </c>
      <c r="B3210" s="4">
        <v>11.12</v>
      </c>
      <c r="C3210" s="4">
        <v>0.12</v>
      </c>
      <c r="D3210" s="4">
        <v>0.08</v>
      </c>
      <c r="E3210" s="4">
        <v>-1.6939163709523749E-2</v>
      </c>
      <c r="F3210" s="3">
        <v>3208</v>
      </c>
      <c r="G3210" s="3">
        <v>3</v>
      </c>
      <c r="H3210" s="5">
        <v>5150437236.6999998</v>
      </c>
      <c r="I3210" s="5">
        <v>4489944236.6999998</v>
      </c>
      <c r="J3210" s="5">
        <v>0</v>
      </c>
      <c r="K3210" s="5">
        <v>660493000</v>
      </c>
      <c r="L3210" s="5">
        <v>3698652000</v>
      </c>
      <c r="M3210" s="5">
        <v>403685000</v>
      </c>
      <c r="N3210" s="5">
        <v>280088000</v>
      </c>
    </row>
    <row r="3211" spans="1:14" x14ac:dyDescent="0.25">
      <c r="A3211" s="3" t="s">
        <v>3222</v>
      </c>
      <c r="B3211" s="4">
        <v>11.25</v>
      </c>
      <c r="C3211" s="4">
        <v>0.15</v>
      </c>
      <c r="D3211" s="4">
        <v>0.04</v>
      </c>
      <c r="E3211" s="4">
        <v>-1.6940658668852419E-2</v>
      </c>
      <c r="F3211" s="3">
        <v>3209</v>
      </c>
      <c r="G3211" s="3">
        <v>3</v>
      </c>
      <c r="H3211" s="5">
        <v>341414379</v>
      </c>
      <c r="I3211" s="5">
        <v>410452379</v>
      </c>
      <c r="J3211" s="5">
        <v>70274000</v>
      </c>
      <c r="K3211" s="5">
        <v>1236000</v>
      </c>
      <c r="L3211" s="5">
        <v>1063457000</v>
      </c>
      <c r="M3211" s="5">
        <v>36485000</v>
      </c>
      <c r="N3211" s="5">
        <v>15078000</v>
      </c>
    </row>
    <row r="3212" spans="1:14" x14ac:dyDescent="0.25">
      <c r="A3212" s="3" t="s">
        <v>3223</v>
      </c>
      <c r="B3212" s="4">
        <v>11.18</v>
      </c>
      <c r="C3212" s="4">
        <v>0.13</v>
      </c>
      <c r="D3212" s="4">
        <v>0.11</v>
      </c>
      <c r="E3212" s="4">
        <v>-1.6941618256959241E-2</v>
      </c>
      <c r="F3212" s="3">
        <v>3210</v>
      </c>
      <c r="G3212" s="3">
        <v>3</v>
      </c>
      <c r="H3212" s="5">
        <v>81683541</v>
      </c>
      <c r="I3212" s="5">
        <v>75212541</v>
      </c>
      <c r="J3212" s="5">
        <v>0</v>
      </c>
      <c r="K3212" s="5">
        <v>6471000</v>
      </c>
      <c r="L3212" s="5">
        <v>22538000</v>
      </c>
      <c r="M3212" s="5">
        <v>6725000</v>
      </c>
      <c r="N3212" s="5">
        <v>7133000</v>
      </c>
    </row>
    <row r="3213" spans="1:14" x14ac:dyDescent="0.25">
      <c r="A3213" s="3" t="s">
        <v>3224</v>
      </c>
      <c r="B3213" s="4">
        <v>-5.17</v>
      </c>
      <c r="C3213" s="4">
        <v>-3.26</v>
      </c>
      <c r="D3213" s="4">
        <v>-1.59</v>
      </c>
      <c r="E3213" s="4">
        <v>-1.6945134238314868E-2</v>
      </c>
      <c r="F3213" s="3">
        <v>3211</v>
      </c>
      <c r="G3213" s="3">
        <v>3</v>
      </c>
      <c r="H3213" s="5">
        <v>176899747.91999999</v>
      </c>
      <c r="I3213" s="5">
        <v>163013747.91999999</v>
      </c>
      <c r="J3213" s="5">
        <v>0</v>
      </c>
      <c r="K3213" s="5">
        <v>13886000</v>
      </c>
      <c r="L3213" s="5">
        <v>0</v>
      </c>
      <c r="M3213" s="5">
        <v>-31513000</v>
      </c>
      <c r="N3213" s="5">
        <v>-30881000</v>
      </c>
    </row>
    <row r="3214" spans="1:14" x14ac:dyDescent="0.25">
      <c r="A3214" s="3" t="s">
        <v>3225</v>
      </c>
      <c r="B3214" s="4">
        <v>11.86</v>
      </c>
      <c r="C3214" s="4">
        <v>0.27</v>
      </c>
      <c r="D3214" s="4">
        <v>0.14000000000000001</v>
      </c>
      <c r="E3214" s="4">
        <v>-1.6952186666425579E-2</v>
      </c>
      <c r="F3214" s="3">
        <v>3212</v>
      </c>
      <c r="G3214" s="3">
        <v>3</v>
      </c>
      <c r="H3214" s="5">
        <v>9771842087.0400009</v>
      </c>
      <c r="I3214" s="5">
        <v>10802451087.040001</v>
      </c>
      <c r="J3214" s="5">
        <v>1368260000</v>
      </c>
      <c r="K3214" s="5">
        <v>337651000</v>
      </c>
      <c r="L3214" s="5">
        <v>2321748000</v>
      </c>
      <c r="M3214" s="5">
        <v>910864000</v>
      </c>
      <c r="N3214" s="5">
        <v>597040000</v>
      </c>
    </row>
    <row r="3215" spans="1:14" x14ac:dyDescent="0.25">
      <c r="A3215" s="3" t="s">
        <v>3226</v>
      </c>
      <c r="B3215" s="4">
        <v>9.83</v>
      </c>
      <c r="C3215" s="4">
        <v>-0.15</v>
      </c>
      <c r="D3215" s="4">
        <v>-0.09</v>
      </c>
      <c r="E3215" s="4">
        <v>-1.695367701580873E-2</v>
      </c>
      <c r="F3215" s="3">
        <v>3213</v>
      </c>
      <c r="G3215" s="3">
        <v>3</v>
      </c>
      <c r="H3215" s="5">
        <v>3839550000</v>
      </c>
      <c r="I3215" s="5">
        <v>4540934000</v>
      </c>
      <c r="J3215" s="5">
        <v>702857000</v>
      </c>
      <c r="K3215" s="5">
        <v>1473000</v>
      </c>
      <c r="L3215" s="5">
        <v>958131000</v>
      </c>
      <c r="M3215" s="5">
        <v>462180000</v>
      </c>
      <c r="N3215" s="5">
        <v>-261386000</v>
      </c>
    </row>
    <row r="3216" spans="1:14" x14ac:dyDescent="0.25">
      <c r="A3216" s="3" t="s">
        <v>3227</v>
      </c>
      <c r="B3216" s="4">
        <v>10.91</v>
      </c>
      <c r="C3216" s="4">
        <v>7.0000000000000007E-2</v>
      </c>
      <c r="D3216" s="4">
        <v>7.0000000000000007E-2</v>
      </c>
      <c r="E3216" s="4">
        <v>-1.6955587451534922E-2</v>
      </c>
      <c r="F3216" s="3">
        <v>3214</v>
      </c>
      <c r="G3216" s="3">
        <v>3</v>
      </c>
      <c r="H3216" s="5">
        <v>203155749.72</v>
      </c>
      <c r="I3216" s="5">
        <v>177673749.72</v>
      </c>
      <c r="J3216" s="5">
        <v>0</v>
      </c>
      <c r="K3216" s="5">
        <v>25482000</v>
      </c>
      <c r="L3216" s="5">
        <v>113166000</v>
      </c>
      <c r="M3216" s="5">
        <v>16289000</v>
      </c>
      <c r="N3216" s="5">
        <v>14558000</v>
      </c>
    </row>
    <row r="3217" spans="1:14" x14ac:dyDescent="0.25">
      <c r="A3217" s="3" t="s">
        <v>3228</v>
      </c>
      <c r="B3217" s="4">
        <v>11.14</v>
      </c>
      <c r="C3217" s="4">
        <v>0.12</v>
      </c>
      <c r="D3217" s="4">
        <v>0.03</v>
      </c>
      <c r="E3217" s="4">
        <v>-1.6961187253805441E-2</v>
      </c>
      <c r="F3217" s="3">
        <v>3215</v>
      </c>
      <c r="G3217" s="3">
        <v>3</v>
      </c>
      <c r="H3217" s="5">
        <v>23286131150.169998</v>
      </c>
      <c r="I3217" s="5">
        <v>67371416150.169998</v>
      </c>
      <c r="J3217" s="5">
        <v>45294511000</v>
      </c>
      <c r="K3217" s="5">
        <v>1209226000</v>
      </c>
      <c r="L3217" s="5">
        <v>7345502000</v>
      </c>
      <c r="M3217" s="5">
        <v>6046228000</v>
      </c>
      <c r="N3217" s="5">
        <v>2098632000</v>
      </c>
    </row>
    <row r="3218" spans="1:14" x14ac:dyDescent="0.25">
      <c r="A3218" s="3" t="s">
        <v>3229</v>
      </c>
      <c r="B3218" s="4">
        <v>9.11</v>
      </c>
      <c r="C3218" s="4">
        <v>-0.31</v>
      </c>
      <c r="D3218" s="4">
        <v>-0.05</v>
      </c>
      <c r="E3218" s="4">
        <v>-1.696263581154046E-2</v>
      </c>
      <c r="F3218" s="3">
        <v>3216</v>
      </c>
      <c r="G3218" s="3">
        <v>3</v>
      </c>
      <c r="H3218" s="5">
        <v>984711811.38</v>
      </c>
      <c r="I3218" s="5">
        <v>2336218811.3800001</v>
      </c>
      <c r="J3218" s="5">
        <v>1439866000</v>
      </c>
      <c r="K3218" s="5">
        <v>88359000</v>
      </c>
      <c r="L3218" s="5">
        <v>2342645000</v>
      </c>
      <c r="M3218" s="5">
        <v>256509000</v>
      </c>
      <c r="N3218" s="5">
        <v>-127973000</v>
      </c>
    </row>
    <row r="3219" spans="1:14" x14ac:dyDescent="0.25">
      <c r="A3219" s="3" t="s">
        <v>3230</v>
      </c>
      <c r="B3219" s="4">
        <v>11.91</v>
      </c>
      <c r="C3219" s="4">
        <v>0.28000000000000003</v>
      </c>
      <c r="D3219" s="4">
        <v>0.08</v>
      </c>
      <c r="E3219" s="4">
        <v>-1.6965813247361541E-2</v>
      </c>
      <c r="F3219" s="3">
        <v>3217</v>
      </c>
      <c r="G3219" s="3">
        <v>3</v>
      </c>
      <c r="H3219" s="5">
        <v>65770677285.919998</v>
      </c>
      <c r="I3219" s="5">
        <v>83340677285.919998</v>
      </c>
      <c r="J3219" s="5">
        <v>18503000000</v>
      </c>
      <c r="K3219" s="5">
        <v>933000000</v>
      </c>
      <c r="L3219" s="5">
        <v>14540000000</v>
      </c>
      <c r="M3219" s="5">
        <v>7000000000</v>
      </c>
      <c r="N3219" s="5">
        <v>3470000000</v>
      </c>
    </row>
    <row r="3220" spans="1:14" x14ac:dyDescent="0.25">
      <c r="A3220" s="3" t="s">
        <v>3231</v>
      </c>
      <c r="B3220" s="4">
        <v>10.91</v>
      </c>
      <c r="C3220" s="4">
        <v>7.0000000000000007E-2</v>
      </c>
      <c r="D3220" s="4">
        <v>0</v>
      </c>
      <c r="E3220" s="4">
        <v>-1.6969090637577459E-2</v>
      </c>
      <c r="F3220" s="3">
        <v>3218</v>
      </c>
      <c r="G3220" s="3">
        <v>3</v>
      </c>
      <c r="H3220" s="5">
        <v>2708034590.5300002</v>
      </c>
      <c r="I3220" s="5">
        <v>1556434590.53</v>
      </c>
      <c r="J3220" s="5">
        <v>121400000</v>
      </c>
      <c r="K3220" s="5">
        <v>1273000000</v>
      </c>
      <c r="L3220" s="5">
        <v>583600000</v>
      </c>
      <c r="M3220" s="5">
        <v>142700000</v>
      </c>
      <c r="N3220" s="5">
        <v>27200000</v>
      </c>
    </row>
    <row r="3221" spans="1:14" x14ac:dyDescent="0.25">
      <c r="A3221" s="3" t="s">
        <v>3232</v>
      </c>
      <c r="B3221" s="4">
        <v>0.26</v>
      </c>
      <c r="C3221" s="4">
        <v>-2.1</v>
      </c>
      <c r="D3221" s="4">
        <v>-1.67</v>
      </c>
      <c r="E3221" s="4">
        <v>-1.6969646730770841E-2</v>
      </c>
      <c r="F3221" s="3">
        <v>3219</v>
      </c>
      <c r="G3221" s="3">
        <v>3</v>
      </c>
      <c r="H3221" s="5">
        <v>1609.4882</v>
      </c>
      <c r="I3221" s="5">
        <v>-4390210.5118000004</v>
      </c>
      <c r="J3221" s="5">
        <v>0</v>
      </c>
      <c r="K3221" s="5">
        <v>4391820</v>
      </c>
      <c r="L3221" s="5">
        <v>26470</v>
      </c>
      <c r="M3221" s="5">
        <v>-17035450</v>
      </c>
      <c r="N3221" s="5">
        <v>-18944440</v>
      </c>
    </row>
    <row r="3222" spans="1:14" x14ac:dyDescent="0.25">
      <c r="A3222" s="3" t="s">
        <v>3233</v>
      </c>
      <c r="B3222" s="4">
        <v>10.5</v>
      </c>
      <c r="C3222" s="4">
        <v>-0.02</v>
      </c>
      <c r="D3222" s="4">
        <v>-0.01</v>
      </c>
      <c r="E3222" s="4">
        <v>-1.6977304693704919E-2</v>
      </c>
      <c r="F3222" s="3">
        <v>3220</v>
      </c>
      <c r="G3222" s="3">
        <v>3</v>
      </c>
      <c r="H3222" s="5">
        <v>278509116</v>
      </c>
      <c r="I3222" s="5">
        <v>908232116</v>
      </c>
      <c r="J3222" s="5">
        <v>648609000</v>
      </c>
      <c r="K3222" s="5">
        <v>18886000</v>
      </c>
      <c r="L3222" s="5">
        <v>171126000</v>
      </c>
      <c r="M3222" s="5">
        <v>86465000</v>
      </c>
      <c r="N3222" s="5">
        <v>-17680000</v>
      </c>
    </row>
    <row r="3223" spans="1:14" x14ac:dyDescent="0.25">
      <c r="A3223" s="3" t="s">
        <v>3234</v>
      </c>
      <c r="B3223" s="4">
        <v>9.94</v>
      </c>
      <c r="C3223" s="4">
        <v>-0.14000000000000001</v>
      </c>
      <c r="D3223" s="4">
        <v>-0.02</v>
      </c>
      <c r="E3223" s="4">
        <v>-1.6979361485419581E-2</v>
      </c>
      <c r="F3223" s="3">
        <v>3221</v>
      </c>
      <c r="G3223" s="3">
        <v>3</v>
      </c>
      <c r="H3223" s="5">
        <v>254949783.90000001</v>
      </c>
      <c r="I3223" s="5">
        <v>197459783.90000001</v>
      </c>
      <c r="J3223" s="5">
        <v>304855000</v>
      </c>
      <c r="K3223" s="5">
        <v>362345000</v>
      </c>
      <c r="L3223" s="5">
        <v>707626000</v>
      </c>
      <c r="M3223" s="5">
        <v>19869000</v>
      </c>
      <c r="N3223" s="5">
        <v>-81120000</v>
      </c>
    </row>
    <row r="3224" spans="1:14" x14ac:dyDescent="0.25">
      <c r="A3224" s="3" t="s">
        <v>3235</v>
      </c>
      <c r="B3224" s="4">
        <v>9.2799999999999994</v>
      </c>
      <c r="C3224" s="4">
        <v>-0.28000000000000003</v>
      </c>
      <c r="D3224" s="4">
        <v>-0.05</v>
      </c>
      <c r="E3224" s="4">
        <v>-1.6981171487347398E-2</v>
      </c>
      <c r="F3224" s="3">
        <v>3222</v>
      </c>
      <c r="G3224" s="3">
        <v>3</v>
      </c>
      <c r="H3224" s="5">
        <v>33043827</v>
      </c>
      <c r="I3224" s="5">
        <v>112518827</v>
      </c>
      <c r="J3224" s="5">
        <v>99797000</v>
      </c>
      <c r="K3224" s="5">
        <v>20322000</v>
      </c>
      <c r="L3224" s="5">
        <v>318797000</v>
      </c>
      <c r="M3224" s="5">
        <v>12121000</v>
      </c>
      <c r="N3224" s="5">
        <v>-15150000</v>
      </c>
    </row>
    <row r="3225" spans="1:14" x14ac:dyDescent="0.25">
      <c r="A3225" s="3" t="s">
        <v>3236</v>
      </c>
      <c r="B3225" s="4">
        <v>10.8</v>
      </c>
      <c r="C3225" s="4">
        <v>0.04</v>
      </c>
      <c r="D3225" s="4">
        <v>0.01</v>
      </c>
      <c r="E3225" s="4">
        <v>-1.6985761169375481E-2</v>
      </c>
      <c r="F3225" s="3">
        <v>3223</v>
      </c>
      <c r="G3225" s="3">
        <v>3</v>
      </c>
      <c r="H3225" s="5">
        <v>11816889011</v>
      </c>
      <c r="I3225" s="5">
        <v>19529789011</v>
      </c>
      <c r="J3225" s="5">
        <v>12121800000</v>
      </c>
      <c r="K3225" s="5">
        <v>4408900000</v>
      </c>
      <c r="L3225" s="5">
        <v>8478000000</v>
      </c>
      <c r="M3225" s="5">
        <v>1808800000</v>
      </c>
      <c r="N3225" s="5">
        <v>464800000</v>
      </c>
    </row>
    <row r="3226" spans="1:14" x14ac:dyDescent="0.25">
      <c r="A3226" s="3" t="s">
        <v>3237</v>
      </c>
      <c r="B3226" s="4">
        <v>-4.3099999999999996</v>
      </c>
      <c r="C3226" s="4">
        <v>-3.16</v>
      </c>
      <c r="D3226" s="4">
        <v>-0.55000000000000004</v>
      </c>
      <c r="E3226" s="4">
        <v>-1.6987851094058339E-2</v>
      </c>
      <c r="F3226" s="3">
        <v>3224</v>
      </c>
      <c r="G3226" s="3">
        <v>3</v>
      </c>
      <c r="H3226" s="5">
        <v>152989669.80000001</v>
      </c>
      <c r="I3226" s="5">
        <v>181027669.80000001</v>
      </c>
      <c r="J3226" s="5">
        <v>53352000</v>
      </c>
      <c r="K3226" s="5">
        <v>25314000</v>
      </c>
      <c r="L3226" s="5">
        <v>0</v>
      </c>
      <c r="M3226" s="5">
        <v>-41997000</v>
      </c>
      <c r="N3226" s="5">
        <v>-41519000</v>
      </c>
    </row>
    <row r="3227" spans="1:14" x14ac:dyDescent="0.25">
      <c r="A3227" s="3" t="s">
        <v>3238</v>
      </c>
      <c r="B3227" s="4">
        <v>11.11</v>
      </c>
      <c r="C3227" s="4">
        <v>0.1</v>
      </c>
      <c r="D3227" s="4">
        <v>0.06</v>
      </c>
      <c r="E3227" s="4">
        <v>-1.6994619771010609E-2</v>
      </c>
      <c r="F3227" s="3">
        <v>3225</v>
      </c>
      <c r="G3227" s="3">
        <v>3</v>
      </c>
      <c r="H3227" s="5">
        <v>129470024.8</v>
      </c>
      <c r="I3227" s="5">
        <v>193747274.80000001</v>
      </c>
      <c r="J3227" s="5">
        <v>88973540</v>
      </c>
      <c r="K3227" s="5">
        <v>24696290</v>
      </c>
      <c r="L3227" s="5">
        <v>32553570</v>
      </c>
      <c r="M3227" s="5">
        <v>17436510</v>
      </c>
      <c r="N3227" s="5">
        <v>15021610</v>
      </c>
    </row>
    <row r="3228" spans="1:14" x14ac:dyDescent="0.25">
      <c r="A3228" s="3" t="s">
        <v>3239</v>
      </c>
      <c r="B3228" s="4">
        <v>9.3000000000000007</v>
      </c>
      <c r="C3228" s="4">
        <v>-0.28000000000000003</v>
      </c>
      <c r="D3228" s="4">
        <v>-0.09</v>
      </c>
      <c r="E3228" s="4">
        <v>-1.7001266005051582E-2</v>
      </c>
      <c r="F3228" s="3">
        <v>3226</v>
      </c>
      <c r="G3228" s="3">
        <v>3</v>
      </c>
      <c r="H3228" s="5">
        <v>28789963.559999999</v>
      </c>
      <c r="I3228" s="5">
        <v>106309963.56</v>
      </c>
      <c r="J3228" s="5">
        <v>77916000</v>
      </c>
      <c r="K3228" s="5">
        <v>396000</v>
      </c>
      <c r="L3228" s="5">
        <v>288532000</v>
      </c>
      <c r="M3228" s="5">
        <v>11435000</v>
      </c>
      <c r="N3228" s="5">
        <v>-15063000</v>
      </c>
    </row>
    <row r="3229" spans="1:14" x14ac:dyDescent="0.25">
      <c r="A3229" s="3" t="s">
        <v>3240</v>
      </c>
      <c r="B3229" s="4">
        <v>11.04</v>
      </c>
      <c r="C3229" s="4">
        <v>0.08</v>
      </c>
      <c r="D3229" s="4">
        <v>0.05</v>
      </c>
      <c r="E3229" s="4">
        <v>-1.701101157173748E-2</v>
      </c>
      <c r="F3229" s="3">
        <v>3227</v>
      </c>
      <c r="G3229" s="3">
        <v>3</v>
      </c>
      <c r="H3229" s="5">
        <v>809855892.40999997</v>
      </c>
      <c r="I3229" s="5">
        <v>1175216392.4100001</v>
      </c>
      <c r="J3229" s="5">
        <v>383715470</v>
      </c>
      <c r="K3229" s="5">
        <v>18354970</v>
      </c>
      <c r="L3229" s="5">
        <v>179767540</v>
      </c>
      <c r="M3229" s="5">
        <v>106425780</v>
      </c>
      <c r="N3229" s="5">
        <v>80309700</v>
      </c>
    </row>
    <row r="3230" spans="1:14" x14ac:dyDescent="0.25">
      <c r="A3230" s="3" t="s">
        <v>3241</v>
      </c>
      <c r="B3230" s="4">
        <v>11.19</v>
      </c>
      <c r="C3230" s="4">
        <v>0.11</v>
      </c>
      <c r="D3230" s="4">
        <v>0.06</v>
      </c>
      <c r="E3230" s="4">
        <v>-1.7015239809572761E-2</v>
      </c>
      <c r="F3230" s="3">
        <v>3228</v>
      </c>
      <c r="G3230" s="3">
        <v>3</v>
      </c>
      <c r="H3230" s="5">
        <v>89079797139.029999</v>
      </c>
      <c r="I3230" s="5">
        <v>94432797139.029999</v>
      </c>
      <c r="J3230" s="5">
        <v>8972000000</v>
      </c>
      <c r="K3230" s="5">
        <v>3619000000</v>
      </c>
      <c r="L3230" s="5">
        <v>18682000000</v>
      </c>
      <c r="M3230" s="5">
        <v>8442000000</v>
      </c>
      <c r="N3230" s="5">
        <v>3348000000</v>
      </c>
    </row>
    <row r="3231" spans="1:14" x14ac:dyDescent="0.25">
      <c r="A3231" s="3" t="s">
        <v>3242</v>
      </c>
      <c r="B3231" s="4">
        <v>14.6</v>
      </c>
      <c r="C3231" s="4">
        <v>0.84</v>
      </c>
      <c r="D3231" s="4">
        <v>0.05</v>
      </c>
      <c r="E3231" s="4">
        <v>-1.7018454666798251E-2</v>
      </c>
      <c r="F3231" s="3">
        <v>3229</v>
      </c>
      <c r="G3231" s="3">
        <v>3</v>
      </c>
      <c r="H3231" s="5">
        <v>15544178331.780001</v>
      </c>
      <c r="I3231" s="5">
        <v>18864178331.779999</v>
      </c>
      <c r="J3231" s="5">
        <v>4014000000</v>
      </c>
      <c r="K3231" s="5">
        <v>694000000</v>
      </c>
      <c r="L3231" s="5">
        <v>6426000000</v>
      </c>
      <c r="M3231" s="5">
        <v>1292000000</v>
      </c>
      <c r="N3231" s="5">
        <v>435000000</v>
      </c>
    </row>
    <row r="3232" spans="1:14" x14ac:dyDescent="0.25">
      <c r="A3232" s="3" t="s">
        <v>3243</v>
      </c>
      <c r="B3232" s="4">
        <v>11.68</v>
      </c>
      <c r="C3232" s="4">
        <v>0.21</v>
      </c>
      <c r="D3232" s="4">
        <v>0.1</v>
      </c>
      <c r="E3232" s="4">
        <v>-1.7021858712274959E-2</v>
      </c>
      <c r="F3232" s="3">
        <v>3230</v>
      </c>
      <c r="G3232" s="3">
        <v>3</v>
      </c>
      <c r="H3232" s="5">
        <v>723253160.41999996</v>
      </c>
      <c r="I3232" s="5">
        <v>864813160.41999996</v>
      </c>
      <c r="J3232" s="5">
        <v>146679000</v>
      </c>
      <c r="K3232" s="5">
        <v>5119000</v>
      </c>
      <c r="L3232" s="5">
        <v>568504000</v>
      </c>
      <c r="M3232" s="5">
        <v>74047000</v>
      </c>
      <c r="N3232" s="5">
        <v>56151000</v>
      </c>
    </row>
    <row r="3233" spans="1:14" x14ac:dyDescent="0.25">
      <c r="A3233" s="3" t="s">
        <v>3244</v>
      </c>
      <c r="B3233" s="4">
        <v>12.47</v>
      </c>
      <c r="C3233" s="4">
        <v>0.42</v>
      </c>
      <c r="D3233" s="4">
        <v>-0.55000000000000004</v>
      </c>
      <c r="E3233" s="4">
        <v>-1.7029426942578339E-2</v>
      </c>
      <c r="F3233" s="3">
        <v>3231</v>
      </c>
      <c r="G3233" s="3">
        <v>3</v>
      </c>
      <c r="H3233" s="5">
        <v>5916.1350000000002</v>
      </c>
      <c r="I3233" s="5">
        <v>35169876.134999998</v>
      </c>
      <c r="J3233" s="5">
        <v>39337030</v>
      </c>
      <c r="K3233" s="5">
        <v>4173070</v>
      </c>
      <c r="L3233" s="5">
        <v>24604310</v>
      </c>
      <c r="M3233" s="5">
        <v>2819520</v>
      </c>
      <c r="N3233" s="5">
        <v>-10210450</v>
      </c>
    </row>
    <row r="3234" spans="1:14" x14ac:dyDescent="0.25">
      <c r="A3234" s="3" t="s">
        <v>3245</v>
      </c>
      <c r="B3234" s="4">
        <v>9.7799999999999994</v>
      </c>
      <c r="C3234" s="4">
        <v>-0.19</v>
      </c>
      <c r="D3234" s="4">
        <v>-0.06</v>
      </c>
      <c r="E3234" s="4">
        <v>-1.7032518335648662E-2</v>
      </c>
      <c r="F3234" s="3">
        <v>3232</v>
      </c>
      <c r="G3234" s="3">
        <v>3</v>
      </c>
      <c r="H3234" s="5">
        <v>569732847.91999996</v>
      </c>
      <c r="I3234" s="5">
        <v>2692317847.9200001</v>
      </c>
      <c r="J3234" s="5">
        <v>2212814000</v>
      </c>
      <c r="K3234" s="5">
        <v>90229000</v>
      </c>
      <c r="L3234" s="5">
        <v>505517000</v>
      </c>
      <c r="M3234" s="5">
        <v>275406000</v>
      </c>
      <c r="N3234" s="5">
        <v>-195907000</v>
      </c>
    </row>
    <row r="3235" spans="1:14" x14ac:dyDescent="0.25">
      <c r="A3235" s="3" t="s">
        <v>3246</v>
      </c>
      <c r="B3235" s="4">
        <v>11.27</v>
      </c>
      <c r="C3235" s="4">
        <v>0.12</v>
      </c>
      <c r="D3235" s="4">
        <v>7.0000000000000007E-2</v>
      </c>
      <c r="E3235" s="4">
        <v>-1.7033930821557419E-2</v>
      </c>
      <c r="F3235" s="3">
        <v>3233</v>
      </c>
      <c r="G3235" s="3">
        <v>3</v>
      </c>
      <c r="H3235" s="5">
        <v>3684412604.8800001</v>
      </c>
      <c r="I3235" s="5">
        <v>3642271604.8800001</v>
      </c>
      <c r="J3235" s="5">
        <v>198883000</v>
      </c>
      <c r="K3235" s="5">
        <v>241024000</v>
      </c>
      <c r="L3235" s="5">
        <v>5270094000</v>
      </c>
      <c r="M3235" s="5">
        <v>323138000</v>
      </c>
      <c r="N3235" s="5">
        <v>147887000</v>
      </c>
    </row>
    <row r="3236" spans="1:14" x14ac:dyDescent="0.25">
      <c r="A3236" s="3" t="s">
        <v>3247</v>
      </c>
      <c r="B3236" s="4">
        <v>10.83</v>
      </c>
      <c r="C3236" s="4">
        <v>0.03</v>
      </c>
      <c r="D3236" s="4">
        <v>0</v>
      </c>
      <c r="E3236" s="4">
        <v>-1.703515142005867E-2</v>
      </c>
      <c r="F3236" s="3">
        <v>3234</v>
      </c>
      <c r="G3236" s="3">
        <v>3</v>
      </c>
      <c r="H3236" s="5">
        <v>38603328</v>
      </c>
      <c r="I3236" s="5">
        <v>71542328</v>
      </c>
      <c r="J3236" s="5">
        <v>35771000</v>
      </c>
      <c r="K3236" s="5">
        <v>2832000</v>
      </c>
      <c r="L3236" s="5">
        <v>183184000</v>
      </c>
      <c r="M3236" s="5">
        <v>6608000</v>
      </c>
      <c r="N3236" s="5">
        <v>551000</v>
      </c>
    </row>
    <row r="3237" spans="1:14" x14ac:dyDescent="0.25">
      <c r="A3237" s="3" t="s">
        <v>3248</v>
      </c>
      <c r="B3237" s="4">
        <v>11.54</v>
      </c>
      <c r="C3237" s="4">
        <v>0.18</v>
      </c>
      <c r="D3237" s="4">
        <v>0.02</v>
      </c>
      <c r="E3237" s="4">
        <v>-1.7037322866179299E-2</v>
      </c>
      <c r="F3237" s="3">
        <v>3235</v>
      </c>
      <c r="G3237" s="3">
        <v>3</v>
      </c>
      <c r="H3237" s="5">
        <v>951195162</v>
      </c>
      <c r="I3237" s="5">
        <v>3123084162</v>
      </c>
      <c r="J3237" s="5">
        <v>2212680000</v>
      </c>
      <c r="K3237" s="5">
        <v>40791000</v>
      </c>
      <c r="L3237" s="5">
        <v>515561000</v>
      </c>
      <c r="M3237" s="5">
        <v>270571000</v>
      </c>
      <c r="N3237" s="5">
        <v>58970000</v>
      </c>
    </row>
    <row r="3238" spans="1:14" x14ac:dyDescent="0.25">
      <c r="A3238" s="3" t="s">
        <v>3249</v>
      </c>
      <c r="B3238" s="4">
        <v>-0.34</v>
      </c>
      <c r="C3238" s="4">
        <v>-2.23</v>
      </c>
      <c r="D3238" s="4">
        <v>-2.0099999999999998</v>
      </c>
      <c r="E3238" s="4">
        <v>-1.7039498183769351E-2</v>
      </c>
      <c r="F3238" s="3">
        <v>3236</v>
      </c>
      <c r="G3238" s="3">
        <v>3</v>
      </c>
      <c r="H3238" s="5">
        <v>3904137.52</v>
      </c>
      <c r="I3238" s="5">
        <v>1902137.52</v>
      </c>
      <c r="J3238" s="5">
        <v>0</v>
      </c>
      <c r="K3238" s="5">
        <v>2002000</v>
      </c>
      <c r="L3238" s="5">
        <v>780000</v>
      </c>
      <c r="M3238" s="5">
        <v>-5598000</v>
      </c>
      <c r="N3238" s="5">
        <v>-5655000</v>
      </c>
    </row>
    <row r="3239" spans="1:14" x14ac:dyDescent="0.25">
      <c r="A3239" s="3" t="s">
        <v>3250</v>
      </c>
      <c r="B3239" s="4">
        <v>12.08</v>
      </c>
      <c r="C3239" s="4">
        <v>0.28999999999999998</v>
      </c>
      <c r="D3239" s="4">
        <v>0.08</v>
      </c>
      <c r="E3239" s="4">
        <v>-1.7042136137197409E-2</v>
      </c>
      <c r="F3239" s="3">
        <v>3237</v>
      </c>
      <c r="G3239" s="3">
        <v>3</v>
      </c>
      <c r="H3239" s="5">
        <v>11980334661.540001</v>
      </c>
      <c r="I3239" s="5">
        <v>12597776661.540001</v>
      </c>
      <c r="J3239" s="5">
        <v>645714000</v>
      </c>
      <c r="K3239" s="5">
        <v>28272000</v>
      </c>
      <c r="L3239" s="5">
        <v>20501804000</v>
      </c>
      <c r="M3239" s="5">
        <v>1042633000</v>
      </c>
      <c r="N3239" s="5">
        <v>534417000</v>
      </c>
    </row>
    <row r="3240" spans="1:14" x14ac:dyDescent="0.25">
      <c r="A3240" s="3" t="s">
        <v>3251</v>
      </c>
      <c r="B3240" s="4">
        <v>-0.36</v>
      </c>
      <c r="C3240" s="4">
        <v>-2.2999999999999998</v>
      </c>
      <c r="D3240" s="4">
        <v>-1.08</v>
      </c>
      <c r="E3240" s="4">
        <v>-1.7049975549768351E-2</v>
      </c>
      <c r="F3240" s="3">
        <v>3238</v>
      </c>
      <c r="G3240" s="3">
        <v>3</v>
      </c>
      <c r="H3240" s="5">
        <v>16704143.6856</v>
      </c>
      <c r="I3240" s="5">
        <v>23625183.685600001</v>
      </c>
      <c r="J3240" s="5">
        <v>11040980</v>
      </c>
      <c r="K3240" s="5">
        <v>4119940</v>
      </c>
      <c r="L3240" s="5">
        <v>6616360</v>
      </c>
      <c r="M3240" s="5">
        <v>-65978440</v>
      </c>
      <c r="N3240" s="5">
        <v>-101790290</v>
      </c>
    </row>
    <row r="3241" spans="1:14" x14ac:dyDescent="0.25">
      <c r="A3241" s="3" t="s">
        <v>3252</v>
      </c>
      <c r="B3241" s="4">
        <v>11.73</v>
      </c>
      <c r="C3241" s="4">
        <v>0.21</v>
      </c>
      <c r="D3241" s="4">
        <v>0.11</v>
      </c>
      <c r="E3241" s="4">
        <v>-1.7050875714182841E-2</v>
      </c>
      <c r="F3241" s="3">
        <v>3239</v>
      </c>
      <c r="G3241" s="3">
        <v>3</v>
      </c>
      <c r="H3241" s="5">
        <v>629681654.33000004</v>
      </c>
      <c r="I3241" s="5">
        <v>1001855654.33</v>
      </c>
      <c r="J3241" s="5">
        <v>418446000</v>
      </c>
      <c r="K3241" s="5">
        <v>46272000</v>
      </c>
      <c r="L3241" s="5">
        <v>328058000</v>
      </c>
      <c r="M3241" s="5">
        <v>85410000</v>
      </c>
      <c r="N3241" s="5">
        <v>190388000</v>
      </c>
    </row>
    <row r="3242" spans="1:14" x14ac:dyDescent="0.25">
      <c r="A3242" s="3" t="s">
        <v>3253</v>
      </c>
      <c r="B3242" s="4">
        <v>11.48</v>
      </c>
      <c r="C3242" s="4">
        <v>0.16</v>
      </c>
      <c r="D3242" s="4">
        <v>0.03</v>
      </c>
      <c r="E3242" s="4">
        <v>-1.7056045819448241E-2</v>
      </c>
      <c r="F3242" s="3">
        <v>3240</v>
      </c>
      <c r="G3242" s="3">
        <v>3</v>
      </c>
      <c r="H3242" s="5">
        <v>11736620046.620001</v>
      </c>
      <c r="I3242" s="5">
        <v>18984620046.619999</v>
      </c>
      <c r="J3242" s="5">
        <v>8010000000</v>
      </c>
      <c r="K3242" s="5">
        <v>762000000</v>
      </c>
      <c r="L3242" s="5">
        <v>8254000000</v>
      </c>
      <c r="M3242" s="5">
        <v>1653000000</v>
      </c>
      <c r="N3242" s="5">
        <v>478000000</v>
      </c>
    </row>
    <row r="3243" spans="1:14" x14ac:dyDescent="0.25">
      <c r="A3243" s="3" t="s">
        <v>3254</v>
      </c>
      <c r="B3243" s="4">
        <v>11.21</v>
      </c>
      <c r="C3243" s="4">
        <v>0.1</v>
      </c>
      <c r="D3243" s="4">
        <v>0.05</v>
      </c>
      <c r="E3243" s="4">
        <v>-1.705844085455889E-2</v>
      </c>
      <c r="F3243" s="3">
        <v>3241</v>
      </c>
      <c r="G3243" s="3">
        <v>3</v>
      </c>
      <c r="H3243" s="5">
        <v>1682610113.8800001</v>
      </c>
      <c r="I3243" s="5">
        <v>2335137113.8800001</v>
      </c>
      <c r="J3243" s="5">
        <v>657142000</v>
      </c>
      <c r="K3243" s="5">
        <v>4615000</v>
      </c>
      <c r="L3243" s="5">
        <v>535278000</v>
      </c>
      <c r="M3243" s="5">
        <v>208401000</v>
      </c>
      <c r="N3243" s="5">
        <v>80249000</v>
      </c>
    </row>
    <row r="3244" spans="1:14" x14ac:dyDescent="0.25">
      <c r="A3244" s="3" t="s">
        <v>3255</v>
      </c>
      <c r="B3244" s="4">
        <v>11.98</v>
      </c>
      <c r="C3244" s="4">
        <v>0.31</v>
      </c>
      <c r="D3244" s="4">
        <v>-0.63</v>
      </c>
      <c r="E3244" s="4">
        <v>-1.7059417753200631E-2</v>
      </c>
      <c r="F3244" s="3">
        <v>3242</v>
      </c>
      <c r="G3244" s="3">
        <v>3</v>
      </c>
      <c r="H3244" s="5">
        <v>331566009.60000002</v>
      </c>
      <c r="I3244" s="5">
        <v>1709185009.5999999</v>
      </c>
      <c r="J3244" s="5">
        <v>1430643000</v>
      </c>
      <c r="K3244" s="5">
        <v>53024000</v>
      </c>
      <c r="L3244" s="5">
        <v>785921000</v>
      </c>
      <c r="M3244" s="5">
        <v>142660000</v>
      </c>
      <c r="N3244" s="5">
        <v>-345701000</v>
      </c>
    </row>
    <row r="3245" spans="1:14" x14ac:dyDescent="0.25">
      <c r="A3245" s="3" t="s">
        <v>3256</v>
      </c>
      <c r="B3245" s="4">
        <v>11.21</v>
      </c>
      <c r="C3245" s="4">
        <v>0.1</v>
      </c>
      <c r="D3245" s="4">
        <v>0.03</v>
      </c>
      <c r="E3245" s="4">
        <v>-1.7062298907713901E-2</v>
      </c>
      <c r="F3245" s="3">
        <v>3243</v>
      </c>
      <c r="G3245" s="3">
        <v>3</v>
      </c>
      <c r="H3245" s="5">
        <v>8874310268.8999996</v>
      </c>
      <c r="I3245" s="5">
        <v>14396310268.9</v>
      </c>
      <c r="J3245" s="5">
        <v>5522600000</v>
      </c>
      <c r="K3245" s="5">
        <v>600000</v>
      </c>
      <c r="L3245" s="5">
        <v>2985300000</v>
      </c>
      <c r="M3245" s="5">
        <v>1284800000</v>
      </c>
      <c r="N3245" s="5">
        <v>441500000</v>
      </c>
    </row>
    <row r="3246" spans="1:14" x14ac:dyDescent="0.25">
      <c r="A3246" s="3" t="s">
        <v>3257</v>
      </c>
      <c r="B3246" s="4">
        <v>12.04</v>
      </c>
      <c r="C3246" s="4">
        <v>0.27</v>
      </c>
      <c r="D3246" s="4">
        <v>0.12</v>
      </c>
      <c r="E3246" s="4">
        <v>-1.706745042212798E-2</v>
      </c>
      <c r="F3246" s="3">
        <v>3244</v>
      </c>
      <c r="G3246" s="3">
        <v>3</v>
      </c>
      <c r="H3246" s="5">
        <v>7241798582</v>
      </c>
      <c r="I3246" s="5">
        <v>7964098582</v>
      </c>
      <c r="J3246" s="5">
        <v>921800000</v>
      </c>
      <c r="K3246" s="5">
        <v>199500000</v>
      </c>
      <c r="L3246" s="5">
        <v>4583800000</v>
      </c>
      <c r="M3246" s="5">
        <v>661500000</v>
      </c>
      <c r="N3246" s="5">
        <v>418900000</v>
      </c>
    </row>
    <row r="3247" spans="1:14" x14ac:dyDescent="0.25">
      <c r="A3247" s="3" t="s">
        <v>3258</v>
      </c>
      <c r="B3247" s="4">
        <v>10.94</v>
      </c>
      <c r="C3247" s="4">
        <v>0.04</v>
      </c>
      <c r="D3247" s="4">
        <v>0.02</v>
      </c>
      <c r="E3247" s="4">
        <v>-1.7070481022557059E-2</v>
      </c>
      <c r="F3247" s="3">
        <v>3245</v>
      </c>
      <c r="G3247" s="3">
        <v>3</v>
      </c>
      <c r="H3247" s="5">
        <v>1173477237</v>
      </c>
      <c r="I3247" s="5">
        <v>1608431237</v>
      </c>
      <c r="J3247" s="5">
        <v>461838000</v>
      </c>
      <c r="K3247" s="5">
        <v>26884000</v>
      </c>
      <c r="L3247" s="5">
        <v>1368794000</v>
      </c>
      <c r="M3247" s="5">
        <v>147055000</v>
      </c>
      <c r="N3247" s="5">
        <v>25391000</v>
      </c>
    </row>
    <row r="3248" spans="1:14" x14ac:dyDescent="0.25">
      <c r="A3248" s="3" t="s">
        <v>3259</v>
      </c>
      <c r="B3248" s="4">
        <v>11.79</v>
      </c>
      <c r="C3248" s="4">
        <v>0.22</v>
      </c>
      <c r="D3248" s="4">
        <v>0.05</v>
      </c>
      <c r="E3248" s="4">
        <v>-1.7070691500815881E-2</v>
      </c>
      <c r="F3248" s="3">
        <v>3246</v>
      </c>
      <c r="G3248" s="3">
        <v>3</v>
      </c>
      <c r="H3248" s="5">
        <v>759057643.88999999</v>
      </c>
      <c r="I3248" s="5">
        <v>715164643.88999999</v>
      </c>
      <c r="J3248" s="5">
        <v>152000</v>
      </c>
      <c r="K3248" s="5">
        <v>44045000</v>
      </c>
      <c r="L3248" s="5">
        <v>299535000</v>
      </c>
      <c r="M3248" s="5">
        <v>60641000</v>
      </c>
      <c r="N3248" s="5">
        <v>55436000</v>
      </c>
    </row>
    <row r="3249" spans="1:14" x14ac:dyDescent="0.25">
      <c r="A3249" s="3" t="s">
        <v>3260</v>
      </c>
      <c r="B3249" s="4">
        <v>10.8</v>
      </c>
      <c r="C3249" s="4">
        <v>0.01</v>
      </c>
      <c r="D3249" s="4">
        <v>0.01</v>
      </c>
      <c r="E3249" s="4">
        <v>-1.7072441990418848E-2</v>
      </c>
      <c r="F3249" s="3">
        <v>3247</v>
      </c>
      <c r="G3249" s="3">
        <v>3</v>
      </c>
      <c r="H3249" s="5">
        <v>1802469732</v>
      </c>
      <c r="I3249" s="5">
        <v>2462660732</v>
      </c>
      <c r="J3249" s="5">
        <v>704701000</v>
      </c>
      <c r="K3249" s="5">
        <v>44510000</v>
      </c>
      <c r="L3249" s="5">
        <v>1472595000</v>
      </c>
      <c r="M3249" s="5">
        <v>228062000</v>
      </c>
      <c r="N3249" s="5">
        <v>17255000</v>
      </c>
    </row>
    <row r="3250" spans="1:14" x14ac:dyDescent="0.25">
      <c r="A3250" s="3" t="s">
        <v>3261</v>
      </c>
      <c r="B3250" s="4">
        <v>7.89</v>
      </c>
      <c r="C3250" s="4">
        <v>-0.6</v>
      </c>
      <c r="D3250" s="4">
        <v>-0.19</v>
      </c>
      <c r="E3250" s="4">
        <v>-1.7072473692001371E-2</v>
      </c>
      <c r="F3250" s="3">
        <v>3248</v>
      </c>
      <c r="G3250" s="3">
        <v>3</v>
      </c>
      <c r="H3250" s="5">
        <v>1702595576.3800001</v>
      </c>
      <c r="I3250" s="5">
        <v>4255295576.3800001</v>
      </c>
      <c r="J3250" s="5">
        <v>2997700000</v>
      </c>
      <c r="K3250" s="5">
        <v>445000000</v>
      </c>
      <c r="L3250" s="5">
        <v>4239300000</v>
      </c>
      <c r="M3250" s="5">
        <v>539000000</v>
      </c>
      <c r="N3250" s="5">
        <v>-1447700000</v>
      </c>
    </row>
    <row r="3251" spans="1:14" x14ac:dyDescent="0.25">
      <c r="A3251" s="3" t="s">
        <v>3262</v>
      </c>
      <c r="B3251" s="4">
        <v>0.24</v>
      </c>
      <c r="C3251" s="4">
        <v>-2.17</v>
      </c>
      <c r="D3251" s="4">
        <v>-1.22</v>
      </c>
      <c r="E3251" s="4">
        <v>-1.707271737249013E-2</v>
      </c>
      <c r="F3251" s="3">
        <v>3249</v>
      </c>
      <c r="G3251" s="3">
        <v>3</v>
      </c>
      <c r="H3251" s="5">
        <v>11.690329</v>
      </c>
      <c r="I3251" s="5">
        <v>-4279988.3096709996</v>
      </c>
      <c r="J3251" s="5">
        <v>5703000</v>
      </c>
      <c r="K3251" s="5">
        <v>9983000</v>
      </c>
      <c r="L3251" s="5">
        <v>0</v>
      </c>
      <c r="M3251" s="5">
        <v>-18194000</v>
      </c>
      <c r="N3251" s="5">
        <v>-20137000</v>
      </c>
    </row>
    <row r="3252" spans="1:14" x14ac:dyDescent="0.25">
      <c r="A3252" s="3" t="s">
        <v>3263</v>
      </c>
      <c r="B3252" s="4">
        <v>-1.42</v>
      </c>
      <c r="C3252" s="4">
        <v>-2.52</v>
      </c>
      <c r="D3252" s="4">
        <v>-1.31</v>
      </c>
      <c r="E3252" s="4">
        <v>-1.7073946711478862E-2</v>
      </c>
      <c r="F3252" s="3">
        <v>3250</v>
      </c>
      <c r="G3252" s="3">
        <v>3</v>
      </c>
      <c r="H3252" s="5">
        <v>318253482.31999999</v>
      </c>
      <c r="I3252" s="5">
        <v>248904482.31999999</v>
      </c>
      <c r="J3252" s="5">
        <v>0</v>
      </c>
      <c r="K3252" s="5">
        <v>69349000</v>
      </c>
      <c r="L3252" s="5">
        <v>25384000</v>
      </c>
      <c r="M3252" s="5">
        <v>-175410000</v>
      </c>
      <c r="N3252" s="5">
        <v>-169925000</v>
      </c>
    </row>
    <row r="3253" spans="1:14" x14ac:dyDescent="0.25">
      <c r="A3253" s="3" t="s">
        <v>3264</v>
      </c>
      <c r="B3253" s="4">
        <v>10.36</v>
      </c>
      <c r="C3253" s="4">
        <v>-0.08</v>
      </c>
      <c r="D3253" s="4">
        <v>-7.0000000000000007E-2</v>
      </c>
      <c r="E3253" s="4">
        <v>-1.7075591615497609E-2</v>
      </c>
      <c r="F3253" s="3">
        <v>3251</v>
      </c>
      <c r="G3253" s="3">
        <v>3</v>
      </c>
      <c r="H3253" s="5">
        <v>117418679.28</v>
      </c>
      <c r="I3253" s="5">
        <v>66846679.280000001</v>
      </c>
      <c r="J3253" s="5">
        <v>0</v>
      </c>
      <c r="K3253" s="5">
        <v>50572000</v>
      </c>
      <c r="L3253" s="5">
        <v>113828000</v>
      </c>
      <c r="M3253" s="5">
        <v>6452000</v>
      </c>
      <c r="N3253" s="5">
        <v>-11048000</v>
      </c>
    </row>
    <row r="3254" spans="1:14" x14ac:dyDescent="0.25">
      <c r="A3254" s="3" t="s">
        <v>3265</v>
      </c>
      <c r="B3254" s="4">
        <v>13.9</v>
      </c>
      <c r="C3254" s="4">
        <v>0.67</v>
      </c>
      <c r="D3254" s="4">
        <v>0.04</v>
      </c>
      <c r="E3254" s="4">
        <v>-1.7078330613826121E-2</v>
      </c>
      <c r="F3254" s="3">
        <v>3252</v>
      </c>
      <c r="G3254" s="3">
        <v>3</v>
      </c>
      <c r="H3254" s="5">
        <v>83999548564.889999</v>
      </c>
      <c r="I3254" s="5">
        <v>118501748564.89</v>
      </c>
      <c r="J3254" s="5">
        <v>36501800000</v>
      </c>
      <c r="K3254" s="5">
        <v>1999600000</v>
      </c>
      <c r="L3254" s="5">
        <v>10127200000</v>
      </c>
      <c r="M3254" s="5">
        <v>8523200000</v>
      </c>
      <c r="N3254" s="5">
        <v>2255000000</v>
      </c>
    </row>
    <row r="3255" spans="1:14" x14ac:dyDescent="0.25">
      <c r="A3255" s="3" t="s">
        <v>3266</v>
      </c>
      <c r="B3255" s="4">
        <v>13.38</v>
      </c>
      <c r="C3255" s="4">
        <v>0.54</v>
      </c>
      <c r="D3255" s="4">
        <v>0.23</v>
      </c>
      <c r="E3255" s="4">
        <v>-1.709545730379344E-2</v>
      </c>
      <c r="F3255" s="3">
        <v>3253</v>
      </c>
      <c r="G3255" s="3">
        <v>3</v>
      </c>
      <c r="H3255" s="5">
        <v>7664507829.1099997</v>
      </c>
      <c r="I3255" s="5">
        <v>5939507829.1100006</v>
      </c>
      <c r="J3255" s="5">
        <v>1104000000</v>
      </c>
      <c r="K3255" s="5">
        <v>2829000000</v>
      </c>
      <c r="L3255" s="5">
        <v>16315000000</v>
      </c>
      <c r="M3255" s="5">
        <v>444000000</v>
      </c>
      <c r="N3255" s="5">
        <v>2145000000</v>
      </c>
    </row>
    <row r="3256" spans="1:14" x14ac:dyDescent="0.25">
      <c r="A3256" s="3" t="s">
        <v>3267</v>
      </c>
      <c r="B3256" s="4">
        <v>14.67</v>
      </c>
      <c r="C3256" s="4">
        <v>0.82</v>
      </c>
      <c r="D3256" s="4">
        <v>0.16</v>
      </c>
      <c r="E3256" s="4">
        <v>-1.7098347028354149E-2</v>
      </c>
      <c r="F3256" s="3">
        <v>3254</v>
      </c>
      <c r="G3256" s="3">
        <v>3</v>
      </c>
      <c r="H3256" s="5">
        <v>3787206416.3000002</v>
      </c>
      <c r="I3256" s="5">
        <v>4196906416.3000002</v>
      </c>
      <c r="J3256" s="5">
        <v>594000000</v>
      </c>
      <c r="K3256" s="5">
        <v>184300000</v>
      </c>
      <c r="L3256" s="5">
        <v>1669600000</v>
      </c>
      <c r="M3256" s="5">
        <v>286000000</v>
      </c>
      <c r="N3256" s="5">
        <v>185600000</v>
      </c>
    </row>
    <row r="3257" spans="1:14" x14ac:dyDescent="0.25">
      <c r="A3257" s="3" t="s">
        <v>3268</v>
      </c>
      <c r="B3257" s="4">
        <v>11.37</v>
      </c>
      <c r="C3257" s="4">
        <v>0.12</v>
      </c>
      <c r="D3257" s="4">
        <v>0.05</v>
      </c>
      <c r="E3257" s="4">
        <v>-1.7099680931683209E-2</v>
      </c>
      <c r="F3257" s="3">
        <v>3255</v>
      </c>
      <c r="G3257" s="3">
        <v>3</v>
      </c>
      <c r="H3257" s="5">
        <v>3543180633.7199998</v>
      </c>
      <c r="I3257" s="5">
        <v>4827553633.7199993</v>
      </c>
      <c r="J3257" s="5">
        <v>1317934000</v>
      </c>
      <c r="K3257" s="5">
        <v>33561000</v>
      </c>
      <c r="L3257" s="5">
        <v>3715683000</v>
      </c>
      <c r="M3257" s="5">
        <v>424515000</v>
      </c>
      <c r="N3257" s="5">
        <v>138401000</v>
      </c>
    </row>
    <row r="3258" spans="1:14" x14ac:dyDescent="0.25">
      <c r="A3258" s="3" t="s">
        <v>3269</v>
      </c>
      <c r="B3258" s="4">
        <v>12.41</v>
      </c>
      <c r="C3258" s="4">
        <v>0.34</v>
      </c>
      <c r="D3258" s="4">
        <v>0.05</v>
      </c>
      <c r="E3258" s="4">
        <v>-1.7107698969861189E-2</v>
      </c>
      <c r="F3258" s="3">
        <v>3256</v>
      </c>
      <c r="G3258" s="3">
        <v>3</v>
      </c>
      <c r="H3258" s="5">
        <v>2941480291.8400002</v>
      </c>
      <c r="I3258" s="5">
        <v>5387080291.8400002</v>
      </c>
      <c r="J3258" s="5">
        <v>2492500000</v>
      </c>
      <c r="K3258" s="5">
        <v>46900000</v>
      </c>
      <c r="L3258" s="5">
        <v>1830900000</v>
      </c>
      <c r="M3258" s="5">
        <v>434000000</v>
      </c>
      <c r="N3258" s="5">
        <v>258200000</v>
      </c>
    </row>
    <row r="3259" spans="1:14" x14ac:dyDescent="0.25">
      <c r="A3259" s="3" t="s">
        <v>3270</v>
      </c>
      <c r="B3259" s="4">
        <v>14.97</v>
      </c>
      <c r="C3259" s="4">
        <v>0.89</v>
      </c>
      <c r="D3259" s="4">
        <v>0.02</v>
      </c>
      <c r="E3259" s="4">
        <v>-1.7108774322250341E-2</v>
      </c>
      <c r="F3259" s="3">
        <v>3257</v>
      </c>
      <c r="G3259" s="3">
        <v>3</v>
      </c>
      <c r="H3259" s="5">
        <v>68632769874</v>
      </c>
      <c r="I3259" s="5">
        <v>71937404874</v>
      </c>
      <c r="J3259" s="5">
        <v>7660773000</v>
      </c>
      <c r="K3259" s="5">
        <v>4356138000</v>
      </c>
      <c r="L3259" s="5">
        <v>321332819000</v>
      </c>
      <c r="M3259" s="5">
        <v>4803844000</v>
      </c>
      <c r="N3259" s="5">
        <v>1554169000</v>
      </c>
    </row>
    <row r="3260" spans="1:14" x14ac:dyDescent="0.25">
      <c r="A3260" s="3" t="s">
        <v>3271</v>
      </c>
      <c r="B3260" s="4">
        <v>10.86</v>
      </c>
      <c r="C3260" s="4">
        <v>0.01</v>
      </c>
      <c r="D3260" s="4">
        <v>0.01</v>
      </c>
      <c r="E3260" s="4">
        <v>-1.7109577224601321E-2</v>
      </c>
      <c r="F3260" s="3">
        <v>3258</v>
      </c>
      <c r="G3260" s="3">
        <v>3</v>
      </c>
      <c r="H3260" s="5">
        <v>817376135.39999998</v>
      </c>
      <c r="I3260" s="5">
        <v>-2725935504.5999999</v>
      </c>
      <c r="J3260" s="5">
        <v>720000000</v>
      </c>
      <c r="K3260" s="5">
        <v>4263311640</v>
      </c>
      <c r="L3260" s="5">
        <v>216428370</v>
      </c>
      <c r="M3260" s="5">
        <v>-251112430</v>
      </c>
      <c r="N3260" s="5">
        <v>91731400</v>
      </c>
    </row>
    <row r="3261" spans="1:14" x14ac:dyDescent="0.25">
      <c r="A3261" s="3" t="s">
        <v>3272</v>
      </c>
      <c r="B3261" s="4">
        <v>11.75</v>
      </c>
      <c r="C3261" s="4">
        <v>0.19</v>
      </c>
      <c r="D3261" s="4">
        <v>0.16</v>
      </c>
      <c r="E3261" s="4">
        <v>-1.7111396206718379E-2</v>
      </c>
      <c r="F3261" s="3">
        <v>3259</v>
      </c>
      <c r="G3261" s="3">
        <v>3</v>
      </c>
      <c r="H3261" s="5">
        <v>19265675222.549999</v>
      </c>
      <c r="I3261" s="5">
        <v>17868475222.549999</v>
      </c>
      <c r="J3261" s="5">
        <v>300000000</v>
      </c>
      <c r="K3261" s="5">
        <v>1697200000</v>
      </c>
      <c r="L3261" s="5">
        <v>2877400000</v>
      </c>
      <c r="M3261" s="5">
        <v>1520600000</v>
      </c>
      <c r="N3261" s="5">
        <v>1195100000</v>
      </c>
    </row>
    <row r="3262" spans="1:14" x14ac:dyDescent="0.25">
      <c r="A3262" s="3" t="s">
        <v>3273</v>
      </c>
      <c r="B3262" s="4">
        <v>-1.23</v>
      </c>
      <c r="C3262" s="4">
        <v>-2.4900000000000002</v>
      </c>
      <c r="D3262" s="4">
        <v>-1.38</v>
      </c>
      <c r="E3262" s="4">
        <v>-1.7118363984722499E-2</v>
      </c>
      <c r="F3262" s="3">
        <v>3260</v>
      </c>
      <c r="G3262" s="3">
        <v>3</v>
      </c>
      <c r="H3262" s="5">
        <v>628000.44240000006</v>
      </c>
      <c r="I3262" s="5">
        <v>832170.44240000006</v>
      </c>
      <c r="J3262" s="5">
        <v>204460</v>
      </c>
      <c r="K3262" s="5">
        <v>290</v>
      </c>
      <c r="L3262" s="5">
        <v>0</v>
      </c>
      <c r="M3262" s="5">
        <v>-674920</v>
      </c>
      <c r="N3262" s="5">
        <v>-1268940</v>
      </c>
    </row>
    <row r="3263" spans="1:14" x14ac:dyDescent="0.25">
      <c r="A3263" s="3" t="s">
        <v>3274</v>
      </c>
      <c r="B3263" s="4">
        <v>-2.17</v>
      </c>
      <c r="C3263" s="4">
        <v>-2.74</v>
      </c>
      <c r="D3263" s="4">
        <v>-0.69</v>
      </c>
      <c r="E3263" s="4">
        <v>-1.7125815990710759E-2</v>
      </c>
      <c r="F3263" s="3">
        <v>3261</v>
      </c>
      <c r="G3263" s="3">
        <v>3</v>
      </c>
      <c r="H3263" s="5">
        <v>2435554008.8600001</v>
      </c>
      <c r="I3263" s="5">
        <v>2879795008.8600001</v>
      </c>
      <c r="J3263" s="5">
        <v>718852000</v>
      </c>
      <c r="K3263" s="5">
        <v>274611000</v>
      </c>
      <c r="L3263" s="5">
        <v>901456000</v>
      </c>
      <c r="M3263" s="5">
        <v>-1327870000</v>
      </c>
      <c r="N3263" s="5">
        <v>-1806357000</v>
      </c>
    </row>
    <row r="3264" spans="1:14" x14ac:dyDescent="0.25">
      <c r="A3264" s="3" t="s">
        <v>3275</v>
      </c>
      <c r="B3264" s="4">
        <v>14.79</v>
      </c>
      <c r="C3264" s="4">
        <v>0.84</v>
      </c>
      <c r="D3264" s="4">
        <v>0.1</v>
      </c>
      <c r="E3264" s="4">
        <v>-1.7126404442155189E-2</v>
      </c>
      <c r="F3264" s="3">
        <v>3262</v>
      </c>
      <c r="G3264" s="3">
        <v>3</v>
      </c>
      <c r="H3264" s="5">
        <v>109483553199.44</v>
      </c>
      <c r="I3264" s="5">
        <v>127270553199.44</v>
      </c>
      <c r="J3264" s="5">
        <v>20270000000</v>
      </c>
      <c r="K3264" s="5">
        <v>2483000000</v>
      </c>
      <c r="L3264" s="5">
        <v>71043000000</v>
      </c>
      <c r="M3264" s="5">
        <v>8604000000</v>
      </c>
      <c r="N3264" s="5">
        <v>5336000000</v>
      </c>
    </row>
    <row r="3265" spans="1:14" x14ac:dyDescent="0.25">
      <c r="A3265" s="3" t="s">
        <v>3276</v>
      </c>
      <c r="B3265" s="4">
        <v>-2.71</v>
      </c>
      <c r="C3265" s="4">
        <v>-2.85</v>
      </c>
      <c r="D3265" s="4">
        <v>-0.8</v>
      </c>
      <c r="E3265" s="4">
        <v>-1.7130647852580179E-2</v>
      </c>
      <c r="F3265" s="3">
        <v>3263</v>
      </c>
      <c r="G3265" s="3">
        <v>3</v>
      </c>
      <c r="H3265" s="5">
        <v>279984078.14999998</v>
      </c>
      <c r="I3265" s="5">
        <v>270381078.14999998</v>
      </c>
      <c r="J3265" s="5">
        <v>93208000</v>
      </c>
      <c r="K3265" s="5">
        <v>102811000</v>
      </c>
      <c r="L3265" s="5">
        <v>801473000</v>
      </c>
      <c r="M3265" s="5">
        <v>-99623000</v>
      </c>
      <c r="N3265" s="5">
        <v>-432311000</v>
      </c>
    </row>
    <row r="3266" spans="1:14" x14ac:dyDescent="0.25">
      <c r="A3266" s="3" t="s">
        <v>3277</v>
      </c>
      <c r="B3266" s="4">
        <v>-0.27</v>
      </c>
      <c r="C3266" s="4">
        <v>-2.29</v>
      </c>
      <c r="D3266" s="4">
        <v>-1.39</v>
      </c>
      <c r="E3266" s="4">
        <v>-1.713658461793028E-2</v>
      </c>
      <c r="F3266" s="3">
        <v>3264</v>
      </c>
      <c r="G3266" s="3">
        <v>3</v>
      </c>
      <c r="H3266" s="5">
        <v>10151530.560000001</v>
      </c>
      <c r="I3266" s="5">
        <v>3616530.560000001</v>
      </c>
      <c r="J3266" s="5">
        <v>0</v>
      </c>
      <c r="K3266" s="5">
        <v>6535000</v>
      </c>
      <c r="L3266" s="5">
        <v>3277000</v>
      </c>
      <c r="M3266" s="5">
        <v>-13358000</v>
      </c>
      <c r="N3266" s="5">
        <v>-13673000</v>
      </c>
    </row>
    <row r="3267" spans="1:14" x14ac:dyDescent="0.25">
      <c r="A3267" s="3" t="s">
        <v>3278</v>
      </c>
      <c r="B3267" s="4">
        <v>11.53</v>
      </c>
      <c r="C3267" s="4">
        <v>0.14000000000000001</v>
      </c>
      <c r="D3267" s="4">
        <v>0.05</v>
      </c>
      <c r="E3267" s="4">
        <v>-1.7140921008807531E-2</v>
      </c>
      <c r="F3267" s="3">
        <v>3265</v>
      </c>
      <c r="G3267" s="3">
        <v>3</v>
      </c>
      <c r="H3267" s="5">
        <v>12482136155.700001</v>
      </c>
      <c r="I3267" s="5">
        <v>16844536155.700001</v>
      </c>
      <c r="J3267" s="5">
        <v>5065000000</v>
      </c>
      <c r="K3267" s="5">
        <v>702600000</v>
      </c>
      <c r="L3267" s="5">
        <v>21818800000</v>
      </c>
      <c r="M3267" s="5">
        <v>1461200000</v>
      </c>
      <c r="N3267" s="5">
        <v>717600000</v>
      </c>
    </row>
    <row r="3268" spans="1:14" x14ac:dyDescent="0.25">
      <c r="A3268" s="3" t="s">
        <v>3279</v>
      </c>
      <c r="B3268" s="4">
        <v>12.07</v>
      </c>
      <c r="C3268" s="4">
        <v>0.25</v>
      </c>
      <c r="D3268" s="4">
        <v>0.12</v>
      </c>
      <c r="E3268" s="4">
        <v>-1.7143805253248139E-2</v>
      </c>
      <c r="F3268" s="3">
        <v>3266</v>
      </c>
      <c r="G3268" s="3">
        <v>3</v>
      </c>
      <c r="H3268" s="5">
        <v>153682820215.44</v>
      </c>
      <c r="I3268" s="5">
        <v>147352744215.44</v>
      </c>
      <c r="J3268" s="5">
        <v>5148653000</v>
      </c>
      <c r="K3268" s="5">
        <v>11478729000</v>
      </c>
      <c r="L3268" s="5">
        <v>69672977000</v>
      </c>
      <c r="M3268" s="5">
        <v>12209373000</v>
      </c>
      <c r="N3268" s="5">
        <v>7678433000</v>
      </c>
    </row>
    <row r="3269" spans="1:14" x14ac:dyDescent="0.25">
      <c r="A3269" s="3" t="s">
        <v>3280</v>
      </c>
      <c r="B3269" s="4">
        <v>11.74</v>
      </c>
      <c r="C3269" s="4">
        <v>0.18</v>
      </c>
      <c r="D3269" s="4">
        <v>0.09</v>
      </c>
      <c r="E3269" s="4">
        <v>-1.71476037940783E-2</v>
      </c>
      <c r="F3269" s="3">
        <v>3267</v>
      </c>
      <c r="G3269" s="3">
        <v>3</v>
      </c>
      <c r="H3269" s="5">
        <v>17916575270.959999</v>
      </c>
      <c r="I3269" s="5">
        <v>19714575270.959999</v>
      </c>
      <c r="J3269" s="5">
        <v>2483000000</v>
      </c>
      <c r="K3269" s="5">
        <v>685000000</v>
      </c>
      <c r="L3269" s="5">
        <v>8383300000</v>
      </c>
      <c r="M3269" s="5">
        <v>1679000000</v>
      </c>
      <c r="N3269" s="5">
        <v>805100000</v>
      </c>
    </row>
    <row r="3270" spans="1:14" x14ac:dyDescent="0.25">
      <c r="A3270" s="3" t="s">
        <v>3281</v>
      </c>
      <c r="B3270" s="4">
        <v>11.93</v>
      </c>
      <c r="C3270" s="4">
        <v>0.22</v>
      </c>
      <c r="D3270" s="4">
        <v>7.0000000000000007E-2</v>
      </c>
      <c r="E3270" s="4">
        <v>-1.715348232741996E-2</v>
      </c>
      <c r="F3270" s="3">
        <v>3268</v>
      </c>
      <c r="G3270" s="3">
        <v>3</v>
      </c>
      <c r="H3270" s="5">
        <v>11601022148.1</v>
      </c>
      <c r="I3270" s="5">
        <v>14013422148.1</v>
      </c>
      <c r="J3270" s="5">
        <v>2497800000</v>
      </c>
      <c r="K3270" s="5">
        <v>85400000</v>
      </c>
      <c r="L3270" s="5">
        <v>5373200000</v>
      </c>
      <c r="M3270" s="5">
        <v>1174200000</v>
      </c>
      <c r="N3270" s="5">
        <v>455700000</v>
      </c>
    </row>
    <row r="3271" spans="1:14" x14ac:dyDescent="0.25">
      <c r="A3271" s="3" t="s">
        <v>3282</v>
      </c>
      <c r="B3271" s="4">
        <v>11.74</v>
      </c>
      <c r="C3271" s="4">
        <v>0.18</v>
      </c>
      <c r="D3271" s="4">
        <v>0.05</v>
      </c>
      <c r="E3271" s="4">
        <v>-1.7155319900388329E-2</v>
      </c>
      <c r="F3271" s="3">
        <v>3269</v>
      </c>
      <c r="G3271" s="3">
        <v>3</v>
      </c>
      <c r="H3271" s="5">
        <v>41699175282.389999</v>
      </c>
      <c r="I3271" s="5">
        <v>73043175282.389999</v>
      </c>
      <c r="J3271" s="5">
        <v>32077000000</v>
      </c>
      <c r="K3271" s="5">
        <v>733000000</v>
      </c>
      <c r="L3271" s="5">
        <v>21698000000</v>
      </c>
      <c r="M3271" s="5">
        <v>6224000000</v>
      </c>
      <c r="N3271" s="5">
        <v>3035000000</v>
      </c>
    </row>
    <row r="3272" spans="1:14" x14ac:dyDescent="0.25">
      <c r="A3272" s="3" t="s">
        <v>3283</v>
      </c>
      <c r="B3272" s="4">
        <v>11.7</v>
      </c>
      <c r="C3272" s="4">
        <v>0.17</v>
      </c>
      <c r="D3272" s="4">
        <v>7.0000000000000007E-2</v>
      </c>
      <c r="E3272" s="4">
        <v>-1.7155598631459459E-2</v>
      </c>
      <c r="F3272" s="3">
        <v>3270</v>
      </c>
      <c r="G3272" s="3">
        <v>3</v>
      </c>
      <c r="H3272" s="5">
        <v>72285882721.839996</v>
      </c>
      <c r="I3272" s="5">
        <v>88683882721.839996</v>
      </c>
      <c r="J3272" s="5">
        <v>17749000000</v>
      </c>
      <c r="K3272" s="5">
        <v>1351000000</v>
      </c>
      <c r="L3272" s="5">
        <v>36441000000</v>
      </c>
      <c r="M3272" s="5">
        <v>7583000000</v>
      </c>
      <c r="N3272" s="5">
        <v>4611000000</v>
      </c>
    </row>
    <row r="3273" spans="1:14" x14ac:dyDescent="0.25">
      <c r="A3273" s="3" t="s">
        <v>3284</v>
      </c>
      <c r="B3273" s="4">
        <v>11.17</v>
      </c>
      <c r="C3273" s="4">
        <v>0.06</v>
      </c>
      <c r="D3273" s="4">
        <v>0.01</v>
      </c>
      <c r="E3273" s="4">
        <v>-1.715697456613843E-2</v>
      </c>
      <c r="F3273" s="3">
        <v>3271</v>
      </c>
      <c r="G3273" s="3">
        <v>3</v>
      </c>
      <c r="H3273" s="5">
        <v>529770065</v>
      </c>
      <c r="I3273" s="5">
        <v>3913859065</v>
      </c>
      <c r="J3273" s="5">
        <v>3490027000</v>
      </c>
      <c r="K3273" s="5">
        <v>105938000</v>
      </c>
      <c r="L3273" s="5">
        <v>1114524000</v>
      </c>
      <c r="M3273" s="5">
        <v>350524000</v>
      </c>
      <c r="N3273" s="5">
        <v>70601000</v>
      </c>
    </row>
    <row r="3274" spans="1:14" x14ac:dyDescent="0.25">
      <c r="A3274" s="3" t="s">
        <v>3285</v>
      </c>
      <c r="B3274" s="4">
        <v>12.96</v>
      </c>
      <c r="C3274" s="4">
        <v>0.43</v>
      </c>
      <c r="D3274" s="4">
        <v>0.18</v>
      </c>
      <c r="E3274" s="4">
        <v>-1.7162985474562749E-2</v>
      </c>
      <c r="F3274" s="3">
        <v>3272</v>
      </c>
      <c r="G3274" s="3">
        <v>3</v>
      </c>
      <c r="H3274" s="5">
        <v>964313807.94000006</v>
      </c>
      <c r="I3274" s="5">
        <v>1114815807.9400001</v>
      </c>
      <c r="J3274" s="5">
        <v>187489000</v>
      </c>
      <c r="K3274" s="5">
        <v>36987000</v>
      </c>
      <c r="L3274" s="5">
        <v>599111000</v>
      </c>
      <c r="M3274" s="5">
        <v>86004000</v>
      </c>
      <c r="N3274" s="5">
        <v>108284000</v>
      </c>
    </row>
    <row r="3275" spans="1:14" x14ac:dyDescent="0.25">
      <c r="A3275" s="3" t="s">
        <v>3286</v>
      </c>
      <c r="B3275" s="4">
        <v>9.1</v>
      </c>
      <c r="C3275" s="4">
        <v>-0.38</v>
      </c>
      <c r="D3275" s="4">
        <v>-0.13</v>
      </c>
      <c r="E3275" s="4">
        <v>-1.7174134067564639E-2</v>
      </c>
      <c r="F3275" s="3">
        <v>3273</v>
      </c>
      <c r="G3275" s="3">
        <v>3</v>
      </c>
      <c r="H3275" s="5">
        <v>16540956284.82</v>
      </c>
      <c r="I3275" s="5">
        <v>28380956284.82</v>
      </c>
      <c r="J3275" s="5">
        <v>14501000000</v>
      </c>
      <c r="K3275" s="5">
        <v>2661000000</v>
      </c>
      <c r="L3275" s="5">
        <v>29213000000</v>
      </c>
      <c r="M3275" s="5">
        <v>3118000000</v>
      </c>
      <c r="N3275" s="5">
        <v>-6190000000</v>
      </c>
    </row>
    <row r="3276" spans="1:14" x14ac:dyDescent="0.25">
      <c r="A3276" s="3" t="s">
        <v>3287</v>
      </c>
      <c r="B3276" s="4">
        <v>10.92</v>
      </c>
      <c r="C3276" s="4">
        <v>0</v>
      </c>
      <c r="D3276" s="4">
        <v>0</v>
      </c>
      <c r="E3276" s="4">
        <v>-1.717753509237575E-2</v>
      </c>
      <c r="F3276" s="3">
        <v>3274</v>
      </c>
      <c r="G3276" s="3">
        <v>3</v>
      </c>
      <c r="H3276" s="5">
        <v>105503388.375</v>
      </c>
      <c r="I3276" s="5">
        <v>101015388.375</v>
      </c>
      <c r="J3276" s="5">
        <v>16542000</v>
      </c>
      <c r="K3276" s="5">
        <v>21030000</v>
      </c>
      <c r="L3276" s="5">
        <v>72985000</v>
      </c>
      <c r="M3276" s="5">
        <v>9248000</v>
      </c>
      <c r="N3276" s="5">
        <v>851000</v>
      </c>
    </row>
    <row r="3277" spans="1:14" x14ac:dyDescent="0.25">
      <c r="A3277" s="3" t="s">
        <v>3288</v>
      </c>
      <c r="B3277" s="4">
        <v>0.33</v>
      </c>
      <c r="C3277" s="4">
        <v>-2.16</v>
      </c>
      <c r="D3277" s="4">
        <v>-1.65</v>
      </c>
      <c r="E3277" s="4">
        <v>-1.7182474759582119E-2</v>
      </c>
      <c r="F3277" s="3">
        <v>3275</v>
      </c>
      <c r="G3277" s="3">
        <v>3</v>
      </c>
      <c r="H3277" s="5">
        <v>16525079.27</v>
      </c>
      <c r="I3277" s="5">
        <v>-31912920.73</v>
      </c>
      <c r="J3277" s="5">
        <v>0</v>
      </c>
      <c r="K3277" s="5">
        <v>48438000</v>
      </c>
      <c r="L3277" s="5">
        <v>0</v>
      </c>
      <c r="M3277" s="5">
        <v>-95805000</v>
      </c>
      <c r="N3277" s="5">
        <v>-96940000</v>
      </c>
    </row>
    <row r="3278" spans="1:14" x14ac:dyDescent="0.25">
      <c r="A3278" s="3" t="s">
        <v>3289</v>
      </c>
      <c r="B3278" s="4">
        <v>11.22</v>
      </c>
      <c r="C3278" s="4">
        <v>0.06</v>
      </c>
      <c r="D3278" s="4">
        <v>0.02</v>
      </c>
      <c r="E3278" s="4">
        <v>-1.7185991568046309E-2</v>
      </c>
      <c r="F3278" s="3">
        <v>3276</v>
      </c>
      <c r="G3278" s="3">
        <v>3</v>
      </c>
      <c r="H3278" s="5">
        <v>5596600600.4399996</v>
      </c>
      <c r="I3278" s="5">
        <v>7151443600.4399996</v>
      </c>
      <c r="J3278" s="5">
        <v>1565722000</v>
      </c>
      <c r="K3278" s="5">
        <v>10879000</v>
      </c>
      <c r="L3278" s="5">
        <v>2620995000</v>
      </c>
      <c r="M3278" s="5">
        <v>637390000</v>
      </c>
      <c r="N3278" s="5">
        <v>156240000</v>
      </c>
    </row>
    <row r="3279" spans="1:14" x14ac:dyDescent="0.25">
      <c r="A3279" s="3" t="s">
        <v>3290</v>
      </c>
      <c r="B3279" s="4">
        <v>11.23</v>
      </c>
      <c r="C3279" s="4">
        <v>0.06</v>
      </c>
      <c r="D3279" s="4">
        <v>0.04</v>
      </c>
      <c r="E3279" s="4">
        <v>-1.718832272058838E-2</v>
      </c>
      <c r="F3279" s="3">
        <v>3277</v>
      </c>
      <c r="G3279" s="3">
        <v>3</v>
      </c>
      <c r="H3279" s="5">
        <v>762075431.97000003</v>
      </c>
      <c r="I3279" s="5">
        <v>702606431.97000003</v>
      </c>
      <c r="J3279" s="5">
        <v>0</v>
      </c>
      <c r="K3279" s="5">
        <v>59469000</v>
      </c>
      <c r="L3279" s="5">
        <v>291646000</v>
      </c>
      <c r="M3279" s="5">
        <v>62587000</v>
      </c>
      <c r="N3279" s="5">
        <v>20007000</v>
      </c>
    </row>
    <row r="3280" spans="1:14" x14ac:dyDescent="0.25">
      <c r="A3280" s="3" t="s">
        <v>3291</v>
      </c>
      <c r="B3280" s="4">
        <v>11.58</v>
      </c>
      <c r="C3280" s="4">
        <v>0.13</v>
      </c>
      <c r="D3280" s="4">
        <v>7.0000000000000007E-2</v>
      </c>
      <c r="E3280" s="4">
        <v>-1.719690259115236E-2</v>
      </c>
      <c r="F3280" s="3">
        <v>3278</v>
      </c>
      <c r="G3280" s="3">
        <v>3</v>
      </c>
      <c r="H3280" s="5">
        <v>1038816165.04287</v>
      </c>
      <c r="I3280" s="5">
        <v>1012189165.04287</v>
      </c>
      <c r="J3280" s="5">
        <v>86152000</v>
      </c>
      <c r="K3280" s="5">
        <v>112779000</v>
      </c>
      <c r="L3280" s="5">
        <v>552520000</v>
      </c>
      <c r="M3280" s="5">
        <v>87444000</v>
      </c>
      <c r="N3280" s="5">
        <v>36883000</v>
      </c>
    </row>
    <row r="3281" spans="1:14" x14ac:dyDescent="0.25">
      <c r="A3281" s="3" t="s">
        <v>3292</v>
      </c>
      <c r="B3281" s="4">
        <v>11.1</v>
      </c>
      <c r="C3281" s="4">
        <v>0.03</v>
      </c>
      <c r="D3281" s="4">
        <v>0.01</v>
      </c>
      <c r="E3281" s="4">
        <v>-1.7200330947302261E-2</v>
      </c>
      <c r="F3281" s="3">
        <v>3279</v>
      </c>
      <c r="G3281" s="3">
        <v>3</v>
      </c>
      <c r="H3281" s="5">
        <v>613832092.44000006</v>
      </c>
      <c r="I3281" s="5">
        <v>1279031092.4400001</v>
      </c>
      <c r="J3281" s="5">
        <v>762943000</v>
      </c>
      <c r="K3281" s="5">
        <v>97744000</v>
      </c>
      <c r="L3281" s="5">
        <v>1277862000</v>
      </c>
      <c r="M3281" s="5">
        <v>115241000</v>
      </c>
      <c r="N3281" s="5">
        <v>33059000</v>
      </c>
    </row>
    <row r="3282" spans="1:14" x14ac:dyDescent="0.25">
      <c r="A3282" s="3" t="s">
        <v>3293</v>
      </c>
      <c r="B3282" s="4">
        <v>11.6</v>
      </c>
      <c r="C3282" s="4">
        <v>0.13</v>
      </c>
      <c r="D3282" s="4">
        <v>0.1</v>
      </c>
      <c r="E3282" s="4">
        <v>-1.7203493922813999E-2</v>
      </c>
      <c r="F3282" s="3">
        <v>3280</v>
      </c>
      <c r="G3282" s="3">
        <v>3</v>
      </c>
      <c r="H3282" s="5">
        <v>8962189627.1900005</v>
      </c>
      <c r="I3282" s="5">
        <v>7701116627.1900005</v>
      </c>
      <c r="J3282" s="5">
        <v>25194000</v>
      </c>
      <c r="K3282" s="5">
        <v>1286267000</v>
      </c>
      <c r="L3282" s="5">
        <v>4727940000</v>
      </c>
      <c r="M3282" s="5">
        <v>663615000</v>
      </c>
      <c r="N3282" s="5">
        <v>454533000</v>
      </c>
    </row>
    <row r="3283" spans="1:14" x14ac:dyDescent="0.25">
      <c r="A3283" s="3" t="s">
        <v>3294</v>
      </c>
      <c r="B3283" s="4">
        <v>11.47</v>
      </c>
      <c r="C3283" s="4">
        <v>0.1</v>
      </c>
      <c r="D3283" s="4">
        <v>7.0000000000000007E-2</v>
      </c>
      <c r="E3283" s="4">
        <v>-1.721550214952788E-2</v>
      </c>
      <c r="F3283" s="3">
        <v>3281</v>
      </c>
      <c r="G3283" s="3">
        <v>3</v>
      </c>
      <c r="H3283" s="5">
        <v>75665252.019999996</v>
      </c>
      <c r="I3283" s="5">
        <v>68090252.019999996</v>
      </c>
      <c r="J3283" s="5">
        <v>0</v>
      </c>
      <c r="K3283" s="5">
        <v>7575000</v>
      </c>
      <c r="L3283" s="5">
        <v>46527000</v>
      </c>
      <c r="M3283" s="5">
        <v>5938000</v>
      </c>
      <c r="N3283" s="5">
        <v>4224000</v>
      </c>
    </row>
    <row r="3284" spans="1:14" x14ac:dyDescent="0.25">
      <c r="A3284" s="3" t="s">
        <v>3295</v>
      </c>
      <c r="B3284" s="4">
        <v>11.58</v>
      </c>
      <c r="C3284" s="4">
        <v>0.12</v>
      </c>
      <c r="D3284" s="4">
        <v>0.09</v>
      </c>
      <c r="E3284" s="4">
        <v>-1.7221938145011811E-2</v>
      </c>
      <c r="F3284" s="3">
        <v>3282</v>
      </c>
      <c r="G3284" s="3">
        <v>3</v>
      </c>
      <c r="H3284" s="5">
        <v>533994684.60000002</v>
      </c>
      <c r="I3284" s="5">
        <v>509942684.60000002</v>
      </c>
      <c r="J3284" s="5">
        <v>602000</v>
      </c>
      <c r="K3284" s="5">
        <v>24654000</v>
      </c>
      <c r="L3284" s="5">
        <v>258372000</v>
      </c>
      <c r="M3284" s="5">
        <v>44035000</v>
      </c>
      <c r="N3284" s="5">
        <v>31073000</v>
      </c>
    </row>
    <row r="3285" spans="1:14" x14ac:dyDescent="0.25">
      <c r="A3285" s="3" t="s">
        <v>3296</v>
      </c>
      <c r="B3285" s="4">
        <v>11.28</v>
      </c>
      <c r="C3285" s="4">
        <v>0.06</v>
      </c>
      <c r="D3285" s="4">
        <v>0.02</v>
      </c>
      <c r="E3285" s="4">
        <v>-1.7223126802228782E-2</v>
      </c>
      <c r="F3285" s="3">
        <v>3283</v>
      </c>
      <c r="G3285" s="3">
        <v>3</v>
      </c>
      <c r="H3285" s="5">
        <v>5685644591.04</v>
      </c>
      <c r="I3285" s="5">
        <v>10404553591.040001</v>
      </c>
      <c r="J3285" s="5">
        <v>5082698000</v>
      </c>
      <c r="K3285" s="5">
        <v>363789000</v>
      </c>
      <c r="L3285" s="5">
        <v>5112445000</v>
      </c>
      <c r="M3285" s="5">
        <v>922211000</v>
      </c>
      <c r="N3285" s="5">
        <v>198815000</v>
      </c>
    </row>
    <row r="3286" spans="1:14" x14ac:dyDescent="0.25">
      <c r="A3286" s="3" t="s">
        <v>3297</v>
      </c>
      <c r="B3286" s="4">
        <v>11.24</v>
      </c>
      <c r="C3286" s="4">
        <v>0.05</v>
      </c>
      <c r="D3286" s="4">
        <v>0.03</v>
      </c>
      <c r="E3286" s="4">
        <v>-1.7225334559877421E-2</v>
      </c>
      <c r="F3286" s="3">
        <v>3284</v>
      </c>
      <c r="G3286" s="3">
        <v>3</v>
      </c>
      <c r="H3286" s="5">
        <v>108958730.25</v>
      </c>
      <c r="I3286" s="5">
        <v>169104760.25</v>
      </c>
      <c r="J3286" s="5">
        <v>60871430</v>
      </c>
      <c r="K3286" s="5">
        <v>725400</v>
      </c>
      <c r="L3286" s="5">
        <v>27923750</v>
      </c>
      <c r="M3286" s="5">
        <v>15045550</v>
      </c>
      <c r="N3286" s="5">
        <v>5566740</v>
      </c>
    </row>
    <row r="3287" spans="1:14" x14ac:dyDescent="0.25">
      <c r="A3287" s="3" t="s">
        <v>3298</v>
      </c>
      <c r="B3287" s="4">
        <v>12.47</v>
      </c>
      <c r="C3287" s="4">
        <v>0.31</v>
      </c>
      <c r="D3287" s="4">
        <v>7.0000000000000007E-2</v>
      </c>
      <c r="E3287" s="4">
        <v>-1.7227656971932011E-2</v>
      </c>
      <c r="F3287" s="3">
        <v>3285</v>
      </c>
      <c r="G3287" s="3">
        <v>3</v>
      </c>
      <c r="H3287" s="5">
        <v>128052329696.48</v>
      </c>
      <c r="I3287" s="5">
        <v>185921329696.48001</v>
      </c>
      <c r="J3287" s="5">
        <v>65193000000</v>
      </c>
      <c r="K3287" s="5">
        <v>7324000000</v>
      </c>
      <c r="L3287" s="5">
        <v>51640000000</v>
      </c>
      <c r="M3287" s="5">
        <v>14911000000</v>
      </c>
      <c r="N3287" s="5">
        <v>7100000000</v>
      </c>
    </row>
    <row r="3288" spans="1:14" x14ac:dyDescent="0.25">
      <c r="A3288" s="3" t="s">
        <v>3299</v>
      </c>
      <c r="B3288" s="4">
        <v>25.09</v>
      </c>
      <c r="C3288" s="4">
        <v>3.02</v>
      </c>
      <c r="D3288" s="4">
        <v>-0.08</v>
      </c>
      <c r="E3288" s="4">
        <v>-1.7237202459388229E-2</v>
      </c>
      <c r="F3288" s="3">
        <v>3286</v>
      </c>
      <c r="G3288" s="3">
        <v>3</v>
      </c>
      <c r="H3288" s="5">
        <v>2498.6024000000002</v>
      </c>
      <c r="I3288" s="5">
        <v>99182128.602400005</v>
      </c>
      <c r="J3288" s="5">
        <v>104270000</v>
      </c>
      <c r="K3288" s="5">
        <v>5090370</v>
      </c>
      <c r="L3288" s="5">
        <v>14202270</v>
      </c>
      <c r="M3288" s="5">
        <v>3953820</v>
      </c>
      <c r="N3288" s="5">
        <v>-7847670</v>
      </c>
    </row>
    <row r="3289" spans="1:14" x14ac:dyDescent="0.25">
      <c r="A3289" s="3" t="s">
        <v>3300</v>
      </c>
      <c r="B3289" s="4">
        <v>11.57</v>
      </c>
      <c r="C3289" s="4">
        <v>0.11</v>
      </c>
      <c r="D3289" s="4">
        <v>0.08</v>
      </c>
      <c r="E3289" s="4">
        <v>-1.72465715729067E-2</v>
      </c>
      <c r="F3289" s="3">
        <v>3287</v>
      </c>
      <c r="G3289" s="3">
        <v>3</v>
      </c>
      <c r="H3289" s="5">
        <v>1256807818.98</v>
      </c>
      <c r="I3289" s="5">
        <v>1253726818.98</v>
      </c>
      <c r="J3289" s="5">
        <v>91253000</v>
      </c>
      <c r="K3289" s="5">
        <v>94334000</v>
      </c>
      <c r="L3289" s="5">
        <v>515771000</v>
      </c>
      <c r="M3289" s="5">
        <v>108399000</v>
      </c>
      <c r="N3289" s="5">
        <v>58114000</v>
      </c>
    </row>
    <row r="3290" spans="1:14" x14ac:dyDescent="0.25">
      <c r="A3290" s="3" t="s">
        <v>3301</v>
      </c>
      <c r="B3290" s="4">
        <v>11.65</v>
      </c>
      <c r="C3290" s="4">
        <v>0.13</v>
      </c>
      <c r="D3290" s="4">
        <v>0.03</v>
      </c>
      <c r="E3290" s="4">
        <v>-1.7247943137341931E-2</v>
      </c>
      <c r="F3290" s="3">
        <v>3288</v>
      </c>
      <c r="G3290" s="3">
        <v>3</v>
      </c>
      <c r="H3290" s="5">
        <v>96639901396</v>
      </c>
      <c r="I3290" s="5">
        <v>97234901396</v>
      </c>
      <c r="J3290" s="5">
        <v>3487400000</v>
      </c>
      <c r="K3290" s="5">
        <v>2892400000</v>
      </c>
      <c r="L3290" s="5">
        <v>10209200000</v>
      </c>
      <c r="M3290" s="5">
        <v>8347400000</v>
      </c>
      <c r="N3290" s="5">
        <v>3525800000</v>
      </c>
    </row>
    <row r="3291" spans="1:14" x14ac:dyDescent="0.25">
      <c r="A3291" s="3" t="s">
        <v>3302</v>
      </c>
      <c r="B3291" s="4">
        <v>10.42</v>
      </c>
      <c r="C3291" s="4">
        <v>-0.13</v>
      </c>
      <c r="D3291" s="4">
        <v>-0.05</v>
      </c>
      <c r="E3291" s="4">
        <v>-1.7253336831597361E-2</v>
      </c>
      <c r="F3291" s="3">
        <v>3289</v>
      </c>
      <c r="G3291" s="3">
        <v>3</v>
      </c>
      <c r="H3291" s="5">
        <v>1862680502.3399999</v>
      </c>
      <c r="I3291" s="5">
        <v>2250404502.3400002</v>
      </c>
      <c r="J3291" s="5">
        <v>617664000</v>
      </c>
      <c r="K3291" s="5">
        <v>229940000</v>
      </c>
      <c r="L3291" s="5">
        <v>2012919000</v>
      </c>
      <c r="M3291" s="5">
        <v>215907000</v>
      </c>
      <c r="N3291" s="5">
        <v>-99069000</v>
      </c>
    </row>
    <row r="3292" spans="1:14" x14ac:dyDescent="0.25">
      <c r="A3292" s="3" t="s">
        <v>3303</v>
      </c>
      <c r="B3292" s="4">
        <v>12.2</v>
      </c>
      <c r="C3292" s="4">
        <v>0.24</v>
      </c>
      <c r="D3292" s="4">
        <v>0.05</v>
      </c>
      <c r="E3292" s="4">
        <v>-1.726666172036714E-2</v>
      </c>
      <c r="F3292" s="3">
        <v>3290</v>
      </c>
      <c r="G3292" s="3">
        <v>3</v>
      </c>
      <c r="H3292" s="5">
        <v>2638743656.3400002</v>
      </c>
      <c r="I3292" s="5">
        <v>2335526656.3400002</v>
      </c>
      <c r="J3292" s="5">
        <v>229254000</v>
      </c>
      <c r="K3292" s="5">
        <v>532471000</v>
      </c>
      <c r="L3292" s="5">
        <v>747407000</v>
      </c>
      <c r="M3292" s="5">
        <v>191452000</v>
      </c>
      <c r="N3292" s="5">
        <v>109953000</v>
      </c>
    </row>
    <row r="3293" spans="1:14" x14ac:dyDescent="0.25">
      <c r="A3293" s="3" t="s">
        <v>3304</v>
      </c>
      <c r="B3293" s="4">
        <v>11.4</v>
      </c>
      <c r="C3293" s="4">
        <v>7.0000000000000007E-2</v>
      </c>
      <c r="D3293" s="4">
        <v>0.02</v>
      </c>
      <c r="E3293" s="4">
        <v>-1.7268503663579252E-2</v>
      </c>
      <c r="F3293" s="3">
        <v>3291</v>
      </c>
      <c r="G3293" s="3">
        <v>3</v>
      </c>
      <c r="H3293" s="5">
        <v>3589870494</v>
      </c>
      <c r="I3293" s="5">
        <v>5839370494</v>
      </c>
      <c r="J3293" s="5">
        <v>3042800000</v>
      </c>
      <c r="K3293" s="5">
        <v>793300000</v>
      </c>
      <c r="L3293" s="5">
        <v>9446500000</v>
      </c>
      <c r="M3293" s="5">
        <v>512400000</v>
      </c>
      <c r="N3293" s="5">
        <v>131300000</v>
      </c>
    </row>
    <row r="3294" spans="1:14" x14ac:dyDescent="0.25">
      <c r="A3294" s="3" t="s">
        <v>3305</v>
      </c>
      <c r="B3294" s="4">
        <v>12.92</v>
      </c>
      <c r="C3294" s="4">
        <v>0.39</v>
      </c>
      <c r="D3294" s="4">
        <v>0.06</v>
      </c>
      <c r="E3294" s="4">
        <v>-1.7276951398762341E-2</v>
      </c>
      <c r="F3294" s="3">
        <v>3292</v>
      </c>
      <c r="G3294" s="3">
        <v>3</v>
      </c>
      <c r="H3294" s="5">
        <v>6903145458</v>
      </c>
      <c r="I3294" s="5">
        <v>11677545458</v>
      </c>
      <c r="J3294" s="5">
        <v>4949900000</v>
      </c>
      <c r="K3294" s="5">
        <v>175500000</v>
      </c>
      <c r="L3294" s="5">
        <v>2734300000</v>
      </c>
      <c r="M3294" s="5">
        <v>904100000</v>
      </c>
      <c r="N3294" s="5">
        <v>426800000</v>
      </c>
    </row>
    <row r="3295" spans="1:14" x14ac:dyDescent="0.25">
      <c r="A3295" s="3" t="s">
        <v>3306</v>
      </c>
      <c r="B3295" s="4">
        <v>11.47</v>
      </c>
      <c r="C3295" s="4">
        <v>0.08</v>
      </c>
      <c r="D3295" s="4">
        <v>0.05</v>
      </c>
      <c r="E3295" s="4">
        <v>-1.7277147416711811E-2</v>
      </c>
      <c r="F3295" s="3">
        <v>3293</v>
      </c>
      <c r="G3295" s="3">
        <v>3</v>
      </c>
      <c r="H3295" s="5">
        <v>1171524600</v>
      </c>
      <c r="I3295" s="5">
        <v>1197980600</v>
      </c>
      <c r="J3295" s="5">
        <v>127913000</v>
      </c>
      <c r="K3295" s="5">
        <v>101457000</v>
      </c>
      <c r="L3295" s="5">
        <v>678722000</v>
      </c>
      <c r="M3295" s="5">
        <v>104421000</v>
      </c>
      <c r="N3295" s="5">
        <v>39217000</v>
      </c>
    </row>
    <row r="3296" spans="1:14" x14ac:dyDescent="0.25">
      <c r="A3296" s="3" t="s">
        <v>3307</v>
      </c>
      <c r="B3296" s="4">
        <v>10.71</v>
      </c>
      <c r="C3296" s="4">
        <v>-0.08</v>
      </c>
      <c r="D3296" s="4">
        <v>-0.03</v>
      </c>
      <c r="E3296" s="4">
        <v>-1.7284497708585301E-2</v>
      </c>
      <c r="F3296" s="3">
        <v>3294</v>
      </c>
      <c r="G3296" s="3">
        <v>3</v>
      </c>
      <c r="H3296" s="5">
        <v>7344377533.7791595</v>
      </c>
      <c r="I3296" s="5">
        <v>12888677533.77916</v>
      </c>
      <c r="J3296" s="5">
        <v>5896100000</v>
      </c>
      <c r="K3296" s="5">
        <v>351800000</v>
      </c>
      <c r="L3296" s="5">
        <v>3018000000</v>
      </c>
      <c r="M3296" s="5">
        <v>1203100000</v>
      </c>
      <c r="N3296" s="5">
        <v>-365800000</v>
      </c>
    </row>
    <row r="3297" spans="1:14" x14ac:dyDescent="0.25">
      <c r="A3297" s="3" t="s">
        <v>3308</v>
      </c>
      <c r="B3297" s="4">
        <v>9.36</v>
      </c>
      <c r="C3297" s="4">
        <v>-0.37</v>
      </c>
      <c r="D3297" s="4">
        <v>-7.0000000000000007E-2</v>
      </c>
      <c r="E3297" s="4">
        <v>-1.7294585649209149E-2</v>
      </c>
      <c r="F3297" s="3">
        <v>3295</v>
      </c>
      <c r="G3297" s="3">
        <v>3</v>
      </c>
      <c r="H3297" s="5">
        <v>43740381.439999998</v>
      </c>
      <c r="I3297" s="5">
        <v>234189381.44</v>
      </c>
      <c r="J3297" s="5">
        <v>195050000</v>
      </c>
      <c r="K3297" s="5">
        <v>4601000</v>
      </c>
      <c r="L3297" s="5">
        <v>472840000</v>
      </c>
      <c r="M3297" s="5">
        <v>25009000</v>
      </c>
      <c r="N3297" s="5">
        <v>-26685000</v>
      </c>
    </row>
    <row r="3298" spans="1:14" x14ac:dyDescent="0.25">
      <c r="A3298" s="3" t="s">
        <v>3309</v>
      </c>
      <c r="B3298" s="4">
        <v>12.05</v>
      </c>
      <c r="C3298" s="4">
        <v>0.19</v>
      </c>
      <c r="D3298" s="4">
        <v>0.13</v>
      </c>
      <c r="E3298" s="4">
        <v>-1.7302859457363221E-2</v>
      </c>
      <c r="F3298" s="3">
        <v>3296</v>
      </c>
      <c r="G3298" s="3">
        <v>3</v>
      </c>
      <c r="H3298" s="5">
        <v>17825590161.75</v>
      </c>
      <c r="I3298" s="5">
        <v>17665790161.75</v>
      </c>
      <c r="J3298" s="5">
        <v>1200700000</v>
      </c>
      <c r="K3298" s="5">
        <v>1360500000</v>
      </c>
      <c r="L3298" s="5">
        <v>5108400000</v>
      </c>
      <c r="M3298" s="5">
        <v>1466200000</v>
      </c>
      <c r="N3298" s="5">
        <v>1043900000</v>
      </c>
    </row>
    <row r="3299" spans="1:14" x14ac:dyDescent="0.25">
      <c r="A3299" s="3" t="s">
        <v>3310</v>
      </c>
      <c r="B3299" s="4">
        <v>11.27</v>
      </c>
      <c r="C3299" s="4">
        <v>0.03</v>
      </c>
      <c r="D3299" s="4">
        <v>0.01</v>
      </c>
      <c r="E3299" s="4">
        <v>-1.730554744415258E-2</v>
      </c>
      <c r="F3299" s="3">
        <v>3297</v>
      </c>
      <c r="G3299" s="3">
        <v>3</v>
      </c>
      <c r="H3299" s="5">
        <v>10783091193.68</v>
      </c>
      <c r="I3299" s="5">
        <v>16595591193.68</v>
      </c>
      <c r="J3299" s="5">
        <v>6103000000</v>
      </c>
      <c r="K3299" s="5">
        <v>290500000</v>
      </c>
      <c r="L3299" s="5">
        <v>15365700000</v>
      </c>
      <c r="M3299" s="5">
        <v>1472900000</v>
      </c>
      <c r="N3299" s="5">
        <v>294300000</v>
      </c>
    </row>
    <row r="3300" spans="1:14" x14ac:dyDescent="0.25">
      <c r="A3300" s="3" t="s">
        <v>3311</v>
      </c>
      <c r="B3300" s="4">
        <v>16.260000000000002</v>
      </c>
      <c r="C3300" s="4">
        <v>1.1000000000000001</v>
      </c>
      <c r="D3300" s="4">
        <v>-0.05</v>
      </c>
      <c r="E3300" s="4">
        <v>-1.7313919295912261E-2</v>
      </c>
      <c r="F3300" s="3">
        <v>3298</v>
      </c>
      <c r="G3300" s="3">
        <v>3</v>
      </c>
      <c r="H3300" s="5">
        <v>4797048.75</v>
      </c>
      <c r="I3300" s="5">
        <v>45702048.75</v>
      </c>
      <c r="J3300" s="5">
        <v>41487000</v>
      </c>
      <c r="K3300" s="5">
        <v>582000</v>
      </c>
      <c r="L3300" s="5">
        <v>18335000</v>
      </c>
      <c r="M3300" s="5">
        <v>2810000</v>
      </c>
      <c r="N3300" s="5">
        <v>-3218000</v>
      </c>
    </row>
    <row r="3301" spans="1:14" x14ac:dyDescent="0.25">
      <c r="A3301" s="3" t="s">
        <v>3312</v>
      </c>
      <c r="B3301" s="4">
        <v>14.44</v>
      </c>
      <c r="C3301" s="4">
        <v>0.7</v>
      </c>
      <c r="D3301" s="4">
        <v>0.04</v>
      </c>
      <c r="E3301" s="4">
        <v>-1.7325866900424931E-2</v>
      </c>
      <c r="F3301" s="3">
        <v>3299</v>
      </c>
      <c r="G3301" s="3">
        <v>3</v>
      </c>
      <c r="H3301" s="5">
        <v>172200421660.85999</v>
      </c>
      <c r="I3301" s="5">
        <v>220326421660.85999</v>
      </c>
      <c r="J3301" s="5">
        <v>60099000000</v>
      </c>
      <c r="K3301" s="5">
        <v>11973000000</v>
      </c>
      <c r="L3301" s="5">
        <v>33424000000</v>
      </c>
      <c r="M3301" s="5">
        <v>15263000000</v>
      </c>
      <c r="N3301" s="5">
        <v>4090000000</v>
      </c>
    </row>
    <row r="3302" spans="1:14" x14ac:dyDescent="0.25">
      <c r="A3302" s="3" t="s">
        <v>3313</v>
      </c>
      <c r="B3302" s="4">
        <v>11.79</v>
      </c>
      <c r="C3302" s="4">
        <v>0.13</v>
      </c>
      <c r="D3302" s="4">
        <v>0.05</v>
      </c>
      <c r="E3302" s="4">
        <v>-1.7330733963946E-2</v>
      </c>
      <c r="F3302" s="3">
        <v>3300</v>
      </c>
      <c r="G3302" s="3">
        <v>3</v>
      </c>
      <c r="H3302" s="5">
        <v>4387748442.8400002</v>
      </c>
      <c r="I3302" s="5">
        <v>6581704442.8400002</v>
      </c>
      <c r="J3302" s="5">
        <v>2198376000</v>
      </c>
      <c r="K3302" s="5">
        <v>4420000</v>
      </c>
      <c r="L3302" s="5">
        <v>1157591000</v>
      </c>
      <c r="M3302" s="5">
        <v>558414000</v>
      </c>
      <c r="N3302" s="5">
        <v>172231000</v>
      </c>
    </row>
    <row r="3303" spans="1:14" x14ac:dyDescent="0.25">
      <c r="A3303" s="3" t="s">
        <v>3314</v>
      </c>
      <c r="B3303" s="4">
        <v>10.27</v>
      </c>
      <c r="C3303" s="4">
        <v>-0.19</v>
      </c>
      <c r="D3303" s="4">
        <v>-0.1</v>
      </c>
      <c r="E3303" s="4">
        <v>-1.7343505521115469E-2</v>
      </c>
      <c r="F3303" s="3">
        <v>3301</v>
      </c>
      <c r="G3303" s="3">
        <v>3</v>
      </c>
      <c r="H3303" s="5">
        <v>68745807</v>
      </c>
      <c r="I3303" s="5">
        <v>110359807</v>
      </c>
      <c r="J3303" s="5">
        <v>46664000</v>
      </c>
      <c r="K3303" s="5">
        <v>5050000</v>
      </c>
      <c r="L3303" s="5">
        <v>151283000</v>
      </c>
      <c r="M3303" s="5">
        <v>10743000</v>
      </c>
      <c r="N3303" s="5">
        <v>-14489000</v>
      </c>
    </row>
    <row r="3304" spans="1:14" x14ac:dyDescent="0.25">
      <c r="A3304" s="3" t="s">
        <v>3315</v>
      </c>
      <c r="B3304" s="4">
        <v>10.75</v>
      </c>
      <c r="C3304" s="4">
        <v>-0.09</v>
      </c>
      <c r="D3304" s="4">
        <v>-0.08</v>
      </c>
      <c r="E3304" s="4">
        <v>-1.7347793271275599E-2</v>
      </c>
      <c r="F3304" s="3">
        <v>3302</v>
      </c>
      <c r="G3304" s="3">
        <v>3</v>
      </c>
      <c r="H3304" s="5">
        <v>14990218.375</v>
      </c>
      <c r="I3304" s="5">
        <v>13871288.375</v>
      </c>
      <c r="J3304" s="5">
        <v>0</v>
      </c>
      <c r="K3304" s="5">
        <v>1118930</v>
      </c>
      <c r="L3304" s="5">
        <v>6711230</v>
      </c>
      <c r="M3304" s="5">
        <v>1289890</v>
      </c>
      <c r="N3304" s="5">
        <v>-909660</v>
      </c>
    </row>
    <row r="3305" spans="1:14" x14ac:dyDescent="0.25">
      <c r="A3305" s="3" t="s">
        <v>3316</v>
      </c>
      <c r="B3305" s="4">
        <v>20.11</v>
      </c>
      <c r="C3305" s="4">
        <v>1.91</v>
      </c>
      <c r="D3305" s="4">
        <v>-0.04</v>
      </c>
      <c r="E3305" s="4">
        <v>-1.7354452294538469E-2</v>
      </c>
      <c r="F3305" s="3">
        <v>3303</v>
      </c>
      <c r="G3305" s="3">
        <v>3</v>
      </c>
      <c r="H3305" s="5">
        <v>60403981.649999999</v>
      </c>
      <c r="I3305" s="5">
        <v>169366981.65000001</v>
      </c>
      <c r="J3305" s="5">
        <v>114895000</v>
      </c>
      <c r="K3305" s="5">
        <v>5932000</v>
      </c>
      <c r="L3305" s="5">
        <v>291850000</v>
      </c>
      <c r="M3305" s="5">
        <v>8421000</v>
      </c>
      <c r="N3305" s="5">
        <v>-6140000</v>
      </c>
    </row>
    <row r="3306" spans="1:14" x14ac:dyDescent="0.25">
      <c r="A3306" s="3" t="s">
        <v>3317</v>
      </c>
      <c r="B3306" s="4">
        <v>12.73</v>
      </c>
      <c r="C3306" s="4">
        <v>0.32</v>
      </c>
      <c r="D3306" s="4">
        <v>0.09</v>
      </c>
      <c r="E3306" s="4">
        <v>-1.7355824659886561E-2</v>
      </c>
      <c r="F3306" s="3">
        <v>3304</v>
      </c>
      <c r="G3306" s="3">
        <v>3</v>
      </c>
      <c r="H3306" s="5">
        <v>10334898883.74</v>
      </c>
      <c r="I3306" s="5">
        <v>9932898883.7399998</v>
      </c>
      <c r="J3306" s="5">
        <v>0</v>
      </c>
      <c r="K3306" s="5">
        <v>402000000</v>
      </c>
      <c r="L3306" s="5">
        <v>1883200000</v>
      </c>
      <c r="M3306" s="5">
        <v>780200000</v>
      </c>
      <c r="N3306" s="5">
        <v>502000000</v>
      </c>
    </row>
    <row r="3307" spans="1:14" x14ac:dyDescent="0.25">
      <c r="A3307" s="3" t="s">
        <v>3318</v>
      </c>
      <c r="B3307" s="4">
        <v>17.239999999999998</v>
      </c>
      <c r="C3307" s="4">
        <v>1.29</v>
      </c>
      <c r="D3307" s="4">
        <v>0.03</v>
      </c>
      <c r="E3307" s="4">
        <v>-1.735605070833109E-2</v>
      </c>
      <c r="F3307" s="3">
        <v>3305</v>
      </c>
      <c r="G3307" s="3">
        <v>3</v>
      </c>
      <c r="H3307" s="5">
        <v>383115966678.64001</v>
      </c>
      <c r="I3307" s="5">
        <v>444735966678.64001</v>
      </c>
      <c r="J3307" s="5">
        <v>67144000000</v>
      </c>
      <c r="K3307" s="5">
        <v>5524000000</v>
      </c>
      <c r="L3307" s="5">
        <v>56334000000</v>
      </c>
      <c r="M3307" s="5">
        <v>25793000000</v>
      </c>
      <c r="N3307" s="5">
        <v>4278000000</v>
      </c>
    </row>
    <row r="3308" spans="1:14" x14ac:dyDescent="0.25">
      <c r="A3308" s="3" t="s">
        <v>3319</v>
      </c>
      <c r="B3308" s="4">
        <v>12.5</v>
      </c>
      <c r="C3308" s="4">
        <v>0.27</v>
      </c>
      <c r="D3308" s="4">
        <v>0.09</v>
      </c>
      <c r="E3308" s="4">
        <v>-1.735794096392607E-2</v>
      </c>
      <c r="F3308" s="3">
        <v>3306</v>
      </c>
      <c r="G3308" s="3">
        <v>3</v>
      </c>
      <c r="H3308" s="5">
        <v>17127380441.24</v>
      </c>
      <c r="I3308" s="5">
        <v>16968580441.24</v>
      </c>
      <c r="J3308" s="5">
        <v>998900000</v>
      </c>
      <c r="K3308" s="5">
        <v>1157700000</v>
      </c>
      <c r="L3308" s="5">
        <v>9083300000</v>
      </c>
      <c r="M3308" s="5">
        <v>1357500000</v>
      </c>
      <c r="N3308" s="5">
        <v>842900000</v>
      </c>
    </row>
    <row r="3309" spans="1:14" x14ac:dyDescent="0.25">
      <c r="A3309" s="3" t="s">
        <v>3320</v>
      </c>
      <c r="B3309" s="4">
        <v>1.29</v>
      </c>
      <c r="C3309" s="4">
        <v>-2.09</v>
      </c>
      <c r="D3309" s="4">
        <v>-0.55000000000000004</v>
      </c>
      <c r="E3309" s="4">
        <v>-1.7362190333874709E-2</v>
      </c>
      <c r="F3309" s="3">
        <v>3307</v>
      </c>
      <c r="G3309" s="3">
        <v>3</v>
      </c>
      <c r="H3309" s="5">
        <v>21193133.84</v>
      </c>
      <c r="I3309" s="5">
        <v>27218133.84</v>
      </c>
      <c r="J3309" s="5">
        <v>6649000</v>
      </c>
      <c r="K3309" s="5">
        <v>624000</v>
      </c>
      <c r="L3309" s="5">
        <v>26941000</v>
      </c>
      <c r="M3309" s="5">
        <v>21119000</v>
      </c>
      <c r="N3309" s="5">
        <v>-12053000</v>
      </c>
    </row>
    <row r="3310" spans="1:14" x14ac:dyDescent="0.25">
      <c r="A3310" s="3" t="s">
        <v>3321</v>
      </c>
      <c r="B3310" s="4">
        <v>13.34</v>
      </c>
      <c r="C3310" s="4">
        <v>0.45</v>
      </c>
      <c r="D3310" s="4">
        <v>0.05</v>
      </c>
      <c r="E3310" s="4">
        <v>-1.7365465422530361E-2</v>
      </c>
      <c r="F3310" s="3">
        <v>3308</v>
      </c>
      <c r="G3310" s="3">
        <v>3</v>
      </c>
      <c r="H3310" s="5">
        <v>33500280598.380001</v>
      </c>
      <c r="I3310" s="5">
        <v>43342280598.379997</v>
      </c>
      <c r="J3310" s="5">
        <v>10808000000</v>
      </c>
      <c r="K3310" s="5">
        <v>966000000</v>
      </c>
      <c r="L3310" s="5">
        <v>28130000000</v>
      </c>
      <c r="M3310" s="5">
        <v>3249000000</v>
      </c>
      <c r="N3310" s="5">
        <v>1125000000</v>
      </c>
    </row>
    <row r="3311" spans="1:14" x14ac:dyDescent="0.25">
      <c r="A3311" s="3" t="s">
        <v>3322</v>
      </c>
      <c r="B3311" s="4">
        <v>11.53</v>
      </c>
      <c r="C3311" s="4">
        <v>0.06</v>
      </c>
      <c r="D3311" s="4">
        <v>0.03</v>
      </c>
      <c r="E3311" s="4">
        <v>-1.737592791807821E-2</v>
      </c>
      <c r="F3311" s="3">
        <v>3309</v>
      </c>
      <c r="G3311" s="3">
        <v>3</v>
      </c>
      <c r="H3311" s="5">
        <v>5096749859.1000004</v>
      </c>
      <c r="I3311" s="5">
        <v>9062774859.1000004</v>
      </c>
      <c r="J3311" s="5">
        <v>4041998000</v>
      </c>
      <c r="K3311" s="5">
        <v>75973000</v>
      </c>
      <c r="L3311" s="5">
        <v>5715175000</v>
      </c>
      <c r="M3311" s="5">
        <v>785733000</v>
      </c>
      <c r="N3311" s="5">
        <v>278880000</v>
      </c>
    </row>
    <row r="3312" spans="1:14" x14ac:dyDescent="0.25">
      <c r="A3312" s="3" t="s">
        <v>3323</v>
      </c>
      <c r="B3312" s="4">
        <v>13.14</v>
      </c>
      <c r="C3312" s="4">
        <v>0.4</v>
      </c>
      <c r="D3312" s="4">
        <v>0.1</v>
      </c>
      <c r="E3312" s="4">
        <v>-1.7376504210773559E-2</v>
      </c>
      <c r="F3312" s="3">
        <v>3310</v>
      </c>
      <c r="G3312" s="3">
        <v>3</v>
      </c>
      <c r="H3312" s="5">
        <v>128941314050.82001</v>
      </c>
      <c r="I3312" s="5">
        <v>159117314050.82001</v>
      </c>
      <c r="J3312" s="5">
        <v>31192000000</v>
      </c>
      <c r="K3312" s="5">
        <v>1016000000</v>
      </c>
      <c r="L3312" s="5">
        <v>24250000000</v>
      </c>
      <c r="M3312" s="5">
        <v>12111000000</v>
      </c>
      <c r="N3312" s="5">
        <v>6747000000</v>
      </c>
    </row>
    <row r="3313" spans="1:14" x14ac:dyDescent="0.25">
      <c r="A3313" s="3" t="s">
        <v>3324</v>
      </c>
      <c r="B3313" s="4">
        <v>11.35</v>
      </c>
      <c r="C3313" s="4">
        <v>0.02</v>
      </c>
      <c r="D3313" s="4">
        <v>0.01</v>
      </c>
      <c r="E3313" s="4">
        <v>-1.7383954696743659E-2</v>
      </c>
      <c r="F3313" s="3">
        <v>3311</v>
      </c>
      <c r="G3313" s="3">
        <v>3</v>
      </c>
      <c r="H3313" s="5">
        <v>16390168256</v>
      </c>
      <c r="I3313" s="5">
        <v>24926168256</v>
      </c>
      <c r="J3313" s="5">
        <v>9005000000</v>
      </c>
      <c r="K3313" s="5">
        <v>469000000</v>
      </c>
      <c r="L3313" s="5">
        <v>11484000000</v>
      </c>
      <c r="M3313" s="5">
        <v>2197000000</v>
      </c>
      <c r="N3313" s="5">
        <v>243000000</v>
      </c>
    </row>
    <row r="3314" spans="1:14" x14ac:dyDescent="0.25">
      <c r="A3314" s="3" t="s">
        <v>3325</v>
      </c>
      <c r="B3314" s="4">
        <v>12.04</v>
      </c>
      <c r="C3314" s="4">
        <v>0.16</v>
      </c>
      <c r="D3314" s="4">
        <v>0.11</v>
      </c>
      <c r="E3314" s="4">
        <v>-1.7387209125864531E-2</v>
      </c>
      <c r="F3314" s="3">
        <v>3312</v>
      </c>
      <c r="G3314" s="3">
        <v>3</v>
      </c>
      <c r="H3314" s="5">
        <v>3580120089</v>
      </c>
      <c r="I3314" s="5">
        <v>3505537089</v>
      </c>
      <c r="J3314" s="5">
        <v>99766000</v>
      </c>
      <c r="K3314" s="5">
        <v>174349000</v>
      </c>
      <c r="L3314" s="5">
        <v>1513605000</v>
      </c>
      <c r="M3314" s="5">
        <v>291182000</v>
      </c>
      <c r="N3314" s="5">
        <v>189256000</v>
      </c>
    </row>
    <row r="3315" spans="1:14" x14ac:dyDescent="0.25">
      <c r="A3315" s="3" t="s">
        <v>3326</v>
      </c>
      <c r="B3315" s="4">
        <v>15.77</v>
      </c>
      <c r="C3315" s="4">
        <v>0.95</v>
      </c>
      <c r="D3315" s="4">
        <v>0.23</v>
      </c>
      <c r="E3315" s="4">
        <v>-1.739003957780217E-2</v>
      </c>
      <c r="F3315" s="3">
        <v>3313</v>
      </c>
      <c r="G3315" s="3">
        <v>3</v>
      </c>
      <c r="H3315" s="5">
        <v>17185312452.18</v>
      </c>
      <c r="I3315" s="5">
        <v>17917812452.18</v>
      </c>
      <c r="J3315" s="5">
        <v>1147600000</v>
      </c>
      <c r="K3315" s="5">
        <v>415100000</v>
      </c>
      <c r="L3315" s="5">
        <v>5341300000</v>
      </c>
      <c r="M3315" s="5">
        <v>1135900000</v>
      </c>
      <c r="N3315" s="5">
        <v>806900000</v>
      </c>
    </row>
    <row r="3316" spans="1:14" x14ac:dyDescent="0.25">
      <c r="A3316" s="3" t="s">
        <v>3327</v>
      </c>
      <c r="B3316" s="4">
        <v>11.7</v>
      </c>
      <c r="C3316" s="4">
        <v>0.09</v>
      </c>
      <c r="D3316" s="4">
        <v>0.04</v>
      </c>
      <c r="E3316" s="4">
        <v>-1.739253456730765E-2</v>
      </c>
      <c r="F3316" s="3">
        <v>3314</v>
      </c>
      <c r="G3316" s="3">
        <v>3</v>
      </c>
      <c r="H3316" s="5">
        <v>33824012860.75</v>
      </c>
      <c r="I3316" s="5">
        <v>44280012860.75</v>
      </c>
      <c r="J3316" s="5">
        <v>11290000000</v>
      </c>
      <c r="K3316" s="5">
        <v>834000000</v>
      </c>
      <c r="L3316" s="5">
        <v>10127000000</v>
      </c>
      <c r="M3316" s="5">
        <v>3786000000</v>
      </c>
      <c r="N3316" s="5">
        <v>1450000000</v>
      </c>
    </row>
    <row r="3317" spans="1:14" x14ac:dyDescent="0.25">
      <c r="A3317" s="3" t="s">
        <v>3328</v>
      </c>
      <c r="B3317" s="4">
        <v>12.12</v>
      </c>
      <c r="C3317" s="4">
        <v>0.17</v>
      </c>
      <c r="D3317" s="4">
        <v>0.14000000000000001</v>
      </c>
      <c r="E3317" s="4">
        <v>-1.7402042084694171E-2</v>
      </c>
      <c r="F3317" s="3">
        <v>3315</v>
      </c>
      <c r="G3317" s="3">
        <v>3</v>
      </c>
      <c r="H3317" s="5">
        <v>6130088696.7600002</v>
      </c>
      <c r="I3317" s="5">
        <v>5590468696.7600002</v>
      </c>
      <c r="J3317" s="5">
        <v>0</v>
      </c>
      <c r="K3317" s="5">
        <v>539620000</v>
      </c>
      <c r="L3317" s="5">
        <v>1896077000</v>
      </c>
      <c r="M3317" s="5">
        <v>461310000</v>
      </c>
      <c r="N3317" s="5">
        <v>331507000</v>
      </c>
    </row>
    <row r="3318" spans="1:14" x14ac:dyDescent="0.25">
      <c r="A3318" s="3" t="s">
        <v>3329</v>
      </c>
      <c r="B3318" s="4">
        <v>8.2100000000000009</v>
      </c>
      <c r="C3318" s="4">
        <v>-0.65</v>
      </c>
      <c r="D3318" s="4">
        <v>-0.13</v>
      </c>
      <c r="E3318" s="4">
        <v>-1.740342214991511E-2</v>
      </c>
      <c r="F3318" s="3">
        <v>3316</v>
      </c>
      <c r="G3318" s="3">
        <v>3</v>
      </c>
      <c r="H3318" s="5">
        <v>712876034.70000005</v>
      </c>
      <c r="I3318" s="5">
        <v>1626576034.7</v>
      </c>
      <c r="J3318" s="5">
        <v>933900000</v>
      </c>
      <c r="K3318" s="5">
        <v>20200000</v>
      </c>
      <c r="L3318" s="5">
        <v>1117400000</v>
      </c>
      <c r="M3318" s="5">
        <v>198200000</v>
      </c>
      <c r="N3318" s="5">
        <v>-206100000</v>
      </c>
    </row>
    <row r="3319" spans="1:14" x14ac:dyDescent="0.25">
      <c r="A3319" s="3" t="s">
        <v>3330</v>
      </c>
      <c r="B3319" s="4">
        <v>11.97</v>
      </c>
      <c r="C3319" s="4">
        <v>0.14000000000000001</v>
      </c>
      <c r="D3319" s="4">
        <v>0.1</v>
      </c>
      <c r="E3319" s="4">
        <v>-1.7403600926591409E-2</v>
      </c>
      <c r="F3319" s="3">
        <v>3317</v>
      </c>
      <c r="G3319" s="3">
        <v>3</v>
      </c>
      <c r="H3319" s="5">
        <v>302741644.10000002</v>
      </c>
      <c r="I3319" s="5">
        <v>250362644.09999999</v>
      </c>
      <c r="J3319" s="5">
        <v>0</v>
      </c>
      <c r="K3319" s="5">
        <v>52379000</v>
      </c>
      <c r="L3319" s="5">
        <v>236555000</v>
      </c>
      <c r="M3319" s="5">
        <v>20922000</v>
      </c>
      <c r="N3319" s="5">
        <v>17853000</v>
      </c>
    </row>
    <row r="3320" spans="1:14" x14ac:dyDescent="0.25">
      <c r="A3320" s="3" t="s">
        <v>3331</v>
      </c>
      <c r="B3320" s="4">
        <v>11.29</v>
      </c>
      <c r="C3320" s="4">
        <v>0</v>
      </c>
      <c r="D3320" s="4">
        <v>0</v>
      </c>
      <c r="E3320" s="4">
        <v>-1.7406535703167619E-2</v>
      </c>
      <c r="F3320" s="3">
        <v>3318</v>
      </c>
      <c r="G3320" s="3">
        <v>3</v>
      </c>
      <c r="H3320" s="5">
        <v>8253217650.6000004</v>
      </c>
      <c r="I3320" s="5">
        <v>10301745650.6</v>
      </c>
      <c r="J3320" s="5">
        <v>2243134000</v>
      </c>
      <c r="K3320" s="5">
        <v>194606000</v>
      </c>
      <c r="L3320" s="5">
        <v>4049989000</v>
      </c>
      <c r="M3320" s="5">
        <v>912573000</v>
      </c>
      <c r="N3320" s="5">
        <v>10297000</v>
      </c>
    </row>
    <row r="3321" spans="1:14" x14ac:dyDescent="0.25">
      <c r="A3321" s="3" t="s">
        <v>3332</v>
      </c>
      <c r="B3321" s="4">
        <v>13.83</v>
      </c>
      <c r="C3321" s="4">
        <v>0.53</v>
      </c>
      <c r="D3321" s="4">
        <v>0.21</v>
      </c>
      <c r="E3321" s="4">
        <v>-1.7406723220331391E-2</v>
      </c>
      <c r="F3321" s="3">
        <v>3319</v>
      </c>
      <c r="G3321" s="3">
        <v>3</v>
      </c>
      <c r="H3321" s="5">
        <v>24231404653.68</v>
      </c>
      <c r="I3321" s="5">
        <v>23018427653.68</v>
      </c>
      <c r="J3321" s="5">
        <v>0</v>
      </c>
      <c r="K3321" s="5">
        <v>1212977000</v>
      </c>
      <c r="L3321" s="5">
        <v>7711541000</v>
      </c>
      <c r="M3321" s="5">
        <v>1663886000</v>
      </c>
      <c r="N3321" s="5">
        <v>1125251000</v>
      </c>
    </row>
    <row r="3322" spans="1:14" x14ac:dyDescent="0.25">
      <c r="A3322" s="3" t="s">
        <v>3333</v>
      </c>
      <c r="B3322" s="4">
        <v>11.78</v>
      </c>
      <c r="C3322" s="4">
        <v>0.1</v>
      </c>
      <c r="D3322" s="4">
        <v>7.0000000000000007E-2</v>
      </c>
      <c r="E3322" s="4">
        <v>-1.740736752613729E-2</v>
      </c>
      <c r="F3322" s="3">
        <v>3320</v>
      </c>
      <c r="G3322" s="3">
        <v>3</v>
      </c>
      <c r="H3322" s="5">
        <v>1479622578.6400001</v>
      </c>
      <c r="I3322" s="5">
        <v>1301304578.6400001</v>
      </c>
      <c r="J3322" s="5">
        <v>0</v>
      </c>
      <c r="K3322" s="5">
        <v>178318000</v>
      </c>
      <c r="L3322" s="5">
        <v>2802118000</v>
      </c>
      <c r="M3322" s="5">
        <v>110477000</v>
      </c>
      <c r="N3322" s="5">
        <v>87095000</v>
      </c>
    </row>
    <row r="3323" spans="1:14" x14ac:dyDescent="0.25">
      <c r="A3323" s="3" t="s">
        <v>3334</v>
      </c>
      <c r="B3323" s="4">
        <v>11.77</v>
      </c>
      <c r="C3323" s="4">
        <v>0.1</v>
      </c>
      <c r="D3323" s="4">
        <v>0.02</v>
      </c>
      <c r="E3323" s="4">
        <v>-1.7410823453327739E-2</v>
      </c>
      <c r="F3323" s="3">
        <v>3321</v>
      </c>
      <c r="G3323" s="3">
        <v>3</v>
      </c>
      <c r="H3323" s="5">
        <v>2362695546.9000001</v>
      </c>
      <c r="I3323" s="5">
        <v>5761374546.8999996</v>
      </c>
      <c r="J3323" s="5">
        <v>3449087000</v>
      </c>
      <c r="K3323" s="5">
        <v>50408000</v>
      </c>
      <c r="L3323" s="5">
        <v>770335000</v>
      </c>
      <c r="M3323" s="5">
        <v>489682000</v>
      </c>
      <c r="N3323" s="5">
        <v>111518000</v>
      </c>
    </row>
    <row r="3324" spans="1:14" x14ac:dyDescent="0.25">
      <c r="A3324" s="3" t="s">
        <v>3335</v>
      </c>
      <c r="B3324" s="4">
        <v>11.74</v>
      </c>
      <c r="C3324" s="4">
        <v>0.09</v>
      </c>
      <c r="D3324" s="4">
        <v>0.02</v>
      </c>
      <c r="E3324" s="4">
        <v>-1.7421149443250961E-2</v>
      </c>
      <c r="F3324" s="3">
        <v>3322</v>
      </c>
      <c r="G3324" s="3">
        <v>3</v>
      </c>
      <c r="H3324" s="5">
        <v>9904222213.4400005</v>
      </c>
      <c r="I3324" s="5">
        <v>14503196213.440001</v>
      </c>
      <c r="J3324" s="5">
        <v>5271457000</v>
      </c>
      <c r="K3324" s="5">
        <v>672483000</v>
      </c>
      <c r="L3324" s="5">
        <v>17400701000</v>
      </c>
      <c r="M3324" s="5">
        <v>1234857000</v>
      </c>
      <c r="N3324" s="5">
        <v>262522000</v>
      </c>
    </row>
    <row r="3325" spans="1:14" x14ac:dyDescent="0.25">
      <c r="A3325" s="3" t="s">
        <v>3336</v>
      </c>
      <c r="B3325" s="4">
        <v>11.74</v>
      </c>
      <c r="C3325" s="4">
        <v>0.09</v>
      </c>
      <c r="D3325" s="4">
        <v>0.02</v>
      </c>
      <c r="E3325" s="4">
        <v>-1.7421149443250961E-2</v>
      </c>
      <c r="F3325" s="3">
        <v>3322</v>
      </c>
      <c r="G3325" s="3">
        <v>3</v>
      </c>
      <c r="H3325" s="5">
        <v>46610913618.099998</v>
      </c>
      <c r="I3325" s="5">
        <v>92902913618.100006</v>
      </c>
      <c r="J3325" s="5">
        <v>46649000000</v>
      </c>
      <c r="K3325" s="5">
        <v>357000000</v>
      </c>
      <c r="L3325" s="5">
        <v>23028000000</v>
      </c>
      <c r="M3325" s="5">
        <v>7914000000</v>
      </c>
      <c r="N3325" s="5">
        <v>2460000000</v>
      </c>
    </row>
    <row r="3326" spans="1:14" x14ac:dyDescent="0.25">
      <c r="A3326" s="3" t="s">
        <v>3337</v>
      </c>
      <c r="B3326" s="4">
        <v>11.65</v>
      </c>
      <c r="C3326" s="4">
        <v>7.0000000000000007E-2</v>
      </c>
      <c r="D3326" s="4">
        <v>0.03</v>
      </c>
      <c r="E3326" s="4">
        <v>-1.742130477942868E-2</v>
      </c>
      <c r="F3326" s="3">
        <v>3324</v>
      </c>
      <c r="G3326" s="3">
        <v>3</v>
      </c>
      <c r="H3326" s="5">
        <v>4831722771.7299995</v>
      </c>
      <c r="I3326" s="5">
        <v>8102583771.7299995</v>
      </c>
      <c r="J3326" s="5">
        <v>3328856000</v>
      </c>
      <c r="K3326" s="5">
        <v>57995000</v>
      </c>
      <c r="L3326" s="5">
        <v>2083558000</v>
      </c>
      <c r="M3326" s="5">
        <v>695743000</v>
      </c>
      <c r="N3326" s="5">
        <v>222850000</v>
      </c>
    </row>
    <row r="3327" spans="1:14" x14ac:dyDescent="0.25">
      <c r="A3327" s="3" t="s">
        <v>3338</v>
      </c>
      <c r="B3327" s="4">
        <v>11.37</v>
      </c>
      <c r="C3327" s="4">
        <v>0.01</v>
      </c>
      <c r="D3327" s="4">
        <v>0.01</v>
      </c>
      <c r="E3327" s="4">
        <v>-1.7425226715152269E-2</v>
      </c>
      <c r="F3327" s="3">
        <v>3325</v>
      </c>
      <c r="G3327" s="3">
        <v>3</v>
      </c>
      <c r="H3327" s="5">
        <v>1215409689.3599999</v>
      </c>
      <c r="I3327" s="5">
        <v>2471911689.3600001</v>
      </c>
      <c r="J3327" s="5">
        <v>1334703000</v>
      </c>
      <c r="K3327" s="5">
        <v>78201000</v>
      </c>
      <c r="L3327" s="5">
        <v>1039047000</v>
      </c>
      <c r="M3327" s="5">
        <v>217452000</v>
      </c>
      <c r="N3327" s="5">
        <v>16143000</v>
      </c>
    </row>
    <row r="3328" spans="1:14" x14ac:dyDescent="0.25">
      <c r="A3328" s="3" t="s">
        <v>3339</v>
      </c>
      <c r="B3328" s="4">
        <v>11.91</v>
      </c>
      <c r="C3328" s="4">
        <v>0.12</v>
      </c>
      <c r="D3328" s="4">
        <v>0.06</v>
      </c>
      <c r="E3328" s="4">
        <v>-1.7431969012747881E-2</v>
      </c>
      <c r="F3328" s="3">
        <v>3326</v>
      </c>
      <c r="G3328" s="3">
        <v>3</v>
      </c>
      <c r="H3328" s="5">
        <v>3114514836.8400002</v>
      </c>
      <c r="I3328" s="5">
        <v>3972038836.8400002</v>
      </c>
      <c r="J3328" s="5">
        <v>859012000</v>
      </c>
      <c r="K3328" s="5">
        <v>1488000</v>
      </c>
      <c r="L3328" s="5">
        <v>1577744000</v>
      </c>
      <c r="M3328" s="5">
        <v>333376000</v>
      </c>
      <c r="N3328" s="5">
        <v>128833000</v>
      </c>
    </row>
    <row r="3329" spans="1:14" x14ac:dyDescent="0.25">
      <c r="A3329" s="3" t="s">
        <v>3340</v>
      </c>
      <c r="B3329" s="4">
        <v>11.45</v>
      </c>
      <c r="C3329" s="4">
        <v>0.02</v>
      </c>
      <c r="D3329" s="4">
        <v>0.02</v>
      </c>
      <c r="E3329" s="4">
        <v>-1.744391772713693E-2</v>
      </c>
      <c r="F3329" s="3">
        <v>3327</v>
      </c>
      <c r="G3329" s="3">
        <v>3</v>
      </c>
      <c r="H3329" s="5">
        <v>8307371262.9700003</v>
      </c>
      <c r="I3329" s="5">
        <v>7966815262.9700012</v>
      </c>
      <c r="J3329" s="5">
        <v>443882000</v>
      </c>
      <c r="K3329" s="5">
        <v>784438000</v>
      </c>
      <c r="L3329" s="5">
        <v>2519355000</v>
      </c>
      <c r="M3329" s="5">
        <v>695615000</v>
      </c>
      <c r="N3329" s="5">
        <v>102984000</v>
      </c>
    </row>
    <row r="3330" spans="1:14" x14ac:dyDescent="0.25">
      <c r="A3330" s="3" t="s">
        <v>3341</v>
      </c>
      <c r="B3330" s="4">
        <v>12.67</v>
      </c>
      <c r="C3330" s="4">
        <v>0.27</v>
      </c>
      <c r="D3330" s="4">
        <v>0.18</v>
      </c>
      <c r="E3330" s="4">
        <v>-1.7445796221578831E-2</v>
      </c>
      <c r="F3330" s="3">
        <v>3328</v>
      </c>
      <c r="G3330" s="3">
        <v>3</v>
      </c>
      <c r="H3330" s="5">
        <v>6218081605</v>
      </c>
      <c r="I3330" s="5">
        <v>6039731605</v>
      </c>
      <c r="J3330" s="5">
        <v>0</v>
      </c>
      <c r="K3330" s="5">
        <v>178350000</v>
      </c>
      <c r="L3330" s="5">
        <v>2431287000</v>
      </c>
      <c r="M3330" s="5">
        <v>476749000</v>
      </c>
      <c r="N3330" s="5">
        <v>301999000</v>
      </c>
    </row>
    <row r="3331" spans="1:14" x14ac:dyDescent="0.25">
      <c r="A3331" s="3" t="s">
        <v>3342</v>
      </c>
      <c r="B3331" s="4">
        <v>13.71</v>
      </c>
      <c r="C3331" s="4">
        <v>0.5</v>
      </c>
      <c r="D3331" s="4">
        <v>7.0000000000000007E-2</v>
      </c>
      <c r="E3331" s="4">
        <v>-1.7446139945094918E-2</v>
      </c>
      <c r="F3331" s="3">
        <v>3329</v>
      </c>
      <c r="G3331" s="3">
        <v>3</v>
      </c>
      <c r="H3331" s="5">
        <v>42285450816.980003</v>
      </c>
      <c r="I3331" s="5">
        <v>52387450816.980003</v>
      </c>
      <c r="J3331" s="5">
        <v>13752000000</v>
      </c>
      <c r="K3331" s="5">
        <v>3650000000</v>
      </c>
      <c r="L3331" s="5">
        <v>11298000000</v>
      </c>
      <c r="M3331" s="5">
        <v>3820000000</v>
      </c>
      <c r="N3331" s="5">
        <v>1446000000</v>
      </c>
    </row>
    <row r="3332" spans="1:14" x14ac:dyDescent="0.25">
      <c r="A3332" s="3" t="s">
        <v>3343</v>
      </c>
      <c r="B3332" s="4">
        <v>11.51</v>
      </c>
      <c r="C3332" s="4">
        <v>0.03</v>
      </c>
      <c r="D3332" s="4">
        <v>0.02</v>
      </c>
      <c r="E3332" s="4">
        <v>-1.7452159354304931E-2</v>
      </c>
      <c r="F3332" s="3">
        <v>3330</v>
      </c>
      <c r="G3332" s="3">
        <v>3</v>
      </c>
      <c r="H3332" s="5">
        <v>29670585</v>
      </c>
      <c r="I3332" s="5">
        <v>26339285</v>
      </c>
      <c r="J3332" s="5">
        <v>1343290</v>
      </c>
      <c r="K3332" s="5">
        <v>4674590</v>
      </c>
      <c r="L3332" s="5">
        <v>23127920</v>
      </c>
      <c r="M3332" s="5">
        <v>2287610</v>
      </c>
      <c r="N3332" s="5">
        <v>694580</v>
      </c>
    </row>
    <row r="3333" spans="1:14" x14ac:dyDescent="0.25">
      <c r="A3333" s="3" t="s">
        <v>3344</v>
      </c>
      <c r="B3333" s="4">
        <v>11.7</v>
      </c>
      <c r="C3333" s="4">
        <v>7.0000000000000007E-2</v>
      </c>
      <c r="D3333" s="4">
        <v>0.02</v>
      </c>
      <c r="E3333" s="4">
        <v>-1.745417983449157E-2</v>
      </c>
      <c r="F3333" s="3">
        <v>3331</v>
      </c>
      <c r="G3333" s="3">
        <v>3</v>
      </c>
      <c r="H3333" s="5">
        <v>595002828.70519996</v>
      </c>
      <c r="I3333" s="5">
        <v>1277431828.7052</v>
      </c>
      <c r="J3333" s="5">
        <v>693385000</v>
      </c>
      <c r="K3333" s="5">
        <v>10956000</v>
      </c>
      <c r="L3333" s="5">
        <v>149388000</v>
      </c>
      <c r="M3333" s="5">
        <v>109188000</v>
      </c>
      <c r="N3333" s="5">
        <v>23998000</v>
      </c>
    </row>
    <row r="3334" spans="1:14" x14ac:dyDescent="0.25">
      <c r="A3334" s="3" t="s">
        <v>3345</v>
      </c>
      <c r="B3334" s="4">
        <v>11.75</v>
      </c>
      <c r="C3334" s="4">
        <v>0.08</v>
      </c>
      <c r="D3334" s="4">
        <v>0.03</v>
      </c>
      <c r="E3334" s="4">
        <v>-1.7454303229384991E-2</v>
      </c>
      <c r="F3334" s="3">
        <v>3332</v>
      </c>
      <c r="G3334" s="3">
        <v>3</v>
      </c>
      <c r="H3334" s="5">
        <v>4717461612.5</v>
      </c>
      <c r="I3334" s="5">
        <v>9085361612.5</v>
      </c>
      <c r="J3334" s="5">
        <v>4384000000</v>
      </c>
      <c r="K3334" s="5">
        <v>16100000</v>
      </c>
      <c r="L3334" s="5">
        <v>2127700000</v>
      </c>
      <c r="M3334" s="5">
        <v>773200000</v>
      </c>
      <c r="N3334" s="5">
        <v>273100000</v>
      </c>
    </row>
    <row r="3335" spans="1:14" x14ac:dyDescent="0.25">
      <c r="A3335" s="3" t="s">
        <v>3346</v>
      </c>
      <c r="B3335" s="4">
        <v>14.72</v>
      </c>
      <c r="C3335" s="4">
        <v>0.77</v>
      </c>
      <c r="D3335" s="4">
        <v>-0.87</v>
      </c>
      <c r="E3335" s="4">
        <v>-1.7472450829394921E-2</v>
      </c>
      <c r="F3335" s="3">
        <v>3333</v>
      </c>
      <c r="G3335" s="3">
        <v>3</v>
      </c>
      <c r="H3335" s="5">
        <v>244448607.34999999</v>
      </c>
      <c r="I3335" s="5">
        <v>361173607.35000002</v>
      </c>
      <c r="J3335" s="5">
        <v>121087000</v>
      </c>
      <c r="K3335" s="5">
        <v>4362000</v>
      </c>
      <c r="L3335" s="5">
        <v>125907000</v>
      </c>
      <c r="M3335" s="5">
        <v>24535000</v>
      </c>
      <c r="N3335" s="5">
        <v>-100710000</v>
      </c>
    </row>
    <row r="3336" spans="1:14" x14ac:dyDescent="0.25">
      <c r="A3336" s="3" t="s">
        <v>3347</v>
      </c>
      <c r="B3336" s="4">
        <v>-1.47</v>
      </c>
      <c r="C3336" s="4">
        <v>-2.64</v>
      </c>
      <c r="D3336" s="4">
        <v>-1.77</v>
      </c>
      <c r="E3336" s="4">
        <v>-1.7478459189732239E-2</v>
      </c>
      <c r="F3336" s="3">
        <v>3334</v>
      </c>
      <c r="G3336" s="3">
        <v>3</v>
      </c>
      <c r="H3336" s="5">
        <v>49865633.520000003</v>
      </c>
      <c r="I3336" s="5">
        <v>39313713.520000003</v>
      </c>
      <c r="J3336" s="5">
        <v>0</v>
      </c>
      <c r="K3336" s="5">
        <v>10551920</v>
      </c>
      <c r="L3336" s="5">
        <v>0</v>
      </c>
      <c r="M3336" s="5">
        <v>-26694930</v>
      </c>
      <c r="N3336" s="5">
        <v>-24590380</v>
      </c>
    </row>
    <row r="3337" spans="1:14" x14ac:dyDescent="0.25">
      <c r="A3337" s="3" t="s">
        <v>3348</v>
      </c>
      <c r="B3337" s="4">
        <v>9.9700000000000006</v>
      </c>
      <c r="C3337" s="4">
        <v>-0.3</v>
      </c>
      <c r="D3337" s="4">
        <v>-0.13</v>
      </c>
      <c r="E3337" s="4">
        <v>-1.7481446107094709E-2</v>
      </c>
      <c r="F3337" s="3">
        <v>3335</v>
      </c>
      <c r="G3337" s="3">
        <v>3</v>
      </c>
      <c r="H3337" s="5">
        <v>416168036.22000003</v>
      </c>
      <c r="I3337" s="5">
        <v>903168036.22000003</v>
      </c>
      <c r="J3337" s="5">
        <v>515400000</v>
      </c>
      <c r="K3337" s="5">
        <v>28400000</v>
      </c>
      <c r="L3337" s="5">
        <v>1034800000</v>
      </c>
      <c r="M3337" s="5">
        <v>90600000</v>
      </c>
      <c r="N3337" s="5">
        <v>-156200000</v>
      </c>
    </row>
    <row r="3338" spans="1:14" x14ac:dyDescent="0.25">
      <c r="A3338" s="3" t="s">
        <v>3349</v>
      </c>
      <c r="B3338" s="4">
        <v>11.38</v>
      </c>
      <c r="C3338" s="4">
        <v>-0.01</v>
      </c>
      <c r="D3338" s="4">
        <v>0</v>
      </c>
      <c r="E3338" s="4">
        <v>-1.7491132161455768E-2</v>
      </c>
      <c r="F3338" s="3">
        <v>3336</v>
      </c>
      <c r="G3338" s="3">
        <v>3</v>
      </c>
      <c r="H3338" s="5">
        <v>488582713.75999999</v>
      </c>
      <c r="I3338" s="5">
        <v>1686687713.76</v>
      </c>
      <c r="J3338" s="5">
        <v>1344619000</v>
      </c>
      <c r="K3338" s="5">
        <v>146514000</v>
      </c>
      <c r="L3338" s="5">
        <v>228073000</v>
      </c>
      <c r="M3338" s="5">
        <v>148259000</v>
      </c>
      <c r="N3338" s="5">
        <v>-10425000</v>
      </c>
    </row>
    <row r="3339" spans="1:14" x14ac:dyDescent="0.25">
      <c r="A3339" s="3" t="s">
        <v>3350</v>
      </c>
      <c r="B3339" s="4">
        <v>8.1199999999999992</v>
      </c>
      <c r="C3339" s="4">
        <v>-0.69</v>
      </c>
      <c r="D3339" s="4">
        <v>-0.32</v>
      </c>
      <c r="E3339" s="4">
        <v>-1.7499945231671851E-2</v>
      </c>
      <c r="F3339" s="3">
        <v>3337</v>
      </c>
      <c r="G3339" s="3">
        <v>3</v>
      </c>
      <c r="H3339" s="5">
        <v>1858435754.4200001</v>
      </c>
      <c r="I3339" s="5">
        <v>4243235754.4200001</v>
      </c>
      <c r="J3339" s="5">
        <v>2483100000</v>
      </c>
      <c r="K3339" s="5">
        <v>98300000</v>
      </c>
      <c r="L3339" s="5">
        <v>2782900000</v>
      </c>
      <c r="M3339" s="5">
        <v>522400000</v>
      </c>
      <c r="N3339" s="5">
        <v>-2052000000</v>
      </c>
    </row>
    <row r="3340" spans="1:14" x14ac:dyDescent="0.25">
      <c r="A3340" s="3" t="s">
        <v>3351</v>
      </c>
      <c r="B3340" s="4">
        <v>11.84</v>
      </c>
      <c r="C3340" s="4">
        <v>0.08</v>
      </c>
      <c r="D3340" s="4">
        <v>7.0000000000000007E-2</v>
      </c>
      <c r="E3340" s="4">
        <v>-1.7502289974348668E-2</v>
      </c>
      <c r="F3340" s="3">
        <v>3338</v>
      </c>
      <c r="G3340" s="3">
        <v>3</v>
      </c>
      <c r="H3340" s="5">
        <v>915041288.27999997</v>
      </c>
      <c r="I3340" s="5">
        <v>851241288.27999997</v>
      </c>
      <c r="J3340" s="5">
        <v>2500000</v>
      </c>
      <c r="K3340" s="5">
        <v>66300000</v>
      </c>
      <c r="L3340" s="5">
        <v>687600000</v>
      </c>
      <c r="M3340" s="5">
        <v>71900000</v>
      </c>
      <c r="N3340" s="5">
        <v>30400000</v>
      </c>
    </row>
    <row r="3341" spans="1:14" x14ac:dyDescent="0.25">
      <c r="A3341" s="3" t="s">
        <v>3352</v>
      </c>
      <c r="B3341" s="4">
        <v>11.55</v>
      </c>
      <c r="C3341" s="4">
        <v>0.02</v>
      </c>
      <c r="D3341" s="4">
        <v>0.02</v>
      </c>
      <c r="E3341" s="4">
        <v>-1.75058097841077E-2</v>
      </c>
      <c r="F3341" s="3">
        <v>3339</v>
      </c>
      <c r="G3341" s="3">
        <v>3</v>
      </c>
      <c r="H3341" s="5">
        <v>2433134886.6500001</v>
      </c>
      <c r="I3341" s="5">
        <v>2176654886.6500001</v>
      </c>
      <c r="J3341" s="5">
        <v>52191000</v>
      </c>
      <c r="K3341" s="5">
        <v>308671000</v>
      </c>
      <c r="L3341" s="5">
        <v>1311120000</v>
      </c>
      <c r="M3341" s="5">
        <v>188536000</v>
      </c>
      <c r="N3341" s="5">
        <v>44024000</v>
      </c>
    </row>
    <row r="3342" spans="1:14" x14ac:dyDescent="0.25">
      <c r="A3342" s="3" t="s">
        <v>3353</v>
      </c>
      <c r="B3342" s="4">
        <v>1.47</v>
      </c>
      <c r="C3342" s="4">
        <v>-2.12</v>
      </c>
      <c r="D3342" s="4">
        <v>-0.28000000000000003</v>
      </c>
      <c r="E3342" s="4">
        <v>-1.750819313987282E-2</v>
      </c>
      <c r="F3342" s="3">
        <v>3340</v>
      </c>
      <c r="G3342" s="3">
        <v>3</v>
      </c>
      <c r="H3342" s="5">
        <v>34221.080999999998</v>
      </c>
      <c r="I3342" s="5">
        <v>-25507778.919</v>
      </c>
      <c r="J3342" s="5">
        <v>2723000</v>
      </c>
      <c r="K3342" s="5">
        <v>28265000</v>
      </c>
      <c r="L3342" s="5">
        <v>263033000</v>
      </c>
      <c r="M3342" s="5">
        <v>-17299000</v>
      </c>
      <c r="N3342" s="5">
        <v>-42349000</v>
      </c>
    </row>
    <row r="3343" spans="1:14" x14ac:dyDescent="0.25">
      <c r="A3343" s="3" t="s">
        <v>3354</v>
      </c>
      <c r="B3343" s="4">
        <v>11.62</v>
      </c>
      <c r="C3343" s="4">
        <v>0.03</v>
      </c>
      <c r="D3343" s="4">
        <v>0.01</v>
      </c>
      <c r="E3343" s="4">
        <v>-1.752216964355029E-2</v>
      </c>
      <c r="F3343" s="3">
        <v>3341</v>
      </c>
      <c r="G3343" s="3">
        <v>3</v>
      </c>
      <c r="H3343" s="5">
        <v>9138538488.4500008</v>
      </c>
      <c r="I3343" s="5">
        <v>14202738488.450001</v>
      </c>
      <c r="J3343" s="5">
        <v>5457700000</v>
      </c>
      <c r="K3343" s="5">
        <v>393500000</v>
      </c>
      <c r="L3343" s="5">
        <v>6033800000</v>
      </c>
      <c r="M3343" s="5">
        <v>1221900000</v>
      </c>
      <c r="N3343" s="5">
        <v>196200000</v>
      </c>
    </row>
    <row r="3344" spans="1:14" x14ac:dyDescent="0.25">
      <c r="A3344" s="3" t="s">
        <v>3355</v>
      </c>
      <c r="B3344" s="4">
        <v>11.69</v>
      </c>
      <c r="C3344" s="4">
        <v>0.04</v>
      </c>
      <c r="D3344" s="4">
        <v>0.02</v>
      </c>
      <c r="E3344" s="4">
        <v>-1.753467144983787E-2</v>
      </c>
      <c r="F3344" s="3">
        <v>3342</v>
      </c>
      <c r="G3344" s="3">
        <v>3</v>
      </c>
      <c r="H3344" s="5">
        <v>203361830</v>
      </c>
      <c r="I3344" s="5">
        <v>226698830</v>
      </c>
      <c r="J3344" s="5">
        <v>23864000</v>
      </c>
      <c r="K3344" s="5">
        <v>527000</v>
      </c>
      <c r="L3344" s="5">
        <v>134861000</v>
      </c>
      <c r="M3344" s="5">
        <v>19390000</v>
      </c>
      <c r="N3344" s="5">
        <v>2345000</v>
      </c>
    </row>
    <row r="3345" spans="1:14" x14ac:dyDescent="0.25">
      <c r="A3345" s="3" t="s">
        <v>3356</v>
      </c>
      <c r="B3345" s="4">
        <v>12.59</v>
      </c>
      <c r="C3345" s="4">
        <v>0.23</v>
      </c>
      <c r="D3345" s="4">
        <v>0.06</v>
      </c>
      <c r="E3345" s="4">
        <v>-1.753500532299011E-2</v>
      </c>
      <c r="F3345" s="3">
        <v>3343</v>
      </c>
      <c r="G3345" s="3">
        <v>3</v>
      </c>
      <c r="H3345" s="5">
        <v>5560780909.25</v>
      </c>
      <c r="I3345" s="5">
        <v>5620990909.25</v>
      </c>
      <c r="J3345" s="5">
        <v>100000000</v>
      </c>
      <c r="K3345" s="5">
        <v>39790000</v>
      </c>
      <c r="L3345" s="5">
        <v>1770384000</v>
      </c>
      <c r="M3345" s="5">
        <v>446415000</v>
      </c>
      <c r="N3345" s="5">
        <v>345779000</v>
      </c>
    </row>
    <row r="3346" spans="1:14" x14ac:dyDescent="0.25">
      <c r="A3346" s="3" t="s">
        <v>3357</v>
      </c>
      <c r="B3346" s="4">
        <v>11.26</v>
      </c>
      <c r="C3346" s="4">
        <v>-0.05</v>
      </c>
      <c r="D3346" s="4">
        <v>-0.02</v>
      </c>
      <c r="E3346" s="4">
        <v>-1.753629417430368E-2</v>
      </c>
      <c r="F3346" s="3">
        <v>3344</v>
      </c>
      <c r="G3346" s="3">
        <v>3</v>
      </c>
      <c r="H3346" s="5">
        <v>746180352.95000005</v>
      </c>
      <c r="I3346" s="5">
        <v>1303964352.95</v>
      </c>
      <c r="J3346" s="5">
        <v>661987000</v>
      </c>
      <c r="K3346" s="5">
        <v>104203000</v>
      </c>
      <c r="L3346" s="5">
        <v>2554741000</v>
      </c>
      <c r="M3346" s="5">
        <v>115825000</v>
      </c>
      <c r="N3346" s="5">
        <v>-61623000</v>
      </c>
    </row>
    <row r="3347" spans="1:14" x14ac:dyDescent="0.25">
      <c r="A3347" s="3" t="s">
        <v>3358</v>
      </c>
      <c r="B3347" s="4">
        <v>12.21</v>
      </c>
      <c r="C3347" s="4">
        <v>0.15</v>
      </c>
      <c r="D3347" s="4">
        <v>0.03</v>
      </c>
      <c r="E3347" s="4">
        <v>-1.7536751442349351E-2</v>
      </c>
      <c r="F3347" s="3">
        <v>3345</v>
      </c>
      <c r="G3347" s="3">
        <v>3</v>
      </c>
      <c r="H3347" s="5">
        <v>1896023302.95</v>
      </c>
      <c r="I3347" s="5">
        <v>1893956302.95</v>
      </c>
      <c r="J3347" s="5">
        <v>119536000</v>
      </c>
      <c r="K3347" s="5">
        <v>121603000</v>
      </c>
      <c r="L3347" s="5">
        <v>1139922000</v>
      </c>
      <c r="M3347" s="5">
        <v>155148000</v>
      </c>
      <c r="N3347" s="5">
        <v>118828000</v>
      </c>
    </row>
    <row r="3348" spans="1:14" x14ac:dyDescent="0.25">
      <c r="A3348" s="3" t="s">
        <v>3359</v>
      </c>
      <c r="B3348" s="4">
        <v>-3.54</v>
      </c>
      <c r="C3348" s="4">
        <v>-3.21</v>
      </c>
      <c r="D3348" s="4">
        <v>-0.19</v>
      </c>
      <c r="E3348" s="4">
        <v>-1.7539443011015381E-2</v>
      </c>
      <c r="F3348" s="3">
        <v>3346</v>
      </c>
      <c r="G3348" s="3">
        <v>3</v>
      </c>
      <c r="H3348" s="5">
        <v>5053.3504549999998</v>
      </c>
      <c r="I3348" s="5">
        <v>418403.35045500001</v>
      </c>
      <c r="J3348" s="5">
        <v>417440</v>
      </c>
      <c r="K3348" s="5">
        <v>4090</v>
      </c>
      <c r="L3348" s="5">
        <v>10450</v>
      </c>
      <c r="M3348" s="5">
        <v>-118280</v>
      </c>
      <c r="N3348" s="5">
        <v>-200150</v>
      </c>
    </row>
    <row r="3349" spans="1:14" x14ac:dyDescent="0.25">
      <c r="A3349" s="3" t="s">
        <v>3360</v>
      </c>
      <c r="B3349" s="4">
        <v>11.46</v>
      </c>
      <c r="C3349" s="4">
        <v>-0.01</v>
      </c>
      <c r="D3349" s="4">
        <v>0</v>
      </c>
      <c r="E3349" s="4">
        <v>-1.7540645807032389E-2</v>
      </c>
      <c r="F3349" s="3">
        <v>3347</v>
      </c>
      <c r="G3349" s="3">
        <v>3</v>
      </c>
      <c r="H3349" s="5">
        <v>1245376500.96</v>
      </c>
      <c r="I3349" s="5">
        <v>1914813500.96</v>
      </c>
      <c r="J3349" s="5">
        <v>735916000</v>
      </c>
      <c r="K3349" s="5">
        <v>66479000</v>
      </c>
      <c r="L3349" s="5">
        <v>1804104000</v>
      </c>
      <c r="M3349" s="5">
        <v>167142000</v>
      </c>
      <c r="N3349" s="5">
        <v>-7332000</v>
      </c>
    </row>
    <row r="3350" spans="1:14" x14ac:dyDescent="0.25">
      <c r="A3350" s="3" t="s">
        <v>3361</v>
      </c>
      <c r="B3350" s="4">
        <v>12.01</v>
      </c>
      <c r="C3350" s="4">
        <v>0.1</v>
      </c>
      <c r="D3350" s="4">
        <v>0.05</v>
      </c>
      <c r="E3350" s="4">
        <v>-1.7553577310325079E-2</v>
      </c>
      <c r="F3350" s="3">
        <v>3348</v>
      </c>
      <c r="G3350" s="3">
        <v>3</v>
      </c>
      <c r="H3350" s="5">
        <v>1121244160.05</v>
      </c>
      <c r="I3350" s="5">
        <v>2585905160.0500002</v>
      </c>
      <c r="J3350" s="5">
        <v>1517858000</v>
      </c>
      <c r="K3350" s="5">
        <v>53197000</v>
      </c>
      <c r="L3350" s="5">
        <v>2202598000</v>
      </c>
      <c r="M3350" s="5">
        <v>215254000</v>
      </c>
      <c r="N3350" s="5">
        <v>196071000</v>
      </c>
    </row>
    <row r="3351" spans="1:14" x14ac:dyDescent="0.25">
      <c r="A3351" s="3" t="s">
        <v>3362</v>
      </c>
      <c r="B3351" s="4">
        <v>10.94</v>
      </c>
      <c r="C3351" s="4">
        <v>-0.13</v>
      </c>
      <c r="D3351" s="4">
        <v>-0.02</v>
      </c>
      <c r="E3351" s="4">
        <v>-1.7569388448112871E-2</v>
      </c>
      <c r="F3351" s="3">
        <v>3349</v>
      </c>
      <c r="G3351" s="3">
        <v>3</v>
      </c>
      <c r="H3351" s="5">
        <v>423983688.38999999</v>
      </c>
      <c r="I3351" s="5">
        <v>8833108688.3899994</v>
      </c>
      <c r="J3351" s="5">
        <v>8902006000</v>
      </c>
      <c r="K3351" s="5">
        <v>492881000</v>
      </c>
      <c r="L3351" s="5">
        <v>2364860000</v>
      </c>
      <c r="M3351" s="5">
        <v>807499000</v>
      </c>
      <c r="N3351" s="5">
        <v>-249039000</v>
      </c>
    </row>
    <row r="3352" spans="1:14" x14ac:dyDescent="0.25">
      <c r="A3352" s="3" t="s">
        <v>3363</v>
      </c>
      <c r="B3352" s="4">
        <v>11.8</v>
      </c>
      <c r="C3352" s="4">
        <v>0.05</v>
      </c>
      <c r="D3352" s="4">
        <v>0.03</v>
      </c>
      <c r="E3352" s="4">
        <v>-1.757193007891375E-2</v>
      </c>
      <c r="F3352" s="3">
        <v>3350</v>
      </c>
      <c r="G3352" s="3">
        <v>3</v>
      </c>
      <c r="H3352" s="5">
        <v>1932819600</v>
      </c>
      <c r="I3352" s="5">
        <v>2162362600</v>
      </c>
      <c r="J3352" s="5">
        <v>445841000</v>
      </c>
      <c r="K3352" s="5">
        <v>216298000</v>
      </c>
      <c r="L3352" s="5">
        <v>2477784000</v>
      </c>
      <c r="M3352" s="5">
        <v>183202000</v>
      </c>
      <c r="N3352" s="5">
        <v>73310000</v>
      </c>
    </row>
    <row r="3353" spans="1:14" x14ac:dyDescent="0.25">
      <c r="A3353" s="3" t="s">
        <v>3364</v>
      </c>
      <c r="B3353" s="4">
        <v>7.0000000000000007E-2</v>
      </c>
      <c r="C3353" s="4">
        <v>-2.39</v>
      </c>
      <c r="D3353" s="4">
        <v>-1.08</v>
      </c>
      <c r="E3353" s="4">
        <v>-1.7576153857872812E-2</v>
      </c>
      <c r="F3353" s="3">
        <v>3351</v>
      </c>
      <c r="G3353" s="3">
        <v>3</v>
      </c>
      <c r="H3353" s="5">
        <v>15.541306000000001</v>
      </c>
      <c r="I3353" s="5">
        <v>-603984.45869400003</v>
      </c>
      <c r="J3353" s="5">
        <v>1000000</v>
      </c>
      <c r="K3353" s="5">
        <v>1604000</v>
      </c>
      <c r="L3353" s="5">
        <v>6619000</v>
      </c>
      <c r="M3353" s="5">
        <v>-9137000</v>
      </c>
      <c r="N3353" s="5">
        <v>-9399000</v>
      </c>
    </row>
    <row r="3354" spans="1:14" x14ac:dyDescent="0.25">
      <c r="A3354" s="3" t="s">
        <v>3365</v>
      </c>
      <c r="B3354" s="4">
        <v>-0.49</v>
      </c>
      <c r="C3354" s="4">
        <v>-2.52</v>
      </c>
      <c r="D3354" s="4">
        <v>-0.97</v>
      </c>
      <c r="E3354" s="4">
        <v>-1.7583955937671859E-2</v>
      </c>
      <c r="F3354" s="3">
        <v>3352</v>
      </c>
      <c r="G3354" s="3">
        <v>3</v>
      </c>
      <c r="H3354" s="5">
        <v>34688553</v>
      </c>
      <c r="I3354" s="5">
        <v>11070823</v>
      </c>
      <c r="J3354" s="5">
        <v>0</v>
      </c>
      <c r="K3354" s="5">
        <v>23617730</v>
      </c>
      <c r="L3354" s="5">
        <v>368140</v>
      </c>
      <c r="M3354" s="5">
        <v>-22588840</v>
      </c>
      <c r="N3354" s="5">
        <v>-29252280</v>
      </c>
    </row>
    <row r="3355" spans="1:14" x14ac:dyDescent="0.25">
      <c r="A3355" s="3" t="s">
        <v>3366</v>
      </c>
      <c r="B3355" s="4">
        <v>8.81</v>
      </c>
      <c r="C3355" s="4">
        <v>-0.59</v>
      </c>
      <c r="D3355" s="4">
        <v>-0.05</v>
      </c>
      <c r="E3355" s="4">
        <v>-1.7585980637032959E-2</v>
      </c>
      <c r="F3355" s="3">
        <v>3353</v>
      </c>
      <c r="G3355" s="3">
        <v>3</v>
      </c>
      <c r="H3355" s="5">
        <v>5.6497999999999999</v>
      </c>
      <c r="I3355" s="5">
        <v>12713375.649800001</v>
      </c>
      <c r="J3355" s="5">
        <v>13254280</v>
      </c>
      <c r="K3355" s="5">
        <v>540910</v>
      </c>
      <c r="L3355" s="5">
        <v>61285200</v>
      </c>
      <c r="M3355" s="5">
        <v>1443550</v>
      </c>
      <c r="N3355" s="5">
        <v>-1191340</v>
      </c>
    </row>
    <row r="3356" spans="1:14" x14ac:dyDescent="0.25">
      <c r="A3356" s="3" t="s">
        <v>3367</v>
      </c>
      <c r="B3356" s="4">
        <v>11.64</v>
      </c>
      <c r="C3356" s="4">
        <v>0.01</v>
      </c>
      <c r="D3356" s="4">
        <v>0.01</v>
      </c>
      <c r="E3356" s="4">
        <v>-1.7592335268973368E-2</v>
      </c>
      <c r="F3356" s="3">
        <v>3354</v>
      </c>
      <c r="G3356" s="3">
        <v>3</v>
      </c>
      <c r="H3356" s="5">
        <v>426355606.19999999</v>
      </c>
      <c r="I3356" s="5">
        <v>1065671606.2</v>
      </c>
      <c r="J3356" s="5">
        <v>646131000</v>
      </c>
      <c r="K3356" s="5">
        <v>6815000</v>
      </c>
      <c r="L3356" s="5">
        <v>138780000</v>
      </c>
      <c r="M3356" s="5">
        <v>91582000</v>
      </c>
      <c r="N3356" s="5">
        <v>6633000</v>
      </c>
    </row>
    <row r="3357" spans="1:14" x14ac:dyDescent="0.25">
      <c r="A3357" s="3" t="s">
        <v>3368</v>
      </c>
      <c r="B3357" s="4">
        <v>11.08</v>
      </c>
      <c r="C3357" s="4">
        <v>-0.11</v>
      </c>
      <c r="D3357" s="4">
        <v>-0.02</v>
      </c>
      <c r="E3357" s="4">
        <v>-1.7598250113843038E-2</v>
      </c>
      <c r="F3357" s="3">
        <v>3355</v>
      </c>
      <c r="G3357" s="3">
        <v>3</v>
      </c>
      <c r="H3357" s="5">
        <v>2521740</v>
      </c>
      <c r="I3357" s="5">
        <v>19842740</v>
      </c>
      <c r="J3357" s="5">
        <v>18839000</v>
      </c>
      <c r="K3357" s="5">
        <v>1518000</v>
      </c>
      <c r="L3357" s="5">
        <v>185529000</v>
      </c>
      <c r="M3357" s="5">
        <v>1791000</v>
      </c>
      <c r="N3357" s="5">
        <v>-2641000</v>
      </c>
    </row>
    <row r="3358" spans="1:14" x14ac:dyDescent="0.25">
      <c r="A3358" s="3" t="s">
        <v>3369</v>
      </c>
      <c r="B3358" s="4">
        <v>12.91</v>
      </c>
      <c r="C3358" s="4">
        <v>0.27</v>
      </c>
      <c r="D3358" s="4">
        <v>0.1</v>
      </c>
      <c r="E3358" s="4">
        <v>-1.760976937092874E-2</v>
      </c>
      <c r="F3358" s="3">
        <v>3356</v>
      </c>
      <c r="G3358" s="3">
        <v>3</v>
      </c>
      <c r="H3358" s="5">
        <v>52962375677.239998</v>
      </c>
      <c r="I3358" s="5">
        <v>60524375677.239998</v>
      </c>
      <c r="J3358" s="5">
        <v>10854000000</v>
      </c>
      <c r="K3358" s="5">
        <v>3292000000</v>
      </c>
      <c r="L3358" s="5">
        <v>12614000000</v>
      </c>
      <c r="M3358" s="5">
        <v>4688000000</v>
      </c>
      <c r="N3358" s="5">
        <v>2510000000</v>
      </c>
    </row>
    <row r="3359" spans="1:14" x14ac:dyDescent="0.25">
      <c r="A3359" s="3" t="s">
        <v>3370</v>
      </c>
      <c r="B3359" s="4">
        <v>12.05</v>
      </c>
      <c r="C3359" s="4">
        <v>0.09</v>
      </c>
      <c r="D3359" s="4">
        <v>0.03</v>
      </c>
      <c r="E3359" s="4">
        <v>-1.7611085793282862E-2</v>
      </c>
      <c r="F3359" s="3">
        <v>3357</v>
      </c>
      <c r="G3359" s="3">
        <v>3</v>
      </c>
      <c r="H3359" s="5">
        <v>17669023455.779999</v>
      </c>
      <c r="I3359" s="5">
        <v>31804823455.779999</v>
      </c>
      <c r="J3359" s="5">
        <v>14157800000</v>
      </c>
      <c r="K3359" s="5">
        <v>22000000</v>
      </c>
      <c r="L3359" s="5">
        <v>5847300000</v>
      </c>
      <c r="M3359" s="5">
        <v>2638500000</v>
      </c>
      <c r="N3359" s="5">
        <v>873500000</v>
      </c>
    </row>
    <row r="3360" spans="1:14" x14ac:dyDescent="0.25">
      <c r="A3360" s="3" t="s">
        <v>3371</v>
      </c>
      <c r="B3360" s="4">
        <v>11.97</v>
      </c>
      <c r="C3360" s="4">
        <v>7.0000000000000007E-2</v>
      </c>
      <c r="D3360" s="4">
        <v>0.02</v>
      </c>
      <c r="E3360" s="4">
        <v>-1.7621288388312659E-2</v>
      </c>
      <c r="F3360" s="3">
        <v>3358</v>
      </c>
      <c r="G3360" s="3">
        <v>3</v>
      </c>
      <c r="H3360" s="5">
        <v>1500050962.8</v>
      </c>
      <c r="I3360" s="5">
        <v>2538650962.8000002</v>
      </c>
      <c r="J3360" s="5">
        <v>1057000000</v>
      </c>
      <c r="K3360" s="5">
        <v>18400000</v>
      </c>
      <c r="L3360" s="5">
        <v>3024000000</v>
      </c>
      <c r="M3360" s="5">
        <v>212100000</v>
      </c>
      <c r="N3360" s="5">
        <v>46800000</v>
      </c>
    </row>
    <row r="3361" spans="1:14" x14ac:dyDescent="0.25">
      <c r="A3361" s="3" t="s">
        <v>3372</v>
      </c>
      <c r="B3361" s="4">
        <v>0.83</v>
      </c>
      <c r="C3361" s="4">
        <v>-2.25</v>
      </c>
      <c r="D3361" s="4">
        <v>-0.98</v>
      </c>
      <c r="E3361" s="4">
        <v>-1.762273272687322E-2</v>
      </c>
      <c r="F3361" s="3">
        <v>3359</v>
      </c>
      <c r="G3361" s="3">
        <v>3</v>
      </c>
      <c r="H3361" s="5">
        <v>2759.0356000000002</v>
      </c>
      <c r="I3361" s="5">
        <v>-8292000.9643999999</v>
      </c>
      <c r="J3361" s="5">
        <v>0</v>
      </c>
      <c r="K3361" s="5">
        <v>8294760</v>
      </c>
      <c r="L3361" s="5">
        <v>15338180</v>
      </c>
      <c r="M3361" s="5">
        <v>-9989500</v>
      </c>
      <c r="N3361" s="5">
        <v>-13812570</v>
      </c>
    </row>
    <row r="3362" spans="1:14" x14ac:dyDescent="0.25">
      <c r="A3362" s="3" t="s">
        <v>3373</v>
      </c>
      <c r="B3362" s="4">
        <v>12.41</v>
      </c>
      <c r="C3362" s="4">
        <v>0.16</v>
      </c>
      <c r="D3362" s="4">
        <v>0.05</v>
      </c>
      <c r="E3362" s="4">
        <v>-1.7627783896121432E-2</v>
      </c>
      <c r="F3362" s="3">
        <v>3360</v>
      </c>
      <c r="G3362" s="3">
        <v>3</v>
      </c>
      <c r="H3362" s="5">
        <v>11056649616.549999</v>
      </c>
      <c r="I3362" s="5">
        <v>13342381616.549999</v>
      </c>
      <c r="J3362" s="5">
        <v>2972924000</v>
      </c>
      <c r="K3362" s="5">
        <v>687192000</v>
      </c>
      <c r="L3362" s="5">
        <v>5889952000</v>
      </c>
      <c r="M3362" s="5">
        <v>1075497000</v>
      </c>
      <c r="N3362" s="5">
        <v>402299000</v>
      </c>
    </row>
    <row r="3363" spans="1:14" x14ac:dyDescent="0.25">
      <c r="A3363" s="3" t="s">
        <v>3374</v>
      </c>
      <c r="B3363" s="4">
        <v>10.48</v>
      </c>
      <c r="C3363" s="4">
        <v>-0.24</v>
      </c>
      <c r="D3363" s="4">
        <v>-0.17</v>
      </c>
      <c r="E3363" s="4">
        <v>-1.763145006186893E-2</v>
      </c>
      <c r="F3363" s="3">
        <v>3361</v>
      </c>
      <c r="G3363" s="3">
        <v>3</v>
      </c>
      <c r="H3363" s="5">
        <v>1962913596.3900001</v>
      </c>
      <c r="I3363" s="5">
        <v>1505498596.3900001</v>
      </c>
      <c r="J3363" s="5">
        <v>0</v>
      </c>
      <c r="K3363" s="5">
        <v>457415000</v>
      </c>
      <c r="L3363" s="5">
        <v>822679000</v>
      </c>
      <c r="M3363" s="5">
        <v>143698000</v>
      </c>
      <c r="N3363" s="5">
        <v>-366922000</v>
      </c>
    </row>
    <row r="3364" spans="1:14" x14ac:dyDescent="0.25">
      <c r="A3364" s="3" t="s">
        <v>3375</v>
      </c>
      <c r="B3364" s="4">
        <v>11.8</v>
      </c>
      <c r="C3364" s="4">
        <v>0.03</v>
      </c>
      <c r="D3364" s="4">
        <v>0.01</v>
      </c>
      <c r="E3364" s="4">
        <v>-1.763357534609768E-2</v>
      </c>
      <c r="F3364" s="3">
        <v>3362</v>
      </c>
      <c r="G3364" s="3">
        <v>3</v>
      </c>
      <c r="H3364" s="5">
        <v>147498574.08000001</v>
      </c>
      <c r="I3364" s="5">
        <v>415744574.07999998</v>
      </c>
      <c r="J3364" s="5">
        <v>279776000</v>
      </c>
      <c r="K3364" s="5">
        <v>11530000</v>
      </c>
      <c r="L3364" s="5">
        <v>46761000</v>
      </c>
      <c r="M3364" s="5">
        <v>35222000</v>
      </c>
      <c r="N3364" s="5">
        <v>6018000</v>
      </c>
    </row>
    <row r="3365" spans="1:14" x14ac:dyDescent="0.25">
      <c r="A3365" s="3" t="s">
        <v>3376</v>
      </c>
      <c r="B3365" s="4">
        <v>-6.95</v>
      </c>
      <c r="C3365" s="4">
        <v>-3.95</v>
      </c>
      <c r="D3365" s="4">
        <v>-0.54</v>
      </c>
      <c r="E3365" s="4">
        <v>-1.7634566717594571E-2</v>
      </c>
      <c r="F3365" s="3">
        <v>3363</v>
      </c>
      <c r="G3365" s="3">
        <v>3</v>
      </c>
      <c r="H3365" s="5">
        <v>181356786.87</v>
      </c>
      <c r="I3365" s="5">
        <v>187047826.87</v>
      </c>
      <c r="J3365" s="5">
        <v>18330480</v>
      </c>
      <c r="K3365" s="5">
        <v>12639440</v>
      </c>
      <c r="L3365" s="5">
        <v>86276880</v>
      </c>
      <c r="M3365" s="5">
        <v>-26926530</v>
      </c>
      <c r="N3365" s="5">
        <v>-35768140</v>
      </c>
    </row>
    <row r="3366" spans="1:14" x14ac:dyDescent="0.25">
      <c r="A3366" s="3" t="s">
        <v>3377</v>
      </c>
      <c r="B3366" s="4">
        <v>11.31</v>
      </c>
      <c r="C3366" s="4">
        <v>-0.08</v>
      </c>
      <c r="D3366" s="4">
        <v>-0.03</v>
      </c>
      <c r="E3366" s="4">
        <v>-1.7655850050409951E-2</v>
      </c>
      <c r="F3366" s="3">
        <v>3364</v>
      </c>
      <c r="G3366" s="3">
        <v>3</v>
      </c>
      <c r="H3366" s="5">
        <v>469401297.83999997</v>
      </c>
      <c r="I3366" s="5">
        <v>1496151827.8399999</v>
      </c>
      <c r="J3366" s="5">
        <v>1118340230</v>
      </c>
      <c r="K3366" s="5">
        <v>91589700</v>
      </c>
      <c r="L3366" s="5">
        <v>259437390</v>
      </c>
      <c r="M3366" s="5">
        <v>132280420</v>
      </c>
      <c r="N3366" s="5">
        <v>-63137170</v>
      </c>
    </row>
    <row r="3367" spans="1:14" x14ac:dyDescent="0.25">
      <c r="A3367" s="3" t="s">
        <v>3378</v>
      </c>
      <c r="B3367" s="4">
        <v>11.41</v>
      </c>
      <c r="C3367" s="4">
        <v>-0.06</v>
      </c>
      <c r="D3367" s="4">
        <v>-0.04</v>
      </c>
      <c r="E3367" s="4">
        <v>-1.766188391992931E-2</v>
      </c>
      <c r="F3367" s="3">
        <v>3365</v>
      </c>
      <c r="G3367" s="3">
        <v>3</v>
      </c>
      <c r="H3367" s="5">
        <v>225110567.37</v>
      </c>
      <c r="I3367" s="5">
        <v>376924567.37</v>
      </c>
      <c r="J3367" s="5">
        <v>166616000</v>
      </c>
      <c r="K3367" s="5">
        <v>14802000</v>
      </c>
      <c r="L3367" s="5">
        <v>273868000</v>
      </c>
      <c r="M3367" s="5">
        <v>33048000</v>
      </c>
      <c r="N3367" s="5">
        <v>-42443000</v>
      </c>
    </row>
    <row r="3368" spans="1:14" x14ac:dyDescent="0.25">
      <c r="A3368" s="3" t="s">
        <v>3379</v>
      </c>
      <c r="B3368" s="4">
        <v>12.39</v>
      </c>
      <c r="C3368" s="4">
        <v>0.14000000000000001</v>
      </c>
      <c r="D3368" s="4">
        <v>0.05</v>
      </c>
      <c r="E3368" s="4">
        <v>-1.7673192698756189E-2</v>
      </c>
      <c r="F3368" s="3">
        <v>3366</v>
      </c>
      <c r="G3368" s="3">
        <v>3</v>
      </c>
      <c r="H3368" s="5">
        <v>1169807318.6400001</v>
      </c>
      <c r="I3368" s="5">
        <v>3434331318.6399999</v>
      </c>
      <c r="J3368" s="5">
        <v>2578512000</v>
      </c>
      <c r="K3368" s="5">
        <v>313988000</v>
      </c>
      <c r="L3368" s="5">
        <v>369413000</v>
      </c>
      <c r="M3368" s="5">
        <v>277281000</v>
      </c>
      <c r="N3368" s="5">
        <v>193634000</v>
      </c>
    </row>
    <row r="3369" spans="1:14" x14ac:dyDescent="0.25">
      <c r="A3369" s="3" t="s">
        <v>3380</v>
      </c>
      <c r="B3369" s="4">
        <v>11.97</v>
      </c>
      <c r="C3369" s="4">
        <v>0.05</v>
      </c>
      <c r="D3369" s="4">
        <v>0.04</v>
      </c>
      <c r="E3369" s="4">
        <v>-1.7675217549186571E-2</v>
      </c>
      <c r="F3369" s="3">
        <v>3367</v>
      </c>
      <c r="G3369" s="3">
        <v>3</v>
      </c>
      <c r="H3369" s="5">
        <v>1824456425.8499999</v>
      </c>
      <c r="I3369" s="5">
        <v>1534960425.8499999</v>
      </c>
      <c r="J3369" s="5">
        <v>3324000</v>
      </c>
      <c r="K3369" s="5">
        <v>292820000</v>
      </c>
      <c r="L3369" s="5">
        <v>656849000</v>
      </c>
      <c r="M3369" s="5">
        <v>128225000</v>
      </c>
      <c r="N3369" s="5">
        <v>56231000</v>
      </c>
    </row>
    <row r="3370" spans="1:14" x14ac:dyDescent="0.25">
      <c r="A3370" s="3" t="s">
        <v>3381</v>
      </c>
      <c r="B3370" s="4">
        <v>16.72</v>
      </c>
      <c r="C3370" s="4">
        <v>1.05</v>
      </c>
      <c r="D3370" s="4">
        <v>0.23</v>
      </c>
      <c r="E3370" s="4">
        <v>-1.7689078048879949E-2</v>
      </c>
      <c r="F3370" s="3">
        <v>3368</v>
      </c>
      <c r="G3370" s="3">
        <v>3</v>
      </c>
      <c r="H3370" s="5">
        <v>71091906000</v>
      </c>
      <c r="I3370" s="5">
        <v>78006906000</v>
      </c>
      <c r="J3370" s="5">
        <v>7863000000</v>
      </c>
      <c r="K3370" s="5">
        <v>948000000</v>
      </c>
      <c r="L3370" s="5">
        <v>15898000000</v>
      </c>
      <c r="M3370" s="5">
        <v>4666000000</v>
      </c>
      <c r="N3370" s="5">
        <v>3488000000</v>
      </c>
    </row>
    <row r="3371" spans="1:14" x14ac:dyDescent="0.25">
      <c r="A3371" s="3" t="s">
        <v>3382</v>
      </c>
      <c r="B3371" s="4">
        <v>11.35</v>
      </c>
      <c r="C3371" s="4">
        <v>-0.09</v>
      </c>
      <c r="D3371" s="4">
        <v>-0.04</v>
      </c>
      <c r="E3371" s="4">
        <v>-1.7711429506790229E-2</v>
      </c>
      <c r="F3371" s="3">
        <v>3369</v>
      </c>
      <c r="G3371" s="3">
        <v>3</v>
      </c>
      <c r="H3371" s="5">
        <v>492190000</v>
      </c>
      <c r="I3371" s="5">
        <v>773190000</v>
      </c>
      <c r="J3371" s="5">
        <v>449700000</v>
      </c>
      <c r="K3371" s="5">
        <v>168700000</v>
      </c>
      <c r="L3371" s="5">
        <v>811000000</v>
      </c>
      <c r="M3371" s="5">
        <v>68100000</v>
      </c>
      <c r="N3371" s="5">
        <v>-47700000</v>
      </c>
    </row>
    <row r="3372" spans="1:14" x14ac:dyDescent="0.25">
      <c r="A3372" s="3" t="s">
        <v>3383</v>
      </c>
      <c r="B3372" s="4">
        <v>11.89</v>
      </c>
      <c r="C3372" s="4">
        <v>0.02</v>
      </c>
      <c r="D3372" s="4">
        <v>0.01</v>
      </c>
      <c r="E3372" s="4">
        <v>-1.771817180438584E-2</v>
      </c>
      <c r="F3372" s="3">
        <v>3370</v>
      </c>
      <c r="G3372" s="3">
        <v>3</v>
      </c>
      <c r="H3372" s="5">
        <v>1054385846.22</v>
      </c>
      <c r="I3372" s="5">
        <v>1428985846.22</v>
      </c>
      <c r="J3372" s="5">
        <v>548600000</v>
      </c>
      <c r="K3372" s="5">
        <v>174000000</v>
      </c>
      <c r="L3372" s="5">
        <v>2798200000</v>
      </c>
      <c r="M3372" s="5">
        <v>120200000</v>
      </c>
      <c r="N3372" s="5">
        <v>25700000</v>
      </c>
    </row>
    <row r="3373" spans="1:14" x14ac:dyDescent="0.25">
      <c r="A3373" s="3" t="s">
        <v>3384</v>
      </c>
      <c r="B3373" s="4">
        <v>11.91</v>
      </c>
      <c r="C3373" s="4">
        <v>0.02</v>
      </c>
      <c r="D3373" s="4">
        <v>0.01</v>
      </c>
      <c r="E3373" s="4">
        <v>-1.7730550215779999E-2</v>
      </c>
      <c r="F3373" s="3">
        <v>3371</v>
      </c>
      <c r="G3373" s="3">
        <v>3</v>
      </c>
      <c r="H3373" s="5">
        <v>285130340.94999999</v>
      </c>
      <c r="I3373" s="5">
        <v>264173340.94999999</v>
      </c>
      <c r="J3373" s="5">
        <v>0</v>
      </c>
      <c r="K3373" s="5">
        <v>20957000</v>
      </c>
      <c r="L3373" s="5">
        <v>347071000</v>
      </c>
      <c r="M3373" s="5">
        <v>22176000</v>
      </c>
      <c r="N3373" s="5">
        <v>2321000</v>
      </c>
    </row>
    <row r="3374" spans="1:14" x14ac:dyDescent="0.25">
      <c r="A3374" s="3" t="s">
        <v>3385</v>
      </c>
      <c r="B3374" s="4">
        <v>6.6</v>
      </c>
      <c r="C3374" s="4">
        <v>-1.1299999999999999</v>
      </c>
      <c r="D3374" s="4">
        <v>0.15</v>
      </c>
      <c r="E3374" s="4">
        <v>-1.7739840425209451E-2</v>
      </c>
      <c r="F3374" s="3">
        <v>3372</v>
      </c>
      <c r="G3374" s="3">
        <v>3</v>
      </c>
      <c r="H3374" s="5">
        <v>563996974.96000004</v>
      </c>
      <c r="I3374" s="5">
        <v>1123433974.96</v>
      </c>
      <c r="J3374" s="5">
        <v>592982000</v>
      </c>
      <c r="K3374" s="5">
        <v>33545000</v>
      </c>
      <c r="L3374" s="5">
        <v>350382000</v>
      </c>
      <c r="M3374" s="5">
        <v>170278000</v>
      </c>
      <c r="N3374" s="5">
        <v>89435000</v>
      </c>
    </row>
    <row r="3375" spans="1:14" x14ac:dyDescent="0.25">
      <c r="A3375" s="3" t="s">
        <v>3386</v>
      </c>
      <c r="B3375" s="4">
        <v>12.67</v>
      </c>
      <c r="C3375" s="4">
        <v>0.17</v>
      </c>
      <c r="D3375" s="4">
        <v>0.04</v>
      </c>
      <c r="E3375" s="4">
        <v>-1.776173866380849E-2</v>
      </c>
      <c r="F3375" s="3">
        <v>3373</v>
      </c>
      <c r="G3375" s="3">
        <v>3</v>
      </c>
      <c r="H3375" s="5">
        <v>1667957969.2</v>
      </c>
      <c r="I3375" s="5">
        <v>2318603969.1999998</v>
      </c>
      <c r="J3375" s="5">
        <v>718685000</v>
      </c>
      <c r="K3375" s="5">
        <v>68039000</v>
      </c>
      <c r="L3375" s="5">
        <v>1296215000</v>
      </c>
      <c r="M3375" s="5">
        <v>182967000</v>
      </c>
      <c r="N3375" s="5">
        <v>48264000</v>
      </c>
    </row>
    <row r="3376" spans="1:14" x14ac:dyDescent="0.25">
      <c r="A3376" s="3" t="s">
        <v>3387</v>
      </c>
      <c r="B3376" s="4">
        <v>11.85</v>
      </c>
      <c r="C3376" s="4">
        <v>-0.01</v>
      </c>
      <c r="D3376" s="4">
        <v>0</v>
      </c>
      <c r="E3376" s="4">
        <v>-1.778202482921841E-2</v>
      </c>
      <c r="F3376" s="3">
        <v>3374</v>
      </c>
      <c r="G3376" s="3">
        <v>3</v>
      </c>
      <c r="H3376" s="5">
        <v>1943189455.6800001</v>
      </c>
      <c r="I3376" s="5">
        <v>2792391455.6799998</v>
      </c>
      <c r="J3376" s="5">
        <v>898221000</v>
      </c>
      <c r="K3376" s="5">
        <v>49019000</v>
      </c>
      <c r="L3376" s="5">
        <v>2637229000</v>
      </c>
      <c r="M3376" s="5">
        <v>235619000</v>
      </c>
      <c r="N3376" s="5">
        <v>-6724000</v>
      </c>
    </row>
    <row r="3377" spans="1:14" x14ac:dyDescent="0.25">
      <c r="A3377" s="3" t="s">
        <v>3388</v>
      </c>
      <c r="B3377" s="4">
        <v>12</v>
      </c>
      <c r="C3377" s="4">
        <v>0.02</v>
      </c>
      <c r="D3377" s="4">
        <v>0.01</v>
      </c>
      <c r="E3377" s="4">
        <v>-1.7786253067053691E-2</v>
      </c>
      <c r="F3377" s="3">
        <v>3375</v>
      </c>
      <c r="G3377" s="3">
        <v>3</v>
      </c>
      <c r="H3377" s="5">
        <v>1726821391.5</v>
      </c>
      <c r="I3377" s="5">
        <v>2460669391.5</v>
      </c>
      <c r="J3377" s="5">
        <v>841047000</v>
      </c>
      <c r="K3377" s="5">
        <v>107199000</v>
      </c>
      <c r="L3377" s="5">
        <v>905809000</v>
      </c>
      <c r="M3377" s="5">
        <v>205141000</v>
      </c>
      <c r="N3377" s="5">
        <v>43262000</v>
      </c>
    </row>
    <row r="3378" spans="1:14" x14ac:dyDescent="0.25">
      <c r="A3378" s="3" t="s">
        <v>3389</v>
      </c>
      <c r="B3378" s="4">
        <v>13.46</v>
      </c>
      <c r="C3378" s="4">
        <v>0.33</v>
      </c>
      <c r="D3378" s="4">
        <v>0.04</v>
      </c>
      <c r="E3378" s="4">
        <v>-1.7788388201646289E-2</v>
      </c>
      <c r="F3378" s="3">
        <v>3376</v>
      </c>
      <c r="G3378" s="3">
        <v>3</v>
      </c>
      <c r="H3378" s="5">
        <v>21973244191.610001</v>
      </c>
      <c r="I3378" s="5">
        <v>34602244191.610001</v>
      </c>
      <c r="J3378" s="5">
        <v>13963000000</v>
      </c>
      <c r="K3378" s="5">
        <v>1334000000</v>
      </c>
      <c r="L3378" s="5">
        <v>8406000000</v>
      </c>
      <c r="M3378" s="5">
        <v>2571000000</v>
      </c>
      <c r="N3378" s="5">
        <v>1021000000</v>
      </c>
    </row>
    <row r="3379" spans="1:14" x14ac:dyDescent="0.25">
      <c r="A3379" s="3" t="s">
        <v>3390</v>
      </c>
      <c r="B3379" s="4">
        <v>5.88</v>
      </c>
      <c r="C3379" s="4">
        <v>-1.28</v>
      </c>
      <c r="D3379" s="4">
        <v>-0.18</v>
      </c>
      <c r="E3379" s="4">
        <v>-1.779127959729444E-2</v>
      </c>
      <c r="F3379" s="3">
        <v>3377</v>
      </c>
      <c r="G3379" s="3">
        <v>3</v>
      </c>
      <c r="H3379" s="5">
        <v>158475635.19</v>
      </c>
      <c r="I3379" s="5">
        <v>1051222635.1900001</v>
      </c>
      <c r="J3379" s="5">
        <v>977738000</v>
      </c>
      <c r="K3379" s="5">
        <v>84991000</v>
      </c>
      <c r="L3379" s="5">
        <v>2207587000</v>
      </c>
      <c r="M3379" s="5">
        <v>178680000</v>
      </c>
      <c r="N3379" s="5">
        <v>-320965000</v>
      </c>
    </row>
    <row r="3380" spans="1:14" x14ac:dyDescent="0.25">
      <c r="A3380" s="3" t="s">
        <v>3391</v>
      </c>
      <c r="B3380" s="4">
        <v>12.66</v>
      </c>
      <c r="C3380" s="4">
        <v>0.15</v>
      </c>
      <c r="D3380" s="4">
        <v>0.13</v>
      </c>
      <c r="E3380" s="4">
        <v>-1.7795975432942771E-2</v>
      </c>
      <c r="F3380" s="3">
        <v>3378</v>
      </c>
      <c r="G3380" s="3">
        <v>3</v>
      </c>
      <c r="H3380" s="5">
        <v>145005186.78999999</v>
      </c>
      <c r="I3380" s="5">
        <v>143814526.78999999</v>
      </c>
      <c r="J3380" s="5">
        <v>0</v>
      </c>
      <c r="K3380" s="5">
        <v>1190660</v>
      </c>
      <c r="L3380" s="5">
        <v>46292730</v>
      </c>
      <c r="M3380" s="5">
        <v>11358400</v>
      </c>
      <c r="N3380" s="5">
        <v>9413140</v>
      </c>
    </row>
    <row r="3381" spans="1:14" x14ac:dyDescent="0.25">
      <c r="A3381" s="3" t="s">
        <v>3392</v>
      </c>
      <c r="B3381" s="4">
        <v>14</v>
      </c>
      <c r="C3381" s="4">
        <v>0.44</v>
      </c>
      <c r="D3381" s="4">
        <v>0.06</v>
      </c>
      <c r="E3381" s="4">
        <v>-1.780091757897442E-2</v>
      </c>
      <c r="F3381" s="3">
        <v>3379</v>
      </c>
      <c r="G3381" s="3">
        <v>3</v>
      </c>
      <c r="H3381" s="5">
        <v>4708785908.8199997</v>
      </c>
      <c r="I3381" s="5">
        <v>5211306908.8199997</v>
      </c>
      <c r="J3381" s="5">
        <v>2079423000</v>
      </c>
      <c r="K3381" s="5">
        <v>1576902000</v>
      </c>
      <c r="L3381" s="5">
        <v>3025633000</v>
      </c>
      <c r="M3381" s="5">
        <v>372306000</v>
      </c>
      <c r="N3381" s="5">
        <v>279912000</v>
      </c>
    </row>
    <row r="3382" spans="1:14" x14ac:dyDescent="0.25">
      <c r="A3382" s="3" t="s">
        <v>3393</v>
      </c>
      <c r="B3382" s="4">
        <v>11.26</v>
      </c>
      <c r="C3382" s="4">
        <v>-0.14000000000000001</v>
      </c>
      <c r="D3382" s="4">
        <v>-0.05</v>
      </c>
      <c r="E3382" s="4">
        <v>-1.7802123717166319E-2</v>
      </c>
      <c r="F3382" s="3">
        <v>3380</v>
      </c>
      <c r="G3382" s="3">
        <v>3</v>
      </c>
      <c r="H3382" s="5">
        <v>31556796</v>
      </c>
      <c r="I3382" s="5">
        <v>56492796</v>
      </c>
      <c r="J3382" s="5">
        <v>25973000</v>
      </c>
      <c r="K3382" s="5">
        <v>1037000</v>
      </c>
      <c r="L3382" s="5">
        <v>50854000</v>
      </c>
      <c r="M3382" s="5">
        <v>5016000</v>
      </c>
      <c r="N3382" s="5">
        <v>-3508000</v>
      </c>
    </row>
    <row r="3383" spans="1:14" x14ac:dyDescent="0.25">
      <c r="A3383" s="3" t="s">
        <v>3394</v>
      </c>
      <c r="B3383" s="4">
        <v>12.55</v>
      </c>
      <c r="C3383" s="4">
        <v>0.13</v>
      </c>
      <c r="D3383" s="4">
        <v>0.04</v>
      </c>
      <c r="E3383" s="4">
        <v>-1.7803042623501391E-2</v>
      </c>
      <c r="F3383" s="3">
        <v>3381</v>
      </c>
      <c r="G3383" s="3">
        <v>3</v>
      </c>
      <c r="H3383" s="5">
        <v>4483144732.3599997</v>
      </c>
      <c r="I3383" s="5">
        <v>7842397732.3599997</v>
      </c>
      <c r="J3383" s="5">
        <v>3360270000</v>
      </c>
      <c r="K3383" s="5">
        <v>1017000</v>
      </c>
      <c r="L3383" s="5">
        <v>1796539000</v>
      </c>
      <c r="M3383" s="5">
        <v>624671000</v>
      </c>
      <c r="N3383" s="5">
        <v>289775000</v>
      </c>
    </row>
    <row r="3384" spans="1:14" x14ac:dyDescent="0.25">
      <c r="A3384" s="3" t="s">
        <v>3395</v>
      </c>
      <c r="B3384" s="4">
        <v>12.65</v>
      </c>
      <c r="C3384" s="4">
        <v>0.15</v>
      </c>
      <c r="D3384" s="4">
        <v>0.06</v>
      </c>
      <c r="E3384" s="4">
        <v>-1.780328941328824E-2</v>
      </c>
      <c r="F3384" s="3">
        <v>3382</v>
      </c>
      <c r="G3384" s="3">
        <v>3</v>
      </c>
      <c r="H3384" s="5">
        <v>7294513054.6199999</v>
      </c>
      <c r="I3384" s="5">
        <v>8964713054.6199989</v>
      </c>
      <c r="J3384" s="5">
        <v>2620200000</v>
      </c>
      <c r="K3384" s="5">
        <v>950000000</v>
      </c>
      <c r="L3384" s="5">
        <v>2040900000</v>
      </c>
      <c r="M3384" s="5">
        <v>708800000</v>
      </c>
      <c r="N3384" s="5">
        <v>511600000</v>
      </c>
    </row>
    <row r="3385" spans="1:14" x14ac:dyDescent="0.25">
      <c r="A3385" s="3" t="s">
        <v>3396</v>
      </c>
      <c r="B3385" s="4">
        <v>0.15</v>
      </c>
      <c r="C3385" s="4">
        <v>-2.41</v>
      </c>
      <c r="D3385" s="4">
        <v>-1.71</v>
      </c>
      <c r="E3385" s="4">
        <v>-1.780498339186121E-2</v>
      </c>
      <c r="F3385" s="3">
        <v>3383</v>
      </c>
      <c r="G3385" s="3">
        <v>3</v>
      </c>
      <c r="H3385" s="5">
        <v>3919669.844</v>
      </c>
      <c r="I3385" s="5">
        <v>-2215640.155999999</v>
      </c>
      <c r="J3385" s="5">
        <v>326070</v>
      </c>
      <c r="K3385" s="5">
        <v>6461380</v>
      </c>
      <c r="L3385" s="5">
        <v>0</v>
      </c>
      <c r="M3385" s="5">
        <v>-14898630</v>
      </c>
      <c r="N3385" s="5">
        <v>-14857800</v>
      </c>
    </row>
    <row r="3386" spans="1:14" x14ac:dyDescent="0.25">
      <c r="A3386" s="3" t="s">
        <v>3397</v>
      </c>
      <c r="B3386" s="4">
        <v>11.99</v>
      </c>
      <c r="C3386" s="4">
        <v>0.01</v>
      </c>
      <c r="D3386" s="4">
        <v>0</v>
      </c>
      <c r="E3386" s="4">
        <v>-1.781088649494858E-2</v>
      </c>
      <c r="F3386" s="3">
        <v>3384</v>
      </c>
      <c r="G3386" s="3">
        <v>3</v>
      </c>
      <c r="H3386" s="5">
        <v>113606149784.39999</v>
      </c>
      <c r="I3386" s="5">
        <v>347768149784.40002</v>
      </c>
      <c r="J3386" s="5">
        <v>249213000000</v>
      </c>
      <c r="K3386" s="5">
        <v>15051000000</v>
      </c>
      <c r="L3386" s="5">
        <v>86006000000</v>
      </c>
      <c r="M3386" s="5">
        <v>29002000000</v>
      </c>
      <c r="N3386" s="5">
        <v>641000000</v>
      </c>
    </row>
    <row r="3387" spans="1:14" x14ac:dyDescent="0.25">
      <c r="A3387" s="3" t="s">
        <v>3398</v>
      </c>
      <c r="B3387" s="4">
        <v>12.43</v>
      </c>
      <c r="C3387" s="4">
        <v>0.1</v>
      </c>
      <c r="D3387" s="4">
        <v>0.05</v>
      </c>
      <c r="E3387" s="4">
        <v>-1.7813523949602339E-2</v>
      </c>
      <c r="F3387" s="3">
        <v>3385</v>
      </c>
      <c r="G3387" s="3">
        <v>3</v>
      </c>
      <c r="H3387" s="5">
        <v>9477556115.2999992</v>
      </c>
      <c r="I3387" s="5">
        <v>7879580115.2999992</v>
      </c>
      <c r="J3387" s="5">
        <v>14403000</v>
      </c>
      <c r="K3387" s="5">
        <v>1612379000</v>
      </c>
      <c r="L3387" s="5">
        <v>4900262000</v>
      </c>
      <c r="M3387" s="5">
        <v>634101000</v>
      </c>
      <c r="N3387" s="5">
        <v>371716000</v>
      </c>
    </row>
    <row r="3388" spans="1:14" x14ac:dyDescent="0.25">
      <c r="A3388" s="3" t="s">
        <v>3399</v>
      </c>
      <c r="B3388" s="4">
        <v>12.3</v>
      </c>
      <c r="C3388" s="4">
        <v>7.0000000000000007E-2</v>
      </c>
      <c r="D3388" s="4">
        <v>0.03</v>
      </c>
      <c r="E3388" s="4">
        <v>-1.7823603149738711E-2</v>
      </c>
      <c r="F3388" s="3">
        <v>3386</v>
      </c>
      <c r="G3388" s="3">
        <v>3</v>
      </c>
      <c r="H3388" s="5">
        <v>50558219256.910004</v>
      </c>
      <c r="I3388" s="5">
        <v>68951219256.910004</v>
      </c>
      <c r="J3388" s="5">
        <v>20110000000</v>
      </c>
      <c r="K3388" s="5">
        <v>1717000000</v>
      </c>
      <c r="L3388" s="5">
        <v>20178000000</v>
      </c>
      <c r="M3388" s="5">
        <v>5604000000</v>
      </c>
      <c r="N3388" s="5">
        <v>1705000000</v>
      </c>
    </row>
    <row r="3389" spans="1:14" x14ac:dyDescent="0.25">
      <c r="A3389" s="3" t="s">
        <v>3400</v>
      </c>
      <c r="B3389" s="4">
        <v>12.69</v>
      </c>
      <c r="C3389" s="4">
        <v>0.15</v>
      </c>
      <c r="D3389" s="4">
        <v>0.08</v>
      </c>
      <c r="E3389" s="4">
        <v>-1.782418818292154E-2</v>
      </c>
      <c r="F3389" s="3">
        <v>3387</v>
      </c>
      <c r="G3389" s="3">
        <v>3</v>
      </c>
      <c r="H3389" s="5">
        <v>4015014542.2800002</v>
      </c>
      <c r="I3389" s="5">
        <v>4439475542.2800007</v>
      </c>
      <c r="J3389" s="5">
        <v>481598000</v>
      </c>
      <c r="K3389" s="5">
        <v>57137000</v>
      </c>
      <c r="L3389" s="5">
        <v>2009197000</v>
      </c>
      <c r="M3389" s="5">
        <v>349709000</v>
      </c>
      <c r="N3389" s="5">
        <v>190004000</v>
      </c>
    </row>
    <row r="3390" spans="1:14" x14ac:dyDescent="0.25">
      <c r="A3390" s="3" t="s">
        <v>3401</v>
      </c>
      <c r="B3390" s="4">
        <v>12.02</v>
      </c>
      <c r="C3390" s="4">
        <v>0.01</v>
      </c>
      <c r="D3390" s="4">
        <v>0</v>
      </c>
      <c r="E3390" s="4">
        <v>-1.782945411203981E-2</v>
      </c>
      <c r="F3390" s="3">
        <v>3388</v>
      </c>
      <c r="G3390" s="3">
        <v>3</v>
      </c>
      <c r="H3390" s="5">
        <v>2047868860.5</v>
      </c>
      <c r="I3390" s="5">
        <v>7101267860.5</v>
      </c>
      <c r="J3390" s="5">
        <v>5498022000</v>
      </c>
      <c r="K3390" s="5">
        <v>444623000</v>
      </c>
      <c r="L3390" s="5">
        <v>986478000</v>
      </c>
      <c r="M3390" s="5">
        <v>590864000</v>
      </c>
      <c r="N3390" s="5">
        <v>23517000</v>
      </c>
    </row>
    <row r="3391" spans="1:14" x14ac:dyDescent="0.25">
      <c r="A3391" s="3" t="s">
        <v>3402</v>
      </c>
      <c r="B3391" s="4">
        <v>15.3</v>
      </c>
      <c r="C3391" s="4">
        <v>0.7</v>
      </c>
      <c r="D3391" s="4">
        <v>0.18</v>
      </c>
      <c r="E3391" s="4">
        <v>-1.7831132218288501E-2</v>
      </c>
      <c r="F3391" s="3">
        <v>3389</v>
      </c>
      <c r="G3391" s="3">
        <v>3</v>
      </c>
      <c r="H3391" s="5">
        <v>85264145.549999997</v>
      </c>
      <c r="I3391" s="5">
        <v>179981535.55000001</v>
      </c>
      <c r="J3391" s="5">
        <v>117346320</v>
      </c>
      <c r="K3391" s="5">
        <v>22628930</v>
      </c>
      <c r="L3391" s="5">
        <v>463714020</v>
      </c>
      <c r="M3391" s="5">
        <v>11766170</v>
      </c>
      <c r="N3391" s="5">
        <v>46905740</v>
      </c>
    </row>
    <row r="3392" spans="1:14" x14ac:dyDescent="0.25">
      <c r="A3392" s="3" t="s">
        <v>3403</v>
      </c>
      <c r="B3392" s="4">
        <v>10.61</v>
      </c>
      <c r="C3392" s="4">
        <v>-0.28999999999999998</v>
      </c>
      <c r="D3392" s="4">
        <v>-0.05</v>
      </c>
      <c r="E3392" s="4">
        <v>-1.7833229452073159E-2</v>
      </c>
      <c r="F3392" s="3">
        <v>3390</v>
      </c>
      <c r="G3392" s="3">
        <v>3</v>
      </c>
      <c r="H3392" s="5">
        <v>94397008.400000006</v>
      </c>
      <c r="I3392" s="5">
        <v>259737008.40000001</v>
      </c>
      <c r="J3392" s="5">
        <v>204676000</v>
      </c>
      <c r="K3392" s="5">
        <v>39336000</v>
      </c>
      <c r="L3392" s="5">
        <v>98613000</v>
      </c>
      <c r="M3392" s="5">
        <v>24481000</v>
      </c>
      <c r="N3392" s="5">
        <v>-15567000</v>
      </c>
    </row>
    <row r="3393" spans="1:14" x14ac:dyDescent="0.25">
      <c r="A3393" s="3" t="s">
        <v>3404</v>
      </c>
      <c r="B3393" s="4">
        <v>11.99</v>
      </c>
      <c r="C3393" s="4">
        <v>0</v>
      </c>
      <c r="D3393" s="4">
        <v>0</v>
      </c>
      <c r="E3393" s="4">
        <v>-1.7839780101963031E-2</v>
      </c>
      <c r="F3393" s="3">
        <v>3391</v>
      </c>
      <c r="G3393" s="3">
        <v>3</v>
      </c>
      <c r="H3393" s="5">
        <v>1052633800.5</v>
      </c>
      <c r="I3393" s="5">
        <v>1636450800.5</v>
      </c>
      <c r="J3393" s="5">
        <v>597101000</v>
      </c>
      <c r="K3393" s="5">
        <v>13284000</v>
      </c>
      <c r="L3393" s="5">
        <v>316296000</v>
      </c>
      <c r="M3393" s="5">
        <v>136481000</v>
      </c>
      <c r="N3393" s="5">
        <v>2992000</v>
      </c>
    </row>
    <row r="3394" spans="1:14" x14ac:dyDescent="0.25">
      <c r="A3394" s="3" t="s">
        <v>3405</v>
      </c>
      <c r="B3394" s="4">
        <v>12.43</v>
      </c>
      <c r="C3394" s="4">
        <v>0.09</v>
      </c>
      <c r="D3394" s="4">
        <v>0.03</v>
      </c>
      <c r="E3394" s="4">
        <v>-1.7846275609771801E-2</v>
      </c>
      <c r="F3394" s="3">
        <v>3392</v>
      </c>
      <c r="G3394" s="3">
        <v>3</v>
      </c>
      <c r="H3394" s="5">
        <v>1071337863.89</v>
      </c>
      <c r="I3394" s="5">
        <v>1042363863.89</v>
      </c>
      <c r="J3394" s="5">
        <v>30000000</v>
      </c>
      <c r="K3394" s="5">
        <v>58974000</v>
      </c>
      <c r="L3394" s="5">
        <v>1101132000</v>
      </c>
      <c r="M3394" s="5">
        <v>83889000</v>
      </c>
      <c r="N3394" s="5">
        <v>70734000</v>
      </c>
    </row>
    <row r="3395" spans="1:14" x14ac:dyDescent="0.25">
      <c r="A3395" s="3" t="s">
        <v>3406</v>
      </c>
      <c r="B3395" s="4">
        <v>-2.42</v>
      </c>
      <c r="C3395" s="4">
        <v>-3.08</v>
      </c>
      <c r="D3395" s="4">
        <v>-0.15</v>
      </c>
      <c r="E3395" s="4">
        <v>-1.7849301051590081E-2</v>
      </c>
      <c r="F3395" s="3">
        <v>3393</v>
      </c>
      <c r="G3395" s="3">
        <v>3</v>
      </c>
      <c r="H3395" s="5">
        <v>12555.7174</v>
      </c>
      <c r="I3395" s="5">
        <v>1624305.7174</v>
      </c>
      <c r="J3395" s="5">
        <v>1611750</v>
      </c>
      <c r="K3395" s="5">
        <v>0</v>
      </c>
      <c r="L3395" s="5">
        <v>105690</v>
      </c>
      <c r="M3395" s="5">
        <v>-670450</v>
      </c>
      <c r="N3395" s="5">
        <v>-784940</v>
      </c>
    </row>
    <row r="3396" spans="1:14" x14ac:dyDescent="0.25">
      <c r="A3396" s="3" t="s">
        <v>3407</v>
      </c>
      <c r="B3396" s="4">
        <v>13.84</v>
      </c>
      <c r="C3396" s="4">
        <v>0.38</v>
      </c>
      <c r="D3396" s="4">
        <v>0.13</v>
      </c>
      <c r="E3396" s="4">
        <v>-1.7861748743865379E-2</v>
      </c>
      <c r="F3396" s="3">
        <v>3394</v>
      </c>
      <c r="G3396" s="3">
        <v>3</v>
      </c>
      <c r="H3396" s="5">
        <v>60512872168.839996</v>
      </c>
      <c r="I3396" s="5">
        <v>65900872168.839996</v>
      </c>
      <c r="J3396" s="5">
        <v>7059000000</v>
      </c>
      <c r="K3396" s="5">
        <v>1671000000</v>
      </c>
      <c r="L3396" s="5">
        <v>34102000000</v>
      </c>
      <c r="M3396" s="5">
        <v>4763000000</v>
      </c>
      <c r="N3396" s="5">
        <v>3946000000</v>
      </c>
    </row>
    <row r="3397" spans="1:14" x14ac:dyDescent="0.25">
      <c r="A3397" s="3" t="s">
        <v>3408</v>
      </c>
      <c r="B3397" s="4">
        <v>12.41</v>
      </c>
      <c r="C3397" s="4">
        <v>0.08</v>
      </c>
      <c r="D3397" s="4">
        <v>0.03</v>
      </c>
      <c r="E3397" s="4">
        <v>-1.78627908053921E-2</v>
      </c>
      <c r="F3397" s="3">
        <v>3395</v>
      </c>
      <c r="G3397" s="3">
        <v>3</v>
      </c>
      <c r="H3397" s="5">
        <v>34662231523.150002</v>
      </c>
      <c r="I3397" s="5">
        <v>60663231523.150002</v>
      </c>
      <c r="J3397" s="5">
        <v>27325000000</v>
      </c>
      <c r="K3397" s="5">
        <v>1324000000</v>
      </c>
      <c r="L3397" s="5">
        <v>15256000000</v>
      </c>
      <c r="M3397" s="5">
        <v>4887000000</v>
      </c>
      <c r="N3397" s="5">
        <v>1820000000</v>
      </c>
    </row>
    <row r="3398" spans="1:14" x14ac:dyDescent="0.25">
      <c r="A3398" s="3" t="s">
        <v>3409</v>
      </c>
      <c r="B3398" s="4">
        <v>12.56</v>
      </c>
      <c r="C3398" s="4">
        <v>0.11</v>
      </c>
      <c r="D3398" s="4">
        <v>0.05</v>
      </c>
      <c r="E3398" s="4">
        <v>-1.786509001664988E-2</v>
      </c>
      <c r="F3398" s="3">
        <v>3396</v>
      </c>
      <c r="G3398" s="3">
        <v>3</v>
      </c>
      <c r="H3398" s="5">
        <v>1194339898.3800001</v>
      </c>
      <c r="I3398" s="5">
        <v>1537223898.3800001</v>
      </c>
      <c r="J3398" s="5">
        <v>367097000</v>
      </c>
      <c r="K3398" s="5">
        <v>24213000</v>
      </c>
      <c r="L3398" s="5">
        <v>659667000</v>
      </c>
      <c r="M3398" s="5">
        <v>122398000</v>
      </c>
      <c r="N3398" s="5">
        <v>40115000</v>
      </c>
    </row>
    <row r="3399" spans="1:14" x14ac:dyDescent="0.25">
      <c r="A3399" s="3" t="s">
        <v>3410</v>
      </c>
      <c r="B3399" s="4">
        <v>12.42</v>
      </c>
      <c r="C3399" s="4">
        <v>0.08</v>
      </c>
      <c r="D3399" s="4">
        <v>0.03</v>
      </c>
      <c r="E3399" s="4">
        <v>-1.7868980011089181E-2</v>
      </c>
      <c r="F3399" s="3">
        <v>3397</v>
      </c>
      <c r="G3399" s="3">
        <v>3</v>
      </c>
      <c r="H3399" s="5">
        <v>3746442839.29</v>
      </c>
      <c r="I3399" s="5">
        <v>6842913839.29</v>
      </c>
      <c r="J3399" s="5">
        <v>3100754000</v>
      </c>
      <c r="K3399" s="5">
        <v>4283000</v>
      </c>
      <c r="L3399" s="5">
        <v>1513898000</v>
      </c>
      <c r="M3399" s="5">
        <v>550956000</v>
      </c>
      <c r="N3399" s="5">
        <v>224111000</v>
      </c>
    </row>
    <row r="3400" spans="1:14" x14ac:dyDescent="0.25">
      <c r="A3400" s="3" t="s">
        <v>3411</v>
      </c>
      <c r="B3400" s="4">
        <v>10.54</v>
      </c>
      <c r="C3400" s="4">
        <v>-0.32</v>
      </c>
      <c r="D3400" s="4">
        <v>-0.04</v>
      </c>
      <c r="E3400" s="4">
        <v>-1.7874656806659481E-2</v>
      </c>
      <c r="F3400" s="3">
        <v>3398</v>
      </c>
      <c r="G3400" s="3">
        <v>3</v>
      </c>
      <c r="H3400" s="5">
        <v>363756609.39999998</v>
      </c>
      <c r="I3400" s="5">
        <v>5930977609.3999996</v>
      </c>
      <c r="J3400" s="5">
        <v>5710703000</v>
      </c>
      <c r="K3400" s="5">
        <v>143482000</v>
      </c>
      <c r="L3400" s="5">
        <v>1896928000</v>
      </c>
      <c r="M3400" s="5">
        <v>562719000</v>
      </c>
      <c r="N3400" s="5">
        <v>-275526000</v>
      </c>
    </row>
    <row r="3401" spans="1:14" x14ac:dyDescent="0.25">
      <c r="A3401" s="3" t="s">
        <v>3412</v>
      </c>
      <c r="B3401" s="4">
        <v>12.2</v>
      </c>
      <c r="C3401" s="4">
        <v>0.03</v>
      </c>
      <c r="D3401" s="4">
        <v>0.01</v>
      </c>
      <c r="E3401" s="4">
        <v>-1.7881143573980782E-2</v>
      </c>
      <c r="F3401" s="3">
        <v>3399</v>
      </c>
      <c r="G3401" s="3">
        <v>3</v>
      </c>
      <c r="H3401" s="5">
        <v>1094770039.74</v>
      </c>
      <c r="I3401" s="5">
        <v>1259729039.74</v>
      </c>
      <c r="J3401" s="5">
        <v>198271000</v>
      </c>
      <c r="K3401" s="5">
        <v>33312000</v>
      </c>
      <c r="L3401" s="5">
        <v>1015910000</v>
      </c>
      <c r="M3401" s="5">
        <v>103223000</v>
      </c>
      <c r="N3401" s="5">
        <v>18925000</v>
      </c>
    </row>
    <row r="3402" spans="1:14" x14ac:dyDescent="0.25">
      <c r="A3402" s="3" t="s">
        <v>3413</v>
      </c>
      <c r="B3402" s="4">
        <v>11.68</v>
      </c>
      <c r="C3402" s="4">
        <v>-0.08</v>
      </c>
      <c r="D3402" s="4">
        <v>-0.03</v>
      </c>
      <c r="E3402" s="4">
        <v>-1.788485066120182E-2</v>
      </c>
      <c r="F3402" s="3">
        <v>3400</v>
      </c>
      <c r="G3402" s="3">
        <v>3</v>
      </c>
      <c r="H3402" s="5">
        <v>3733157.23</v>
      </c>
      <c r="I3402" s="5">
        <v>489203157.23000002</v>
      </c>
      <c r="J3402" s="5">
        <v>505732000</v>
      </c>
      <c r="K3402" s="5">
        <v>20262000</v>
      </c>
      <c r="L3402" s="5">
        <v>124512000</v>
      </c>
      <c r="M3402" s="5">
        <v>41874000</v>
      </c>
      <c r="N3402" s="5">
        <v>-25175000</v>
      </c>
    </row>
    <row r="3403" spans="1:14" x14ac:dyDescent="0.25">
      <c r="A3403" s="3" t="s">
        <v>3414</v>
      </c>
      <c r="B3403" s="4">
        <v>12.45</v>
      </c>
      <c r="C3403" s="4">
        <v>0.08</v>
      </c>
      <c r="D3403" s="4">
        <v>0.03</v>
      </c>
      <c r="E3403" s="4">
        <v>-1.7887547628180421E-2</v>
      </c>
      <c r="F3403" s="3">
        <v>3401</v>
      </c>
      <c r="G3403" s="3">
        <v>3</v>
      </c>
      <c r="H3403" s="5">
        <v>849562761.46000004</v>
      </c>
      <c r="I3403" s="5">
        <v>1184242761.46</v>
      </c>
      <c r="J3403" s="5">
        <v>399853000</v>
      </c>
      <c r="K3403" s="5">
        <v>65173000</v>
      </c>
      <c r="L3403" s="5">
        <v>1085958000</v>
      </c>
      <c r="M3403" s="5">
        <v>95105000</v>
      </c>
      <c r="N3403" s="5">
        <v>30682000</v>
      </c>
    </row>
    <row r="3404" spans="1:14" x14ac:dyDescent="0.25">
      <c r="A3404" s="3" t="s">
        <v>3415</v>
      </c>
      <c r="B3404" s="4">
        <v>13.02</v>
      </c>
      <c r="C3404" s="4">
        <v>0.19</v>
      </c>
      <c r="D3404" s="4">
        <v>0.13</v>
      </c>
      <c r="E3404" s="4">
        <v>-1.7903212409979729E-2</v>
      </c>
      <c r="F3404" s="3">
        <v>3402</v>
      </c>
      <c r="G3404" s="3">
        <v>3</v>
      </c>
      <c r="H3404" s="5">
        <v>305466152</v>
      </c>
      <c r="I3404" s="5">
        <v>310094672</v>
      </c>
      <c r="J3404" s="5">
        <v>6171790</v>
      </c>
      <c r="K3404" s="5">
        <v>1543270</v>
      </c>
      <c r="L3404" s="5">
        <v>150198280</v>
      </c>
      <c r="M3404" s="5">
        <v>23825740</v>
      </c>
      <c r="N3404" s="5">
        <v>13597970</v>
      </c>
    </row>
    <row r="3405" spans="1:14" x14ac:dyDescent="0.25">
      <c r="A3405" s="3" t="s">
        <v>3416</v>
      </c>
      <c r="B3405" s="4">
        <v>13.01</v>
      </c>
      <c r="C3405" s="4">
        <v>0.19</v>
      </c>
      <c r="D3405" s="4">
        <v>7.0000000000000007E-2</v>
      </c>
      <c r="E3405" s="4">
        <v>-1.790859736374769E-2</v>
      </c>
      <c r="F3405" s="3">
        <v>3403</v>
      </c>
      <c r="G3405" s="3">
        <v>3</v>
      </c>
      <c r="H3405" s="5">
        <v>8210981000</v>
      </c>
      <c r="I3405" s="5">
        <v>11327939000</v>
      </c>
      <c r="J3405" s="5">
        <v>3116958000</v>
      </c>
      <c r="K3405" s="5">
        <v>0</v>
      </c>
      <c r="L3405" s="5">
        <v>1106193000</v>
      </c>
      <c r="M3405" s="5">
        <v>870893000</v>
      </c>
      <c r="N3405" s="5">
        <v>400892000</v>
      </c>
    </row>
    <row r="3406" spans="1:14" x14ac:dyDescent="0.25">
      <c r="A3406" s="3" t="s">
        <v>3417</v>
      </c>
      <c r="B3406" s="4">
        <v>-4.93</v>
      </c>
      <c r="C3406" s="4">
        <v>-3.5</v>
      </c>
      <c r="D3406" s="4">
        <v>-2.29</v>
      </c>
      <c r="E3406" s="4">
        <v>-1.7922153603817131E-2</v>
      </c>
      <c r="F3406" s="3">
        <v>3404</v>
      </c>
      <c r="G3406" s="3">
        <v>3</v>
      </c>
      <c r="H3406" s="5">
        <v>131015435.0376</v>
      </c>
      <c r="I3406" s="5">
        <v>115976435.0376</v>
      </c>
      <c r="J3406" s="5">
        <v>0</v>
      </c>
      <c r="K3406" s="5">
        <v>15039000</v>
      </c>
      <c r="L3406" s="5">
        <v>86000</v>
      </c>
      <c r="M3406" s="5">
        <v>-23543000</v>
      </c>
      <c r="N3406" s="5">
        <v>-46885000</v>
      </c>
    </row>
    <row r="3407" spans="1:14" x14ac:dyDescent="0.25">
      <c r="A3407" s="3" t="s">
        <v>3418</v>
      </c>
      <c r="B3407" s="4">
        <v>12.55</v>
      </c>
      <c r="C3407" s="4">
        <v>0.09</v>
      </c>
      <c r="D3407" s="4">
        <v>0.02</v>
      </c>
      <c r="E3407" s="4">
        <v>-1.7922475104714241E-2</v>
      </c>
      <c r="F3407" s="3">
        <v>3405</v>
      </c>
      <c r="G3407" s="3">
        <v>3</v>
      </c>
      <c r="H3407" s="5">
        <v>96246580280.589996</v>
      </c>
      <c r="I3407" s="5">
        <v>180205580280.59</v>
      </c>
      <c r="J3407" s="5">
        <v>84273000000</v>
      </c>
      <c r="K3407" s="5">
        <v>314000000</v>
      </c>
      <c r="L3407" s="5">
        <v>30357000000</v>
      </c>
      <c r="M3407" s="5">
        <v>14359000000</v>
      </c>
      <c r="N3407" s="5">
        <v>4524000000</v>
      </c>
    </row>
    <row r="3408" spans="1:14" x14ac:dyDescent="0.25">
      <c r="A3408" s="3" t="s">
        <v>3419</v>
      </c>
      <c r="B3408" s="4">
        <v>11.75</v>
      </c>
      <c r="C3408" s="4">
        <v>-0.08</v>
      </c>
      <c r="D3408" s="4">
        <v>-0.04</v>
      </c>
      <c r="E3408" s="4">
        <v>-1.7930104127658861E-2</v>
      </c>
      <c r="F3408" s="3">
        <v>3406</v>
      </c>
      <c r="G3408" s="3">
        <v>3</v>
      </c>
      <c r="H3408" s="5">
        <v>8665717710.7600002</v>
      </c>
      <c r="I3408" s="5">
        <v>14868717710.76</v>
      </c>
      <c r="J3408" s="5">
        <v>6376000000</v>
      </c>
      <c r="K3408" s="5">
        <v>173000000</v>
      </c>
      <c r="L3408" s="5">
        <v>5340000000</v>
      </c>
      <c r="M3408" s="5">
        <v>1265000000</v>
      </c>
      <c r="N3408" s="5">
        <v>-664000000</v>
      </c>
    </row>
    <row r="3409" spans="1:14" x14ac:dyDescent="0.25">
      <c r="A3409" s="3" t="s">
        <v>3420</v>
      </c>
      <c r="B3409" s="4">
        <v>12.67</v>
      </c>
      <c r="C3409" s="4">
        <v>0.11</v>
      </c>
      <c r="D3409" s="4">
        <v>0.06</v>
      </c>
      <c r="E3409" s="4">
        <v>-1.7931242252740232E-2</v>
      </c>
      <c r="F3409" s="3">
        <v>3407</v>
      </c>
      <c r="G3409" s="3">
        <v>3</v>
      </c>
      <c r="H3409" s="5">
        <v>16521112111.530001</v>
      </c>
      <c r="I3409" s="5">
        <v>17069512111.530001</v>
      </c>
      <c r="J3409" s="5">
        <v>2507900000</v>
      </c>
      <c r="K3409" s="5">
        <v>1959500000</v>
      </c>
      <c r="L3409" s="5">
        <v>4100500000</v>
      </c>
      <c r="M3409" s="5">
        <v>1347300000</v>
      </c>
      <c r="N3409" s="5">
        <v>565700000</v>
      </c>
    </row>
    <row r="3410" spans="1:14" x14ac:dyDescent="0.25">
      <c r="A3410" s="3" t="s">
        <v>3421</v>
      </c>
      <c r="B3410" s="4">
        <v>9.2100000000000009</v>
      </c>
      <c r="C3410" s="4">
        <v>-0.63</v>
      </c>
      <c r="D3410" s="4">
        <v>0.04</v>
      </c>
      <c r="E3410" s="4">
        <v>-1.7931762053776331E-2</v>
      </c>
      <c r="F3410" s="3">
        <v>3408</v>
      </c>
      <c r="G3410" s="3">
        <v>3</v>
      </c>
      <c r="H3410" s="5">
        <v>317748792.98000002</v>
      </c>
      <c r="I3410" s="5">
        <v>587918792.98000002</v>
      </c>
      <c r="J3410" s="5">
        <v>271868000</v>
      </c>
      <c r="K3410" s="5">
        <v>1698000</v>
      </c>
      <c r="L3410" s="5">
        <v>452334000</v>
      </c>
      <c r="M3410" s="5">
        <v>63867000</v>
      </c>
      <c r="N3410" s="5">
        <v>21571000</v>
      </c>
    </row>
    <row r="3411" spans="1:14" x14ac:dyDescent="0.25">
      <c r="A3411" s="3" t="s">
        <v>3422</v>
      </c>
      <c r="B3411" s="4">
        <v>-2.89</v>
      </c>
      <c r="C3411" s="4">
        <v>-3.11</v>
      </c>
      <c r="D3411" s="4">
        <v>-1.66</v>
      </c>
      <c r="E3411" s="4">
        <v>-1.79363722180742E-2</v>
      </c>
      <c r="F3411" s="3">
        <v>3409</v>
      </c>
      <c r="G3411" s="3">
        <v>3</v>
      </c>
      <c r="H3411" s="5">
        <v>45521240.759999998</v>
      </c>
      <c r="I3411" s="5">
        <v>43973240.759999998</v>
      </c>
      <c r="J3411" s="5">
        <v>840000</v>
      </c>
      <c r="K3411" s="5">
        <v>2388000</v>
      </c>
      <c r="L3411" s="5">
        <v>0</v>
      </c>
      <c r="M3411" s="5">
        <v>-15199000</v>
      </c>
      <c r="N3411" s="5">
        <v>-40972000</v>
      </c>
    </row>
    <row r="3412" spans="1:14" x14ac:dyDescent="0.25">
      <c r="A3412" s="3" t="s">
        <v>3423</v>
      </c>
      <c r="B3412" s="4">
        <v>10.25</v>
      </c>
      <c r="C3412" s="4">
        <v>-0.41</v>
      </c>
      <c r="D3412" s="4">
        <v>0.05</v>
      </c>
      <c r="E3412" s="4">
        <v>-1.7937851065376809E-2</v>
      </c>
      <c r="F3412" s="3">
        <v>3410</v>
      </c>
      <c r="G3412" s="3">
        <v>3</v>
      </c>
      <c r="H3412" s="5">
        <v>3234515083.54</v>
      </c>
      <c r="I3412" s="5">
        <v>5304315083.54</v>
      </c>
      <c r="J3412" s="5">
        <v>2106400000</v>
      </c>
      <c r="K3412" s="5">
        <v>36600000</v>
      </c>
      <c r="L3412" s="5">
        <v>3413100000</v>
      </c>
      <c r="M3412" s="5">
        <v>517300000</v>
      </c>
      <c r="N3412" s="5">
        <v>145200000</v>
      </c>
    </row>
    <row r="3413" spans="1:14" x14ac:dyDescent="0.25">
      <c r="A3413" s="3" t="s">
        <v>3424</v>
      </c>
      <c r="B3413" s="4">
        <v>-0.82</v>
      </c>
      <c r="C3413" s="4">
        <v>-2.73</v>
      </c>
      <c r="D3413" s="4">
        <v>-0.72</v>
      </c>
      <c r="E3413" s="4">
        <v>-1.7938252232534271E-2</v>
      </c>
      <c r="F3413" s="3">
        <v>3411</v>
      </c>
      <c r="G3413" s="3">
        <v>3</v>
      </c>
      <c r="H3413" s="5">
        <v>71323472.329999998</v>
      </c>
      <c r="I3413" s="5">
        <v>57665472.329999998</v>
      </c>
      <c r="J3413" s="5">
        <v>775000</v>
      </c>
      <c r="K3413" s="5">
        <v>14433000</v>
      </c>
      <c r="L3413" s="5">
        <v>4262000</v>
      </c>
      <c r="M3413" s="5">
        <v>-70213000</v>
      </c>
      <c r="N3413" s="5">
        <v>-251388000</v>
      </c>
    </row>
    <row r="3414" spans="1:14" x14ac:dyDescent="0.25">
      <c r="A3414" s="3" t="s">
        <v>3425</v>
      </c>
      <c r="B3414" s="4">
        <v>12.41</v>
      </c>
      <c r="C3414" s="4">
        <v>0.05</v>
      </c>
      <c r="D3414" s="4">
        <v>0.04</v>
      </c>
      <c r="E3414" s="4">
        <v>-1.7947542599857969E-2</v>
      </c>
      <c r="F3414" s="3">
        <v>3412</v>
      </c>
      <c r="G3414" s="3">
        <v>3</v>
      </c>
      <c r="H3414" s="5">
        <v>198366895.03</v>
      </c>
      <c r="I3414" s="5">
        <v>230084895.03</v>
      </c>
      <c r="J3414" s="5">
        <v>37645000</v>
      </c>
      <c r="K3414" s="5">
        <v>5927000</v>
      </c>
      <c r="L3414" s="5">
        <v>44987000</v>
      </c>
      <c r="M3414" s="5">
        <v>18542000</v>
      </c>
      <c r="N3414" s="5">
        <v>13488000</v>
      </c>
    </row>
    <row r="3415" spans="1:14" x14ac:dyDescent="0.25">
      <c r="A3415" s="3" t="s">
        <v>3426</v>
      </c>
      <c r="B3415" s="4">
        <v>12.59</v>
      </c>
      <c r="C3415" s="4">
        <v>0.09</v>
      </c>
      <c r="D3415" s="4">
        <v>0.01</v>
      </c>
      <c r="E3415" s="4">
        <v>-1.794916095408006E-2</v>
      </c>
      <c r="F3415" s="3">
        <v>3413</v>
      </c>
      <c r="G3415" s="3">
        <v>3</v>
      </c>
      <c r="H3415" s="5">
        <v>2920059383.9499998</v>
      </c>
      <c r="I3415" s="5">
        <v>17880059383.950001</v>
      </c>
      <c r="J3415" s="5">
        <v>18639000000</v>
      </c>
      <c r="K3415" s="5">
        <v>3679000000</v>
      </c>
      <c r="L3415" s="5">
        <v>4643000000</v>
      </c>
      <c r="M3415" s="5">
        <v>1420000000</v>
      </c>
      <c r="N3415" s="5">
        <v>277000000</v>
      </c>
    </row>
    <row r="3416" spans="1:14" x14ac:dyDescent="0.25">
      <c r="A3416" s="3" t="s">
        <v>3427</v>
      </c>
      <c r="B3416" s="4">
        <v>12.51</v>
      </c>
      <c r="C3416" s="4">
        <v>7.0000000000000007E-2</v>
      </c>
      <c r="D3416" s="4">
        <v>0.01</v>
      </c>
      <c r="E3416" s="4">
        <v>-1.7957434522532349E-2</v>
      </c>
      <c r="F3416" s="3">
        <v>3414</v>
      </c>
      <c r="G3416" s="3">
        <v>3</v>
      </c>
      <c r="H3416" s="5">
        <v>4029158581.0500002</v>
      </c>
      <c r="I3416" s="5">
        <v>10638169581.049999</v>
      </c>
      <c r="J3416" s="5">
        <v>7040021000</v>
      </c>
      <c r="K3416" s="5">
        <v>431010000</v>
      </c>
      <c r="L3416" s="5">
        <v>5305365000</v>
      </c>
      <c r="M3416" s="5">
        <v>850367000</v>
      </c>
      <c r="N3416" s="5">
        <v>163949000</v>
      </c>
    </row>
    <row r="3417" spans="1:14" x14ac:dyDescent="0.25">
      <c r="A3417" s="3" t="s">
        <v>3428</v>
      </c>
      <c r="B3417" s="4">
        <v>12.47</v>
      </c>
      <c r="C3417" s="4">
        <v>0.06</v>
      </c>
      <c r="D3417" s="4">
        <v>0.03</v>
      </c>
      <c r="E3417" s="4">
        <v>-1.7957713253603489E-2</v>
      </c>
      <c r="F3417" s="3">
        <v>3415</v>
      </c>
      <c r="G3417" s="3">
        <v>3</v>
      </c>
      <c r="H3417" s="5">
        <v>3779606527.2399998</v>
      </c>
      <c r="I3417" s="5">
        <v>6618002527.2399998</v>
      </c>
      <c r="J3417" s="5">
        <v>2860458000</v>
      </c>
      <c r="K3417" s="5">
        <v>22062000</v>
      </c>
      <c r="L3417" s="5">
        <v>698068000</v>
      </c>
      <c r="M3417" s="5">
        <v>530814000</v>
      </c>
      <c r="N3417" s="5">
        <v>146066000</v>
      </c>
    </row>
    <row r="3418" spans="1:14" x14ac:dyDescent="0.25">
      <c r="A3418" s="3" t="s">
        <v>3429</v>
      </c>
      <c r="B3418" s="4">
        <v>18.91</v>
      </c>
      <c r="C3418" s="4">
        <v>1.44</v>
      </c>
      <c r="D3418" s="4">
        <v>0.02</v>
      </c>
      <c r="E3418" s="4">
        <v>-1.7958172981103668E-2</v>
      </c>
      <c r="F3418" s="3">
        <v>3416</v>
      </c>
      <c r="G3418" s="3">
        <v>3</v>
      </c>
      <c r="H3418" s="5">
        <v>922629759</v>
      </c>
      <c r="I3418" s="5">
        <v>1522194759</v>
      </c>
      <c r="J3418" s="5">
        <v>934251000</v>
      </c>
      <c r="K3418" s="5">
        <v>334686000</v>
      </c>
      <c r="L3418" s="5">
        <v>844007000</v>
      </c>
      <c r="M3418" s="5">
        <v>80489000</v>
      </c>
      <c r="N3418" s="5">
        <v>25526000</v>
      </c>
    </row>
    <row r="3419" spans="1:14" x14ac:dyDescent="0.25">
      <c r="A3419" s="3" t="s">
        <v>3430</v>
      </c>
      <c r="B3419" s="4">
        <v>12.81</v>
      </c>
      <c r="C3419" s="4">
        <v>0.13</v>
      </c>
      <c r="D3419" s="4">
        <v>0.02</v>
      </c>
      <c r="E3419" s="4">
        <v>-1.796782002478042E-2</v>
      </c>
      <c r="F3419" s="3">
        <v>3417</v>
      </c>
      <c r="G3419" s="3">
        <v>3</v>
      </c>
      <c r="H3419" s="5">
        <v>52236776200.260002</v>
      </c>
      <c r="I3419" s="5">
        <v>187823776200.26001</v>
      </c>
      <c r="J3419" s="5">
        <v>158522000000</v>
      </c>
      <c r="K3419" s="5">
        <v>22935000000</v>
      </c>
      <c r="L3419" s="5">
        <v>184992000000</v>
      </c>
      <c r="M3419" s="5">
        <v>14668000000</v>
      </c>
      <c r="N3419" s="5">
        <v>5879000000</v>
      </c>
    </row>
    <row r="3420" spans="1:14" x14ac:dyDescent="0.25">
      <c r="A3420" s="3" t="s">
        <v>3431</v>
      </c>
      <c r="B3420" s="4">
        <v>-2.44</v>
      </c>
      <c r="C3420" s="4">
        <v>-3.12</v>
      </c>
      <c r="D3420" s="4">
        <v>-0.24</v>
      </c>
      <c r="E3420" s="4">
        <v>-1.7969858307451309E-2</v>
      </c>
      <c r="F3420" s="3">
        <v>3418</v>
      </c>
      <c r="G3420" s="3">
        <v>3</v>
      </c>
      <c r="H3420" s="5">
        <v>2214.8112000000001</v>
      </c>
      <c r="I3420" s="5">
        <v>52905214.8112</v>
      </c>
      <c r="J3420" s="5">
        <v>53077000</v>
      </c>
      <c r="K3420" s="5">
        <v>174000</v>
      </c>
      <c r="L3420" s="5">
        <v>188155000</v>
      </c>
      <c r="M3420" s="5">
        <v>-21684000</v>
      </c>
      <c r="N3420" s="5">
        <v>-28830000</v>
      </c>
    </row>
    <row r="3421" spans="1:14" x14ac:dyDescent="0.25">
      <c r="A3421" s="3" t="s">
        <v>3432</v>
      </c>
      <c r="B3421" s="4">
        <v>12.44</v>
      </c>
      <c r="C3421" s="4">
        <v>0.05</v>
      </c>
      <c r="D3421" s="4">
        <v>0.02</v>
      </c>
      <c r="E3421" s="4">
        <v>-1.796996827010422E-2</v>
      </c>
      <c r="F3421" s="3">
        <v>3419</v>
      </c>
      <c r="G3421" s="3">
        <v>3</v>
      </c>
      <c r="H3421" s="5">
        <v>2675308872.5500002</v>
      </c>
      <c r="I3421" s="5">
        <v>3964008872.5500002</v>
      </c>
      <c r="J3421" s="5">
        <v>1353300000</v>
      </c>
      <c r="K3421" s="5">
        <v>64600000</v>
      </c>
      <c r="L3421" s="5">
        <v>8359400000</v>
      </c>
      <c r="M3421" s="5">
        <v>318600000</v>
      </c>
      <c r="N3421" s="5">
        <v>81400000</v>
      </c>
    </row>
    <row r="3422" spans="1:14" x14ac:dyDescent="0.25">
      <c r="A3422" s="3" t="s">
        <v>3433</v>
      </c>
      <c r="B3422" s="4">
        <v>13.2</v>
      </c>
      <c r="C3422" s="4">
        <v>0.2</v>
      </c>
      <c r="D3422" s="4">
        <v>0.15</v>
      </c>
      <c r="E3422" s="4">
        <v>-1.7981866452357661E-2</v>
      </c>
      <c r="F3422" s="3">
        <v>3420</v>
      </c>
      <c r="G3422" s="3">
        <v>3</v>
      </c>
      <c r="H3422" s="5">
        <v>6015567453</v>
      </c>
      <c r="I3422" s="5">
        <v>5471089453</v>
      </c>
      <c r="J3422" s="5">
        <v>0</v>
      </c>
      <c r="K3422" s="5">
        <v>544478000</v>
      </c>
      <c r="L3422" s="5">
        <v>816773000</v>
      </c>
      <c r="M3422" s="5">
        <v>414370000</v>
      </c>
      <c r="N3422" s="5">
        <v>274181000</v>
      </c>
    </row>
    <row r="3423" spans="1:14" x14ac:dyDescent="0.25">
      <c r="A3423" s="3" t="s">
        <v>3434</v>
      </c>
      <c r="B3423" s="4">
        <v>12.37</v>
      </c>
      <c r="C3423" s="4">
        <v>0.03</v>
      </c>
      <c r="D3423" s="4">
        <v>0.01</v>
      </c>
      <c r="E3423" s="4">
        <v>-1.7986360070831101E-2</v>
      </c>
      <c r="F3423" s="3">
        <v>3421</v>
      </c>
      <c r="G3423" s="3">
        <v>3</v>
      </c>
      <c r="H3423" s="5">
        <v>6364674000</v>
      </c>
      <c r="I3423" s="5">
        <v>6836974000</v>
      </c>
      <c r="J3423" s="5">
        <v>2190400000</v>
      </c>
      <c r="K3423" s="5">
        <v>1718100000</v>
      </c>
      <c r="L3423" s="5">
        <v>6158600000</v>
      </c>
      <c r="M3423" s="5">
        <v>552900000</v>
      </c>
      <c r="N3423" s="5">
        <v>131100000</v>
      </c>
    </row>
    <row r="3424" spans="1:14" x14ac:dyDescent="0.25">
      <c r="A3424" s="3" t="s">
        <v>3435</v>
      </c>
      <c r="B3424" s="4">
        <v>-2.34</v>
      </c>
      <c r="C3424" s="4">
        <v>-3.11</v>
      </c>
      <c r="D3424" s="4">
        <v>-0.17</v>
      </c>
      <c r="E3424" s="4">
        <v>-1.798935357136509E-2</v>
      </c>
      <c r="F3424" s="3">
        <v>3422</v>
      </c>
      <c r="G3424" s="3">
        <v>3</v>
      </c>
      <c r="H3424" s="5">
        <v>5.9451460000000003</v>
      </c>
      <c r="I3424" s="5">
        <v>83355005.945145994</v>
      </c>
      <c r="J3424" s="5">
        <v>91171000</v>
      </c>
      <c r="K3424" s="5">
        <v>7816000</v>
      </c>
      <c r="L3424" s="5">
        <v>749809000</v>
      </c>
      <c r="M3424" s="5">
        <v>-35661000</v>
      </c>
      <c r="N3424" s="5">
        <v>-59003000</v>
      </c>
    </row>
    <row r="3425" spans="1:14" x14ac:dyDescent="0.25">
      <c r="A3425" s="3" t="s">
        <v>3436</v>
      </c>
      <c r="B3425" s="4">
        <v>12.78</v>
      </c>
      <c r="C3425" s="4">
        <v>0.11</v>
      </c>
      <c r="D3425" s="4">
        <v>0.05</v>
      </c>
      <c r="E3425" s="4">
        <v>-1.8001252541985591E-2</v>
      </c>
      <c r="F3425" s="3">
        <v>3423</v>
      </c>
      <c r="G3425" s="3">
        <v>3</v>
      </c>
      <c r="H3425" s="5">
        <v>14145505617.280001</v>
      </c>
      <c r="I3425" s="5">
        <v>16292505617.280001</v>
      </c>
      <c r="J3425" s="5">
        <v>3588000000</v>
      </c>
      <c r="K3425" s="5">
        <v>1441000000</v>
      </c>
      <c r="L3425" s="5">
        <v>13702000000</v>
      </c>
      <c r="M3425" s="5">
        <v>1275000000</v>
      </c>
      <c r="N3425" s="5">
        <v>824000000</v>
      </c>
    </row>
    <row r="3426" spans="1:14" x14ac:dyDescent="0.25">
      <c r="A3426" s="3" t="s">
        <v>3437</v>
      </c>
      <c r="B3426" s="4">
        <v>12.97</v>
      </c>
      <c r="C3426" s="4">
        <v>0.15</v>
      </c>
      <c r="D3426" s="4">
        <v>0.06</v>
      </c>
      <c r="E3426" s="4">
        <v>-1.8001343995594721E-2</v>
      </c>
      <c r="F3426" s="3">
        <v>3424</v>
      </c>
      <c r="G3426" s="3">
        <v>3</v>
      </c>
      <c r="H3426" s="5">
        <v>4298481678.4799995</v>
      </c>
      <c r="I3426" s="5">
        <v>4997069678.4799995</v>
      </c>
      <c r="J3426" s="5">
        <v>1111153000</v>
      </c>
      <c r="K3426" s="5">
        <v>412565000</v>
      </c>
      <c r="L3426" s="5">
        <v>4998202000</v>
      </c>
      <c r="M3426" s="5">
        <v>385332000</v>
      </c>
      <c r="N3426" s="5">
        <v>211823000</v>
      </c>
    </row>
    <row r="3427" spans="1:14" x14ac:dyDescent="0.25">
      <c r="A3427" s="3" t="s">
        <v>3438</v>
      </c>
      <c r="B3427" s="4">
        <v>13.37</v>
      </c>
      <c r="C3427" s="4">
        <v>0.24</v>
      </c>
      <c r="D3427" s="4">
        <v>-0.02</v>
      </c>
      <c r="E3427" s="4">
        <v>-1.8004301972967741E-2</v>
      </c>
      <c r="F3427" s="3">
        <v>3425</v>
      </c>
      <c r="G3427" s="3">
        <v>3</v>
      </c>
      <c r="H3427" s="5">
        <v>27962800.079999998</v>
      </c>
      <c r="I3427" s="5">
        <v>2876976800.0799999</v>
      </c>
      <c r="J3427" s="5">
        <v>2961921000</v>
      </c>
      <c r="K3427" s="5">
        <v>112907000</v>
      </c>
      <c r="L3427" s="5">
        <v>1172459000</v>
      </c>
      <c r="M3427" s="5">
        <v>215173000</v>
      </c>
      <c r="N3427" s="5">
        <v>-60300000</v>
      </c>
    </row>
    <row r="3428" spans="1:14" x14ac:dyDescent="0.25">
      <c r="A3428" s="3" t="s">
        <v>3439</v>
      </c>
      <c r="B3428" s="4">
        <v>7.2</v>
      </c>
      <c r="C3428" s="4">
        <v>-1.07</v>
      </c>
      <c r="D3428" s="4">
        <v>-0.21</v>
      </c>
      <c r="E3428" s="4">
        <v>-1.8007276081737571E-2</v>
      </c>
      <c r="F3428" s="3">
        <v>3426</v>
      </c>
      <c r="G3428" s="3">
        <v>3</v>
      </c>
      <c r="H3428" s="5">
        <v>55242422.399999999</v>
      </c>
      <c r="I3428" s="5">
        <v>289010422.39999998</v>
      </c>
      <c r="J3428" s="5">
        <v>290194000</v>
      </c>
      <c r="K3428" s="5">
        <v>56426000</v>
      </c>
      <c r="L3428" s="5">
        <v>274794000</v>
      </c>
      <c r="M3428" s="5">
        <v>40124000</v>
      </c>
      <c r="N3428" s="5">
        <v>-112732000</v>
      </c>
    </row>
    <row r="3429" spans="1:14" x14ac:dyDescent="0.25">
      <c r="A3429" s="3" t="s">
        <v>3440</v>
      </c>
      <c r="B3429" s="4">
        <v>-0.16</v>
      </c>
      <c r="C3429" s="4">
        <v>-2.58</v>
      </c>
      <c r="D3429" s="4">
        <v>-1.21</v>
      </c>
      <c r="E3429" s="4">
        <v>-1.8007858005622299E-2</v>
      </c>
      <c r="F3429" s="3">
        <v>3427</v>
      </c>
      <c r="G3429" s="3">
        <v>3</v>
      </c>
      <c r="H3429" s="5">
        <v>708.45370000000003</v>
      </c>
      <c r="I3429" s="5">
        <v>2625708.4537</v>
      </c>
      <c r="J3429" s="5">
        <v>8335000</v>
      </c>
      <c r="K3429" s="5">
        <v>5710000</v>
      </c>
      <c r="L3429" s="5">
        <v>10846000</v>
      </c>
      <c r="M3429" s="5">
        <v>-16390000</v>
      </c>
      <c r="N3429" s="5">
        <v>-25489000</v>
      </c>
    </row>
    <row r="3430" spans="1:14" x14ac:dyDescent="0.25">
      <c r="A3430" s="3" t="s">
        <v>3441</v>
      </c>
      <c r="B3430" s="4">
        <v>13.23</v>
      </c>
      <c r="C3430" s="4">
        <v>0.2</v>
      </c>
      <c r="D3430" s="4">
        <v>0.11</v>
      </c>
      <c r="E3430" s="4">
        <v>-1.8008150175758911E-2</v>
      </c>
      <c r="F3430" s="3">
        <v>3428</v>
      </c>
      <c r="G3430" s="3">
        <v>3</v>
      </c>
      <c r="H3430" s="5">
        <v>4396121856</v>
      </c>
      <c r="I3430" s="5">
        <v>4044443856</v>
      </c>
      <c r="J3430" s="5">
        <v>163340000</v>
      </c>
      <c r="K3430" s="5">
        <v>515018000</v>
      </c>
      <c r="L3430" s="5">
        <v>4834055000</v>
      </c>
      <c r="M3430" s="5">
        <v>305645000</v>
      </c>
      <c r="N3430" s="5">
        <v>195946000</v>
      </c>
    </row>
    <row r="3431" spans="1:14" x14ac:dyDescent="0.25">
      <c r="A3431" s="3" t="s">
        <v>3442</v>
      </c>
      <c r="B3431" s="4">
        <v>12.55</v>
      </c>
      <c r="C3431" s="4">
        <v>0.06</v>
      </c>
      <c r="D3431" s="4">
        <v>0.02</v>
      </c>
      <c r="E3431" s="4">
        <v>-1.8009155925757608E-2</v>
      </c>
      <c r="F3431" s="3">
        <v>3429</v>
      </c>
      <c r="G3431" s="3">
        <v>3</v>
      </c>
      <c r="H3431" s="5">
        <v>26896169387.91</v>
      </c>
      <c r="I3431" s="5">
        <v>43396169387.910004</v>
      </c>
      <c r="J3431" s="5">
        <v>16806000000</v>
      </c>
      <c r="K3431" s="5">
        <v>306000000</v>
      </c>
      <c r="L3431" s="5">
        <v>8462000000</v>
      </c>
      <c r="M3431" s="5">
        <v>3459000000</v>
      </c>
      <c r="N3431" s="5">
        <v>888000000</v>
      </c>
    </row>
    <row r="3432" spans="1:14" x14ac:dyDescent="0.25">
      <c r="A3432" s="3" t="s">
        <v>3443</v>
      </c>
      <c r="B3432" s="4">
        <v>13.62</v>
      </c>
      <c r="C3432" s="4">
        <v>0.28000000000000003</v>
      </c>
      <c r="D3432" s="4">
        <v>0.1</v>
      </c>
      <c r="E3432" s="4">
        <v>-1.8020309368406779E-2</v>
      </c>
      <c r="F3432" s="3">
        <v>3430</v>
      </c>
      <c r="G3432" s="3">
        <v>3</v>
      </c>
      <c r="H3432" s="5">
        <v>24940708402.040001</v>
      </c>
      <c r="I3432" s="5">
        <v>28667708402.040001</v>
      </c>
      <c r="J3432" s="5">
        <v>4670000000</v>
      </c>
      <c r="K3432" s="5">
        <v>943000000</v>
      </c>
      <c r="L3432" s="5">
        <v>16662000000</v>
      </c>
      <c r="M3432" s="5">
        <v>2105000000</v>
      </c>
      <c r="N3432" s="5">
        <v>1254000000</v>
      </c>
    </row>
    <row r="3433" spans="1:14" x14ac:dyDescent="0.25">
      <c r="A3433" s="3" t="s">
        <v>3444</v>
      </c>
      <c r="B3433" s="4">
        <v>12.39</v>
      </c>
      <c r="C3433" s="4">
        <v>0.02</v>
      </c>
      <c r="D3433" s="4">
        <v>0.01</v>
      </c>
      <c r="E3433" s="4">
        <v>-1.8027632089239711E-2</v>
      </c>
      <c r="F3433" s="3">
        <v>3431</v>
      </c>
      <c r="G3433" s="3">
        <v>3</v>
      </c>
      <c r="H3433" s="5">
        <v>8288003813.6999998</v>
      </c>
      <c r="I3433" s="5">
        <v>8816042813.7000008</v>
      </c>
      <c r="J3433" s="5">
        <v>1549215000</v>
      </c>
      <c r="K3433" s="5">
        <v>1021176000</v>
      </c>
      <c r="L3433" s="5">
        <v>3718971000</v>
      </c>
      <c r="M3433" s="5">
        <v>711353000</v>
      </c>
      <c r="N3433" s="5">
        <v>55615000</v>
      </c>
    </row>
    <row r="3434" spans="1:14" x14ac:dyDescent="0.25">
      <c r="A3434" s="3" t="s">
        <v>3445</v>
      </c>
      <c r="B3434" s="4">
        <v>12.25</v>
      </c>
      <c r="C3434" s="4">
        <v>-0.01</v>
      </c>
      <c r="D3434" s="4">
        <v>-0.01</v>
      </c>
      <c r="E3434" s="4">
        <v>-1.803152208367902E-2</v>
      </c>
      <c r="F3434" s="3">
        <v>3432</v>
      </c>
      <c r="G3434" s="3">
        <v>3</v>
      </c>
      <c r="H3434" s="5">
        <v>1451209172.5799999</v>
      </c>
      <c r="I3434" s="5">
        <v>4752783172.5799999</v>
      </c>
      <c r="J3434" s="5">
        <v>3676630000</v>
      </c>
      <c r="K3434" s="5">
        <v>375056000</v>
      </c>
      <c r="L3434" s="5">
        <v>757451000</v>
      </c>
      <c r="M3434" s="5">
        <v>387840000</v>
      </c>
      <c r="N3434" s="5">
        <v>-46288000</v>
      </c>
    </row>
    <row r="3435" spans="1:14" x14ac:dyDescent="0.25">
      <c r="A3435" s="3" t="s">
        <v>3446</v>
      </c>
      <c r="B3435" s="4">
        <v>13.39</v>
      </c>
      <c r="C3435" s="4">
        <v>0.22</v>
      </c>
      <c r="D3435" s="4">
        <v>0.18</v>
      </c>
      <c r="E3435" s="4">
        <v>-1.80358870668407E-2</v>
      </c>
      <c r="F3435" s="3">
        <v>3433</v>
      </c>
      <c r="G3435" s="3">
        <v>3</v>
      </c>
      <c r="H3435" s="5">
        <v>11981701193.83</v>
      </c>
      <c r="I3435" s="5">
        <v>10945566193.83</v>
      </c>
      <c r="J3435" s="5">
        <v>1094000</v>
      </c>
      <c r="K3435" s="5">
        <v>1037229000</v>
      </c>
      <c r="L3435" s="5">
        <v>3768766000</v>
      </c>
      <c r="M3435" s="5">
        <v>817742000</v>
      </c>
      <c r="N3435" s="5">
        <v>604879000</v>
      </c>
    </row>
    <row r="3436" spans="1:14" x14ac:dyDescent="0.25">
      <c r="A3436" s="3" t="s">
        <v>3447</v>
      </c>
      <c r="B3436" s="4">
        <v>-1.66</v>
      </c>
      <c r="C3436" s="4">
        <v>0.56999999999999995</v>
      </c>
      <c r="D3436" s="4">
        <v>-53.36</v>
      </c>
      <c r="E3436" s="4">
        <v>-1.8037864543199521E-2</v>
      </c>
      <c r="F3436" s="3">
        <v>3434</v>
      </c>
      <c r="G3436" s="3">
        <v>3</v>
      </c>
      <c r="H3436" s="5">
        <v>2782.9829920000002</v>
      </c>
      <c r="I3436" s="5">
        <v>5212382.9829919999</v>
      </c>
      <c r="J3436" s="5">
        <v>5297500</v>
      </c>
      <c r="K3436" s="5">
        <v>87900</v>
      </c>
      <c r="L3436" s="5">
        <v>3483350</v>
      </c>
      <c r="M3436" s="5">
        <v>-3132550</v>
      </c>
      <c r="N3436" s="5">
        <v>-13135530</v>
      </c>
    </row>
    <row r="3437" spans="1:14" x14ac:dyDescent="0.25">
      <c r="A3437" s="3" t="s">
        <v>3448</v>
      </c>
      <c r="B3437" s="4">
        <v>12.69</v>
      </c>
      <c r="C3437" s="4">
        <v>0.08</v>
      </c>
      <c r="D3437" s="4">
        <v>0.02</v>
      </c>
      <c r="E3437" s="4">
        <v>-1.8038017591487779E-2</v>
      </c>
      <c r="F3437" s="3">
        <v>3435</v>
      </c>
      <c r="G3437" s="3">
        <v>3</v>
      </c>
      <c r="H3437" s="5">
        <v>26393539207.950001</v>
      </c>
      <c r="I3437" s="5">
        <v>50305539207.949997</v>
      </c>
      <c r="J3437" s="5">
        <v>24023000000</v>
      </c>
      <c r="K3437" s="5">
        <v>111000000</v>
      </c>
      <c r="L3437" s="5">
        <v>13472000000</v>
      </c>
      <c r="M3437" s="5">
        <v>3963000000</v>
      </c>
      <c r="N3437" s="5">
        <v>978000000</v>
      </c>
    </row>
    <row r="3438" spans="1:14" x14ac:dyDescent="0.25">
      <c r="A3438" s="3" t="s">
        <v>3449</v>
      </c>
      <c r="B3438" s="4">
        <v>10.5</v>
      </c>
      <c r="C3438" s="4">
        <v>-0.37</v>
      </c>
      <c r="D3438" s="4">
        <v>-0.27</v>
      </c>
      <c r="E3438" s="4">
        <v>-1.8038735630226101E-2</v>
      </c>
      <c r="F3438" s="3">
        <v>3436</v>
      </c>
      <c r="G3438" s="3">
        <v>3</v>
      </c>
      <c r="H3438" s="5">
        <v>9045025.5</v>
      </c>
      <c r="I3438" s="5">
        <v>-4369974.5</v>
      </c>
      <c r="J3438" s="5">
        <v>0</v>
      </c>
      <c r="K3438" s="5">
        <v>13415000</v>
      </c>
      <c r="L3438" s="5">
        <v>32493000</v>
      </c>
      <c r="M3438" s="5">
        <v>-416000</v>
      </c>
      <c r="N3438" s="5">
        <v>-11404000</v>
      </c>
    </row>
    <row r="3439" spans="1:14" x14ac:dyDescent="0.25">
      <c r="A3439" s="3" t="s">
        <v>3450</v>
      </c>
      <c r="B3439" s="4">
        <v>-4.55</v>
      </c>
      <c r="C3439" s="4">
        <v>-3.59</v>
      </c>
      <c r="D3439" s="4">
        <v>-0.35</v>
      </c>
      <c r="E3439" s="4">
        <v>-1.8043154727400059E-2</v>
      </c>
      <c r="F3439" s="3">
        <v>3437</v>
      </c>
      <c r="G3439" s="3">
        <v>3</v>
      </c>
      <c r="H3439" s="5">
        <v>163163035</v>
      </c>
      <c r="I3439" s="5">
        <v>275298345</v>
      </c>
      <c r="J3439" s="5">
        <v>173092470</v>
      </c>
      <c r="K3439" s="5">
        <v>60957160</v>
      </c>
      <c r="L3439" s="5">
        <v>273333960</v>
      </c>
      <c r="M3439" s="5">
        <v>-60555240</v>
      </c>
      <c r="N3439" s="5">
        <v>-170196450</v>
      </c>
    </row>
    <row r="3440" spans="1:14" x14ac:dyDescent="0.25">
      <c r="A3440" s="3" t="s">
        <v>3451</v>
      </c>
      <c r="B3440" s="4">
        <v>12.42</v>
      </c>
      <c r="C3440" s="4">
        <v>0.02</v>
      </c>
      <c r="D3440" s="4">
        <v>0.01</v>
      </c>
      <c r="E3440" s="4">
        <v>-1.8046199706330941E-2</v>
      </c>
      <c r="F3440" s="3">
        <v>3438</v>
      </c>
      <c r="G3440" s="3">
        <v>3</v>
      </c>
      <c r="H3440" s="5">
        <v>152244360000</v>
      </c>
      <c r="I3440" s="5">
        <v>168964360000</v>
      </c>
      <c r="J3440" s="5">
        <v>26711000000</v>
      </c>
      <c r="K3440" s="5">
        <v>9991000000</v>
      </c>
      <c r="L3440" s="5">
        <v>28754000000</v>
      </c>
      <c r="M3440" s="5">
        <v>13609000000</v>
      </c>
      <c r="N3440" s="5">
        <v>479000000</v>
      </c>
    </row>
    <row r="3441" spans="1:14" x14ac:dyDescent="0.25">
      <c r="A3441" s="3" t="s">
        <v>3452</v>
      </c>
      <c r="B3441" s="4">
        <v>12.57</v>
      </c>
      <c r="C3441" s="4">
        <v>0.05</v>
      </c>
      <c r="D3441" s="4">
        <v>0.03</v>
      </c>
      <c r="E3441" s="4">
        <v>-1.804849891758872E-2</v>
      </c>
      <c r="F3441" s="3">
        <v>3439</v>
      </c>
      <c r="G3441" s="3">
        <v>3</v>
      </c>
      <c r="H3441" s="5">
        <v>1886999018.24</v>
      </c>
      <c r="I3441" s="5">
        <v>2289399018.2399998</v>
      </c>
      <c r="J3441" s="5">
        <v>446500000</v>
      </c>
      <c r="K3441" s="5">
        <v>44100000</v>
      </c>
      <c r="L3441" s="5">
        <v>805900000</v>
      </c>
      <c r="M3441" s="5">
        <v>182100000</v>
      </c>
      <c r="N3441" s="5">
        <v>39000000</v>
      </c>
    </row>
    <row r="3442" spans="1:14" x14ac:dyDescent="0.25">
      <c r="A3442" s="3" t="s">
        <v>3453</v>
      </c>
      <c r="B3442" s="4">
        <v>13.1</v>
      </c>
      <c r="C3442" s="4">
        <v>0.16</v>
      </c>
      <c r="D3442" s="4">
        <v>7.0000000000000007E-2</v>
      </c>
      <c r="E3442" s="4">
        <v>-1.8050981036064759E-2</v>
      </c>
      <c r="F3442" s="3">
        <v>3440</v>
      </c>
      <c r="G3442" s="3">
        <v>3</v>
      </c>
      <c r="H3442" s="5">
        <v>77507557783.830002</v>
      </c>
      <c r="I3442" s="5">
        <v>88012557783.830002</v>
      </c>
      <c r="J3442" s="5">
        <v>14225000000</v>
      </c>
      <c r="K3442" s="5">
        <v>3720000000</v>
      </c>
      <c r="L3442" s="5">
        <v>35572000000</v>
      </c>
      <c r="M3442" s="5">
        <v>6720000000</v>
      </c>
      <c r="N3442" s="5">
        <v>3492000000</v>
      </c>
    </row>
    <row r="3443" spans="1:14" x14ac:dyDescent="0.25">
      <c r="A3443" s="3" t="s">
        <v>3454</v>
      </c>
      <c r="B3443" s="4">
        <v>12.72</v>
      </c>
      <c r="C3443" s="4">
        <v>0.08</v>
      </c>
      <c r="D3443" s="4">
        <v>0.02</v>
      </c>
      <c r="E3443" s="4">
        <v>-1.8056585208579012E-2</v>
      </c>
      <c r="F3443" s="3">
        <v>3441</v>
      </c>
      <c r="G3443" s="3">
        <v>3</v>
      </c>
      <c r="H3443" s="5">
        <v>5156430988.8000002</v>
      </c>
      <c r="I3443" s="5">
        <v>9845330988.7999992</v>
      </c>
      <c r="J3443" s="5">
        <v>4693400000</v>
      </c>
      <c r="K3443" s="5">
        <v>4500000</v>
      </c>
      <c r="L3443" s="5">
        <v>2593000000</v>
      </c>
      <c r="M3443" s="5">
        <v>774300000</v>
      </c>
      <c r="N3443" s="5">
        <v>250900000</v>
      </c>
    </row>
    <row r="3444" spans="1:14" x14ac:dyDescent="0.25">
      <c r="A3444" s="3" t="s">
        <v>3455</v>
      </c>
      <c r="B3444" s="4">
        <v>14.83</v>
      </c>
      <c r="C3444" s="4">
        <v>0.52</v>
      </c>
      <c r="D3444" s="4">
        <v>0.17</v>
      </c>
      <c r="E3444" s="4">
        <v>-1.8062253503363618E-2</v>
      </c>
      <c r="F3444" s="3">
        <v>3442</v>
      </c>
      <c r="G3444" s="3">
        <v>3</v>
      </c>
      <c r="H3444" s="5">
        <v>53099125354.860001</v>
      </c>
      <c r="I3444" s="5">
        <v>57692125354.860001</v>
      </c>
      <c r="J3444" s="5">
        <v>6578000000</v>
      </c>
      <c r="K3444" s="5">
        <v>1985000000</v>
      </c>
      <c r="L3444" s="5">
        <v>9256000000</v>
      </c>
      <c r="M3444" s="5">
        <v>3891000000</v>
      </c>
      <c r="N3444" s="5">
        <v>2486000000</v>
      </c>
    </row>
    <row r="3445" spans="1:14" x14ac:dyDescent="0.25">
      <c r="A3445" s="3" t="s">
        <v>3456</v>
      </c>
      <c r="B3445" s="4">
        <v>7.55</v>
      </c>
      <c r="C3445" s="4">
        <v>-1.02</v>
      </c>
      <c r="D3445" s="4">
        <v>-0.16</v>
      </c>
      <c r="E3445" s="4">
        <v>-1.806978511317546E-2</v>
      </c>
      <c r="F3445" s="3">
        <v>3443</v>
      </c>
      <c r="G3445" s="3">
        <v>3</v>
      </c>
      <c r="H3445" s="5">
        <v>393015260</v>
      </c>
      <c r="I3445" s="5">
        <v>3269015260</v>
      </c>
      <c r="J3445" s="5">
        <v>3452000000</v>
      </c>
      <c r="K3445" s="5">
        <v>576000000</v>
      </c>
      <c r="L3445" s="5">
        <v>6221000000</v>
      </c>
      <c r="M3445" s="5">
        <v>433000000</v>
      </c>
      <c r="N3445" s="5">
        <v>-1321000000</v>
      </c>
    </row>
    <row r="3446" spans="1:14" x14ac:dyDescent="0.25">
      <c r="A3446" s="3" t="s">
        <v>3457</v>
      </c>
      <c r="B3446" s="4">
        <v>12.57</v>
      </c>
      <c r="C3446" s="4">
        <v>0.04</v>
      </c>
      <c r="D3446" s="4">
        <v>0.02</v>
      </c>
      <c r="E3446" s="4">
        <v>-1.807932155118068E-2</v>
      </c>
      <c r="F3446" s="3">
        <v>3444</v>
      </c>
      <c r="G3446" s="3">
        <v>3</v>
      </c>
      <c r="H3446" s="5">
        <v>3160549771.9200001</v>
      </c>
      <c r="I3446" s="5">
        <v>6431696771.9200001</v>
      </c>
      <c r="J3446" s="5">
        <v>3293559000</v>
      </c>
      <c r="K3446" s="5">
        <v>22412000</v>
      </c>
      <c r="L3446" s="5">
        <v>825862000</v>
      </c>
      <c r="M3446" s="5">
        <v>511786000</v>
      </c>
      <c r="N3446" s="5">
        <v>102248000</v>
      </c>
    </row>
    <row r="3447" spans="1:14" x14ac:dyDescent="0.25">
      <c r="A3447" s="3" t="s">
        <v>3458</v>
      </c>
      <c r="B3447" s="4">
        <v>13.24</v>
      </c>
      <c r="C3447" s="4">
        <v>0.18</v>
      </c>
      <c r="D3447" s="4">
        <v>0.06</v>
      </c>
      <c r="E3447" s="4">
        <v>-1.8081771728372439E-2</v>
      </c>
      <c r="F3447" s="3">
        <v>3445</v>
      </c>
      <c r="G3447" s="3">
        <v>3</v>
      </c>
      <c r="H3447" s="5">
        <v>63001030455.089996</v>
      </c>
      <c r="I3447" s="5">
        <v>78566030455.089996</v>
      </c>
      <c r="J3447" s="5">
        <v>17206000000</v>
      </c>
      <c r="K3447" s="5">
        <v>1641000000</v>
      </c>
      <c r="L3447" s="5">
        <v>12123000000</v>
      </c>
      <c r="M3447" s="5">
        <v>5932000000</v>
      </c>
      <c r="N3447" s="5">
        <v>2622000000</v>
      </c>
    </row>
    <row r="3448" spans="1:14" x14ac:dyDescent="0.25">
      <c r="A3448" s="3" t="s">
        <v>3459</v>
      </c>
      <c r="B3448" s="4">
        <v>10.17</v>
      </c>
      <c r="C3448" s="4">
        <v>-0.45</v>
      </c>
      <c r="D3448" s="4">
        <v>-0.36</v>
      </c>
      <c r="E3448" s="4">
        <v>-1.8083001937535759E-2</v>
      </c>
      <c r="F3448" s="3">
        <v>3446</v>
      </c>
      <c r="G3448" s="3">
        <v>3</v>
      </c>
      <c r="H3448" s="5">
        <v>348614215.18000001</v>
      </c>
      <c r="I3448" s="5">
        <v>310094215.18000001</v>
      </c>
      <c r="J3448" s="5">
        <v>2789000</v>
      </c>
      <c r="K3448" s="5">
        <v>41309000</v>
      </c>
      <c r="L3448" s="5">
        <v>254694000</v>
      </c>
      <c r="M3448" s="5">
        <v>30491000</v>
      </c>
      <c r="N3448" s="5">
        <v>-212845000</v>
      </c>
    </row>
    <row r="3449" spans="1:14" x14ac:dyDescent="0.25">
      <c r="A3449" s="3" t="s">
        <v>3460</v>
      </c>
      <c r="B3449" s="4">
        <v>13.54</v>
      </c>
      <c r="C3449" s="4">
        <v>0.24</v>
      </c>
      <c r="D3449" s="4">
        <v>7.0000000000000007E-2</v>
      </c>
      <c r="E3449" s="4">
        <v>-1.809215723062051E-2</v>
      </c>
      <c r="F3449" s="3">
        <v>3447</v>
      </c>
      <c r="G3449" s="3">
        <v>3</v>
      </c>
      <c r="H3449" s="5">
        <v>10147647313</v>
      </c>
      <c r="I3449" s="5">
        <v>12400647313</v>
      </c>
      <c r="J3449" s="5">
        <v>2261000000</v>
      </c>
      <c r="K3449" s="5">
        <v>8000000</v>
      </c>
      <c r="L3449" s="5">
        <v>7441000000</v>
      </c>
      <c r="M3449" s="5">
        <v>916000000</v>
      </c>
      <c r="N3449" s="5">
        <v>411000000</v>
      </c>
    </row>
    <row r="3450" spans="1:14" x14ac:dyDescent="0.25">
      <c r="A3450" s="3" t="s">
        <v>3461</v>
      </c>
      <c r="B3450" s="4">
        <v>7.07</v>
      </c>
      <c r="C3450" s="4">
        <v>-1.1200000000000001</v>
      </c>
      <c r="D3450" s="4">
        <v>-0.33</v>
      </c>
      <c r="E3450" s="4">
        <v>-1.8094432761677919E-2</v>
      </c>
      <c r="F3450" s="3">
        <v>3448</v>
      </c>
      <c r="G3450" s="3">
        <v>3</v>
      </c>
      <c r="H3450" s="5">
        <v>100224954.72</v>
      </c>
      <c r="I3450" s="5">
        <v>750690954.72000003</v>
      </c>
      <c r="J3450" s="5">
        <v>704821000</v>
      </c>
      <c r="K3450" s="5">
        <v>54355000</v>
      </c>
      <c r="L3450" s="5">
        <v>1559780000</v>
      </c>
      <c r="M3450" s="5">
        <v>106172000</v>
      </c>
      <c r="N3450" s="5">
        <v>-530841000</v>
      </c>
    </row>
    <row r="3451" spans="1:14" x14ac:dyDescent="0.25">
      <c r="A3451" s="3" t="s">
        <v>3462</v>
      </c>
      <c r="B3451" s="4">
        <v>12.6</v>
      </c>
      <c r="C3451" s="4">
        <v>0.04</v>
      </c>
      <c r="D3451" s="4">
        <v>0.03</v>
      </c>
      <c r="E3451" s="4">
        <v>-1.8095960141694411E-2</v>
      </c>
      <c r="F3451" s="3">
        <v>3449</v>
      </c>
      <c r="G3451" s="3">
        <v>3</v>
      </c>
      <c r="H3451" s="5">
        <v>1707015548.7</v>
      </c>
      <c r="I3451" s="5">
        <v>1656735548.7</v>
      </c>
      <c r="J3451" s="5">
        <v>34189000</v>
      </c>
      <c r="K3451" s="5">
        <v>84469000</v>
      </c>
      <c r="L3451" s="5">
        <v>530101000</v>
      </c>
      <c r="M3451" s="5">
        <v>131510000</v>
      </c>
      <c r="N3451" s="5">
        <v>37795000</v>
      </c>
    </row>
    <row r="3452" spans="1:14" x14ac:dyDescent="0.25">
      <c r="A3452" s="3" t="s">
        <v>3463</v>
      </c>
      <c r="B3452" s="4">
        <v>13.07</v>
      </c>
      <c r="C3452" s="4">
        <v>0.14000000000000001</v>
      </c>
      <c r="D3452" s="4">
        <v>0.03</v>
      </c>
      <c r="E3452" s="4">
        <v>-1.8097916739312471E-2</v>
      </c>
      <c r="F3452" s="3">
        <v>3450</v>
      </c>
      <c r="G3452" s="3">
        <v>3</v>
      </c>
      <c r="H3452" s="5">
        <v>1095349644.1600001</v>
      </c>
      <c r="I3452" s="5">
        <v>3233537644.1599998</v>
      </c>
      <c r="J3452" s="5">
        <v>2404076000</v>
      </c>
      <c r="K3452" s="5">
        <v>265888000</v>
      </c>
      <c r="L3452" s="5">
        <v>906949000</v>
      </c>
      <c r="M3452" s="5">
        <v>247371000</v>
      </c>
      <c r="N3452" s="5">
        <v>121746000</v>
      </c>
    </row>
    <row r="3453" spans="1:14" x14ac:dyDescent="0.25">
      <c r="A3453" s="3" t="s">
        <v>3464</v>
      </c>
      <c r="B3453" s="4">
        <v>12.22</v>
      </c>
      <c r="C3453" s="4">
        <v>-0.04</v>
      </c>
      <c r="D3453" s="4">
        <v>-0.01</v>
      </c>
      <c r="E3453" s="4">
        <v>-1.8099635287631151E-2</v>
      </c>
      <c r="F3453" s="3">
        <v>3451</v>
      </c>
      <c r="G3453" s="3">
        <v>3</v>
      </c>
      <c r="H3453" s="5">
        <v>8749370.9000000004</v>
      </c>
      <c r="I3453" s="5">
        <v>242094370.90000001</v>
      </c>
      <c r="J3453" s="5">
        <v>247117720</v>
      </c>
      <c r="K3453" s="5">
        <v>13772720</v>
      </c>
      <c r="L3453" s="5">
        <v>240291610</v>
      </c>
      <c r="M3453" s="5">
        <v>19814100</v>
      </c>
      <c r="N3453" s="5">
        <v>-5887260</v>
      </c>
    </row>
    <row r="3454" spans="1:14" x14ac:dyDescent="0.25">
      <c r="A3454" s="3" t="s">
        <v>3465</v>
      </c>
      <c r="B3454" s="4">
        <v>0.25</v>
      </c>
      <c r="C3454" s="4">
        <v>-2.5499999999999998</v>
      </c>
      <c r="D3454" s="4">
        <v>-0.85</v>
      </c>
      <c r="E3454" s="4">
        <v>-1.8105489661368889E-2</v>
      </c>
      <c r="F3454" s="3">
        <v>3452</v>
      </c>
      <c r="G3454" s="3">
        <v>3</v>
      </c>
      <c r="H3454" s="5">
        <v>19054.690500000001</v>
      </c>
      <c r="I3454" s="5">
        <v>-2468675.3095</v>
      </c>
      <c r="J3454" s="5">
        <v>912440</v>
      </c>
      <c r="K3454" s="5">
        <v>3400170</v>
      </c>
      <c r="L3454" s="5">
        <v>42678660</v>
      </c>
      <c r="M3454" s="5">
        <v>-10004890</v>
      </c>
      <c r="N3454" s="5">
        <v>-18258220</v>
      </c>
    </row>
    <row r="3455" spans="1:14" x14ac:dyDescent="0.25">
      <c r="A3455" s="3" t="s">
        <v>3466</v>
      </c>
      <c r="B3455" s="4">
        <v>12.71</v>
      </c>
      <c r="C3455" s="4">
        <v>0.06</v>
      </c>
      <c r="D3455" s="4">
        <v>0.02</v>
      </c>
      <c r="E3455" s="4">
        <v>-1.810818321691085E-2</v>
      </c>
      <c r="F3455" s="3">
        <v>3453</v>
      </c>
      <c r="G3455" s="3">
        <v>3</v>
      </c>
      <c r="H3455" s="5">
        <v>233735625.86000001</v>
      </c>
      <c r="I3455" s="5">
        <v>295657625.86000001</v>
      </c>
      <c r="J3455" s="5">
        <v>122902000</v>
      </c>
      <c r="K3455" s="5">
        <v>60980000</v>
      </c>
      <c r="L3455" s="5">
        <v>71206000</v>
      </c>
      <c r="M3455" s="5">
        <v>23253000</v>
      </c>
      <c r="N3455" s="5">
        <v>15693000</v>
      </c>
    </row>
    <row r="3456" spans="1:14" x14ac:dyDescent="0.25">
      <c r="A3456" s="3" t="s">
        <v>3467</v>
      </c>
      <c r="B3456" s="4">
        <v>11.81</v>
      </c>
      <c r="C3456" s="4">
        <v>-0.13</v>
      </c>
      <c r="D3456" s="4">
        <v>-0.06</v>
      </c>
      <c r="E3456" s="4">
        <v>-1.8115565450068628E-2</v>
      </c>
      <c r="F3456" s="3">
        <v>3454</v>
      </c>
      <c r="G3456" s="3">
        <v>3</v>
      </c>
      <c r="H3456" s="5">
        <v>6304702393.7700005</v>
      </c>
      <c r="I3456" s="5">
        <v>10970903393.77</v>
      </c>
      <c r="J3456" s="5">
        <v>4735117000</v>
      </c>
      <c r="K3456" s="5">
        <v>68916000</v>
      </c>
      <c r="L3456" s="5">
        <v>1268316000</v>
      </c>
      <c r="M3456" s="5">
        <v>929227000</v>
      </c>
      <c r="N3456" s="5">
        <v>-654485000</v>
      </c>
    </row>
    <row r="3457" spans="1:14" x14ac:dyDescent="0.25">
      <c r="A3457" s="3" t="s">
        <v>3468</v>
      </c>
      <c r="B3457" s="4">
        <v>13.02</v>
      </c>
      <c r="C3457" s="4">
        <v>0.12</v>
      </c>
      <c r="D3457" s="4">
        <v>7.0000000000000007E-2</v>
      </c>
      <c r="E3457" s="4">
        <v>-1.8117041818545971E-2</v>
      </c>
      <c r="F3457" s="3">
        <v>3455</v>
      </c>
      <c r="G3457" s="3">
        <v>3</v>
      </c>
      <c r="H3457" s="5">
        <v>50128084.799999997</v>
      </c>
      <c r="I3457" s="5">
        <v>52313274.799999997</v>
      </c>
      <c r="J3457" s="5">
        <v>5105740</v>
      </c>
      <c r="K3457" s="5">
        <v>2920550</v>
      </c>
      <c r="L3457" s="5">
        <v>16288880</v>
      </c>
      <c r="M3457" s="5">
        <v>4017450</v>
      </c>
      <c r="N3457" s="5">
        <v>1966410</v>
      </c>
    </row>
    <row r="3458" spans="1:14" x14ac:dyDescent="0.25">
      <c r="A3458" s="3" t="s">
        <v>3469</v>
      </c>
      <c r="B3458" s="4">
        <v>13.13</v>
      </c>
      <c r="C3458" s="4">
        <v>0.14000000000000001</v>
      </c>
      <c r="D3458" s="4">
        <v>0.08</v>
      </c>
      <c r="E3458" s="4">
        <v>-1.812540684060741E-2</v>
      </c>
      <c r="F3458" s="3">
        <v>3456</v>
      </c>
      <c r="G3458" s="3">
        <v>3</v>
      </c>
      <c r="H3458" s="5">
        <v>4835890375.3599997</v>
      </c>
      <c r="I3458" s="5">
        <v>5265361375.3599997</v>
      </c>
      <c r="J3458" s="5">
        <v>485699000</v>
      </c>
      <c r="K3458" s="5">
        <v>56228000</v>
      </c>
      <c r="L3458" s="5">
        <v>3769521000</v>
      </c>
      <c r="M3458" s="5">
        <v>400950000</v>
      </c>
      <c r="N3458" s="5">
        <v>199328000</v>
      </c>
    </row>
    <row r="3459" spans="1:14" x14ac:dyDescent="0.25">
      <c r="A3459" s="3" t="s">
        <v>3470</v>
      </c>
      <c r="B3459" s="4">
        <v>12.56</v>
      </c>
      <c r="C3459" s="4">
        <v>0.02</v>
      </c>
      <c r="D3459" s="4">
        <v>0.01</v>
      </c>
      <c r="E3459" s="4">
        <v>-1.8132848586090031E-2</v>
      </c>
      <c r="F3459" s="3">
        <v>3457</v>
      </c>
      <c r="G3459" s="3">
        <v>3</v>
      </c>
      <c r="H3459" s="5">
        <v>1495731363.78</v>
      </c>
      <c r="I3459" s="5">
        <v>2230076363.7800002</v>
      </c>
      <c r="J3459" s="5">
        <v>790483000</v>
      </c>
      <c r="K3459" s="5">
        <v>56138000</v>
      </c>
      <c r="L3459" s="5">
        <v>1409281000</v>
      </c>
      <c r="M3459" s="5">
        <v>177606000</v>
      </c>
      <c r="N3459" s="5">
        <v>15974000</v>
      </c>
    </row>
    <row r="3460" spans="1:14" x14ac:dyDescent="0.25">
      <c r="A3460" s="3" t="s">
        <v>3471</v>
      </c>
      <c r="B3460" s="4">
        <v>13.11</v>
      </c>
      <c r="C3460" s="4">
        <v>0.13</v>
      </c>
      <c r="D3460" s="4">
        <v>0.09</v>
      </c>
      <c r="E3460" s="4">
        <v>-1.8139993009650201E-2</v>
      </c>
      <c r="F3460" s="3">
        <v>3458</v>
      </c>
      <c r="G3460" s="3">
        <v>3</v>
      </c>
      <c r="H3460" s="5">
        <v>4138257112.5</v>
      </c>
      <c r="I3460" s="5">
        <v>3658783112.5</v>
      </c>
      <c r="J3460" s="5">
        <v>130864000</v>
      </c>
      <c r="K3460" s="5">
        <v>610338000</v>
      </c>
      <c r="L3460" s="5">
        <v>2483448000</v>
      </c>
      <c r="M3460" s="5">
        <v>279032000</v>
      </c>
      <c r="N3460" s="5">
        <v>198413000</v>
      </c>
    </row>
    <row r="3461" spans="1:14" x14ac:dyDescent="0.25">
      <c r="A3461" s="3" t="s">
        <v>3472</v>
      </c>
      <c r="B3461" s="4">
        <v>12.81</v>
      </c>
      <c r="C3461" s="4">
        <v>7.0000000000000007E-2</v>
      </c>
      <c r="D3461" s="4">
        <v>0.02</v>
      </c>
      <c r="E3461" s="4">
        <v>-1.8141181666867168E-2</v>
      </c>
      <c r="F3461" s="3">
        <v>3459</v>
      </c>
      <c r="G3461" s="3">
        <v>3</v>
      </c>
      <c r="H3461" s="5">
        <v>4653310922.7600002</v>
      </c>
      <c r="I3461" s="5">
        <v>9184696922.7600002</v>
      </c>
      <c r="J3461" s="5">
        <v>5127469000</v>
      </c>
      <c r="K3461" s="5">
        <v>596083000</v>
      </c>
      <c r="L3461" s="5">
        <v>1750689000</v>
      </c>
      <c r="M3461" s="5">
        <v>717132000</v>
      </c>
      <c r="N3461" s="5">
        <v>197703000</v>
      </c>
    </row>
    <row r="3462" spans="1:14" x14ac:dyDescent="0.25">
      <c r="A3462" s="3" t="s">
        <v>3473</v>
      </c>
      <c r="B3462" s="4">
        <v>-1.08</v>
      </c>
      <c r="C3462" s="4">
        <v>-2.83</v>
      </c>
      <c r="D3462" s="4">
        <v>-1.17</v>
      </c>
      <c r="E3462" s="4">
        <v>-1.8153075150542611E-2</v>
      </c>
      <c r="F3462" s="3">
        <v>3460</v>
      </c>
      <c r="G3462" s="3">
        <v>3</v>
      </c>
      <c r="H3462" s="5">
        <v>12442920.32</v>
      </c>
      <c r="I3462" s="5">
        <v>8876920.3200000003</v>
      </c>
      <c r="J3462" s="5">
        <v>32000</v>
      </c>
      <c r="K3462" s="5">
        <v>3598000</v>
      </c>
      <c r="L3462" s="5">
        <v>2887000</v>
      </c>
      <c r="M3462" s="5">
        <v>-8191000</v>
      </c>
      <c r="N3462" s="5">
        <v>-11024000</v>
      </c>
    </row>
    <row r="3463" spans="1:14" x14ac:dyDescent="0.25">
      <c r="A3463" s="3" t="s">
        <v>3474</v>
      </c>
      <c r="B3463" s="4">
        <v>13.48</v>
      </c>
      <c r="C3463" s="4">
        <v>0.2</v>
      </c>
      <c r="D3463" s="4">
        <v>0.16</v>
      </c>
      <c r="E3463" s="4">
        <v>-1.8153235185298329E-2</v>
      </c>
      <c r="F3463" s="3">
        <v>3461</v>
      </c>
      <c r="G3463" s="3">
        <v>3</v>
      </c>
      <c r="H3463" s="5">
        <v>977124696.57000005</v>
      </c>
      <c r="I3463" s="5">
        <v>955329696.57000005</v>
      </c>
      <c r="J3463" s="5">
        <v>292000</v>
      </c>
      <c r="K3463" s="5">
        <v>22087000</v>
      </c>
      <c r="L3463" s="5">
        <v>420400000</v>
      </c>
      <c r="M3463" s="5">
        <v>70867000</v>
      </c>
      <c r="N3463" s="5">
        <v>45489000</v>
      </c>
    </row>
    <row r="3464" spans="1:14" x14ac:dyDescent="0.25">
      <c r="A3464" s="3" t="s">
        <v>3475</v>
      </c>
      <c r="B3464" s="4">
        <v>12.65</v>
      </c>
      <c r="C3464" s="4">
        <v>0.03</v>
      </c>
      <c r="D3464" s="4">
        <v>0.02</v>
      </c>
      <c r="E3464" s="4">
        <v>-1.8157728803771759E-2</v>
      </c>
      <c r="F3464" s="3">
        <v>3462</v>
      </c>
      <c r="G3464" s="3">
        <v>3</v>
      </c>
      <c r="H3464" s="5">
        <v>479242141.56</v>
      </c>
      <c r="I3464" s="5">
        <v>431411141.56</v>
      </c>
      <c r="J3464" s="5">
        <v>31441000</v>
      </c>
      <c r="K3464" s="5">
        <v>79272000</v>
      </c>
      <c r="L3464" s="5">
        <v>306522000</v>
      </c>
      <c r="M3464" s="5">
        <v>34100000</v>
      </c>
      <c r="N3464" s="5">
        <v>9911000</v>
      </c>
    </row>
    <row r="3465" spans="1:14" x14ac:dyDescent="0.25">
      <c r="A3465" s="3" t="s">
        <v>3476</v>
      </c>
      <c r="B3465" s="4">
        <v>0.21</v>
      </c>
      <c r="C3465" s="4">
        <v>-2.5499999999999998</v>
      </c>
      <c r="D3465" s="4">
        <v>-1.26</v>
      </c>
      <c r="E3465" s="4">
        <v>-1.815982292825832E-2</v>
      </c>
      <c r="F3465" s="3">
        <v>3463</v>
      </c>
      <c r="G3465" s="3">
        <v>3</v>
      </c>
      <c r="H3465" s="5">
        <v>6808.8055000000004</v>
      </c>
      <c r="I3465" s="5">
        <v>-2645891.1945000002</v>
      </c>
      <c r="J3465" s="5">
        <v>331830</v>
      </c>
      <c r="K3465" s="5">
        <v>2984530</v>
      </c>
      <c r="L3465" s="5">
        <v>11932330</v>
      </c>
      <c r="M3465" s="5">
        <v>-12332790</v>
      </c>
      <c r="N3465" s="5">
        <v>-12970020</v>
      </c>
    </row>
    <row r="3466" spans="1:14" x14ac:dyDescent="0.25">
      <c r="A3466" s="3" t="s">
        <v>3477</v>
      </c>
      <c r="B3466" s="4">
        <v>13.52</v>
      </c>
      <c r="C3466" s="4">
        <v>0.21</v>
      </c>
      <c r="D3466" s="4">
        <v>0.09</v>
      </c>
      <c r="E3466" s="4">
        <v>-1.8162601587114711E-2</v>
      </c>
      <c r="F3466" s="3">
        <v>3464</v>
      </c>
      <c r="G3466" s="3">
        <v>3</v>
      </c>
      <c r="H3466" s="5">
        <v>2889152792.7600002</v>
      </c>
      <c r="I3466" s="5">
        <v>3223848792.7600002</v>
      </c>
      <c r="J3466" s="5">
        <v>356607000</v>
      </c>
      <c r="K3466" s="5">
        <v>21911000</v>
      </c>
      <c r="L3466" s="5">
        <v>1521805000</v>
      </c>
      <c r="M3466" s="5">
        <v>238397000</v>
      </c>
      <c r="N3466" s="5">
        <v>116626000</v>
      </c>
    </row>
    <row r="3467" spans="1:14" x14ac:dyDescent="0.25">
      <c r="A3467" s="3" t="s">
        <v>3478</v>
      </c>
      <c r="B3467" s="4">
        <v>13.03</v>
      </c>
      <c r="C3467" s="4">
        <v>0.11</v>
      </c>
      <c r="D3467" s="4">
        <v>0.01</v>
      </c>
      <c r="E3467" s="4">
        <v>-1.8163698790722549E-2</v>
      </c>
      <c r="F3467" s="3">
        <v>3465</v>
      </c>
      <c r="G3467" s="3">
        <v>3</v>
      </c>
      <c r="H3467" s="5">
        <v>4490776840.8599997</v>
      </c>
      <c r="I3467" s="5">
        <v>6534646840.8599997</v>
      </c>
      <c r="J3467" s="5">
        <v>2321112000</v>
      </c>
      <c r="K3467" s="5">
        <v>277242000</v>
      </c>
      <c r="L3467" s="5">
        <v>1100441000</v>
      </c>
      <c r="M3467" s="5">
        <v>501523000</v>
      </c>
      <c r="N3467" s="5">
        <v>44398000</v>
      </c>
    </row>
    <row r="3468" spans="1:14" x14ac:dyDescent="0.25">
      <c r="A3468" s="3" t="s">
        <v>3479</v>
      </c>
      <c r="B3468" s="4">
        <v>13.34</v>
      </c>
      <c r="C3468" s="4">
        <v>0.17</v>
      </c>
      <c r="D3468" s="4">
        <v>0.09</v>
      </c>
      <c r="E3468" s="4">
        <v>-1.816677031262515E-2</v>
      </c>
      <c r="F3468" s="3">
        <v>3466</v>
      </c>
      <c r="G3468" s="3">
        <v>3</v>
      </c>
      <c r="H3468" s="5">
        <v>4526493729.0299997</v>
      </c>
      <c r="I3468" s="5">
        <v>5196458729.0299997</v>
      </c>
      <c r="J3468" s="5">
        <v>930817000</v>
      </c>
      <c r="K3468" s="5">
        <v>260852000</v>
      </c>
      <c r="L3468" s="5">
        <v>4790904000</v>
      </c>
      <c r="M3468" s="5">
        <v>389491000</v>
      </c>
      <c r="N3468" s="5">
        <v>724634000</v>
      </c>
    </row>
    <row r="3469" spans="1:14" x14ac:dyDescent="0.25">
      <c r="A3469" s="3" t="s">
        <v>3480</v>
      </c>
      <c r="B3469" s="4">
        <v>13.73</v>
      </c>
      <c r="C3469" s="4">
        <v>0.24</v>
      </c>
      <c r="D3469" s="4">
        <v>0.21</v>
      </c>
      <c r="E3469" s="4">
        <v>-1.81827457667799E-2</v>
      </c>
      <c r="F3469" s="3">
        <v>3467</v>
      </c>
      <c r="G3469" s="3">
        <v>3</v>
      </c>
      <c r="H3469" s="5">
        <v>154966965</v>
      </c>
      <c r="I3469" s="5">
        <v>142325965</v>
      </c>
      <c r="J3469" s="5">
        <v>0</v>
      </c>
      <c r="K3469" s="5">
        <v>12641000</v>
      </c>
      <c r="L3469" s="5">
        <v>49012000</v>
      </c>
      <c r="M3469" s="5">
        <v>10367000</v>
      </c>
      <c r="N3469" s="5">
        <v>7636000</v>
      </c>
    </row>
    <row r="3470" spans="1:14" x14ac:dyDescent="0.25">
      <c r="A3470" s="3" t="s">
        <v>3481</v>
      </c>
      <c r="B3470" s="4">
        <v>13.12</v>
      </c>
      <c r="C3470" s="4">
        <v>0.12</v>
      </c>
      <c r="D3470" s="4">
        <v>0.04</v>
      </c>
      <c r="E3470" s="4">
        <v>-1.818472095524927E-2</v>
      </c>
      <c r="F3470" s="3">
        <v>3468</v>
      </c>
      <c r="G3470" s="3">
        <v>3</v>
      </c>
      <c r="H3470" s="5">
        <v>20925349807.25</v>
      </c>
      <c r="I3470" s="5">
        <v>27367849807.25</v>
      </c>
      <c r="J3470" s="5">
        <v>7009600000</v>
      </c>
      <c r="K3470" s="5">
        <v>567100000</v>
      </c>
      <c r="L3470" s="5">
        <v>5882000000</v>
      </c>
      <c r="M3470" s="5">
        <v>2086000000</v>
      </c>
      <c r="N3470" s="5">
        <v>760500000</v>
      </c>
    </row>
    <row r="3471" spans="1:14" x14ac:dyDescent="0.25">
      <c r="A3471" s="3" t="s">
        <v>3482</v>
      </c>
      <c r="B3471" s="4">
        <v>13.49</v>
      </c>
      <c r="C3471" s="4">
        <v>0.19</v>
      </c>
      <c r="D3471" s="4">
        <v>0.14000000000000001</v>
      </c>
      <c r="E3471" s="4">
        <v>-1.8192176051164868E-2</v>
      </c>
      <c r="F3471" s="3">
        <v>3469</v>
      </c>
      <c r="G3471" s="3">
        <v>3</v>
      </c>
      <c r="H3471" s="5">
        <v>104797886.15000001</v>
      </c>
      <c r="I3471" s="5">
        <v>99461886.150000006</v>
      </c>
      <c r="J3471" s="5">
        <v>0</v>
      </c>
      <c r="K3471" s="5">
        <v>5336000</v>
      </c>
      <c r="L3471" s="5">
        <v>46863000</v>
      </c>
      <c r="M3471" s="5">
        <v>7373000</v>
      </c>
      <c r="N3471" s="5">
        <v>5074000</v>
      </c>
    </row>
    <row r="3472" spans="1:14" x14ac:dyDescent="0.25">
      <c r="A3472" s="3" t="s">
        <v>3483</v>
      </c>
      <c r="B3472" s="4">
        <v>12.16</v>
      </c>
      <c r="C3472" s="4">
        <v>-0.09</v>
      </c>
      <c r="D3472" s="4">
        <v>-0.05</v>
      </c>
      <c r="E3472" s="4">
        <v>-1.8214684194831E-2</v>
      </c>
      <c r="F3472" s="3">
        <v>3470</v>
      </c>
      <c r="G3472" s="3">
        <v>3</v>
      </c>
      <c r="H3472" s="5">
        <v>239124394.18000001</v>
      </c>
      <c r="I3472" s="5">
        <v>453624394.18000013</v>
      </c>
      <c r="J3472" s="5">
        <v>318100000</v>
      </c>
      <c r="K3472" s="5">
        <v>103600000</v>
      </c>
      <c r="L3472" s="5">
        <v>1048100000</v>
      </c>
      <c r="M3472" s="5">
        <v>37300000</v>
      </c>
      <c r="N3472" s="5">
        <v>-62600000</v>
      </c>
    </row>
    <row r="3473" spans="1:14" x14ac:dyDescent="0.25">
      <c r="A3473" s="3" t="s">
        <v>3484</v>
      </c>
      <c r="B3473" s="4">
        <v>13.29</v>
      </c>
      <c r="C3473" s="4">
        <v>0.14000000000000001</v>
      </c>
      <c r="D3473" s="4">
        <v>7.0000000000000007E-2</v>
      </c>
      <c r="E3473" s="4">
        <v>-1.8226363158338151E-2</v>
      </c>
      <c r="F3473" s="3">
        <v>3471</v>
      </c>
      <c r="G3473" s="3">
        <v>3</v>
      </c>
      <c r="H3473" s="5">
        <v>4977985505.04</v>
      </c>
      <c r="I3473" s="5">
        <v>5686168505.04</v>
      </c>
      <c r="J3473" s="5">
        <v>924577000</v>
      </c>
      <c r="K3473" s="5">
        <v>216394000</v>
      </c>
      <c r="L3473" s="5">
        <v>1594288000</v>
      </c>
      <c r="M3473" s="5">
        <v>427697000</v>
      </c>
      <c r="N3473" s="5">
        <v>203118000</v>
      </c>
    </row>
    <row r="3474" spans="1:14" x14ac:dyDescent="0.25">
      <c r="A3474" s="3" t="s">
        <v>3485</v>
      </c>
      <c r="B3474" s="4">
        <v>13.21</v>
      </c>
      <c r="C3474" s="4">
        <v>0.12</v>
      </c>
      <c r="D3474" s="4">
        <v>0.03</v>
      </c>
      <c r="E3474" s="4">
        <v>-1.824235283310047E-2</v>
      </c>
      <c r="F3474" s="3">
        <v>3472</v>
      </c>
      <c r="G3474" s="3">
        <v>3</v>
      </c>
      <c r="H3474" s="5">
        <v>27829523608</v>
      </c>
      <c r="I3474" s="5">
        <v>50858523608</v>
      </c>
      <c r="J3474" s="5">
        <v>23053000000</v>
      </c>
      <c r="K3474" s="5">
        <v>24000000</v>
      </c>
      <c r="L3474" s="5">
        <v>12457000000</v>
      </c>
      <c r="M3474" s="5">
        <v>3851000000</v>
      </c>
      <c r="N3474" s="5">
        <v>1404000000</v>
      </c>
    </row>
    <row r="3475" spans="1:14" x14ac:dyDescent="0.25">
      <c r="A3475" s="3" t="s">
        <v>3486</v>
      </c>
      <c r="B3475" s="4">
        <v>12.89</v>
      </c>
      <c r="C3475" s="4">
        <v>0.05</v>
      </c>
      <c r="D3475" s="4">
        <v>0.03</v>
      </c>
      <c r="E3475" s="4">
        <v>-1.82465534998952E-2</v>
      </c>
      <c r="F3475" s="3">
        <v>3473</v>
      </c>
      <c r="G3475" s="3">
        <v>3</v>
      </c>
      <c r="H3475" s="5">
        <v>366216553.19999999</v>
      </c>
      <c r="I3475" s="5">
        <v>402519553.19999999</v>
      </c>
      <c r="J3475" s="5">
        <v>41284000</v>
      </c>
      <c r="K3475" s="5">
        <v>4981000</v>
      </c>
      <c r="L3475" s="5">
        <v>266765000</v>
      </c>
      <c r="M3475" s="5">
        <v>31217000</v>
      </c>
      <c r="N3475" s="5">
        <v>13436000</v>
      </c>
    </row>
    <row r="3476" spans="1:14" x14ac:dyDescent="0.25">
      <c r="A3476" s="3" t="s">
        <v>3487</v>
      </c>
      <c r="B3476" s="4">
        <v>13.18</v>
      </c>
      <c r="C3476" s="4">
        <v>0.11</v>
      </c>
      <c r="D3476" s="4">
        <v>0.04</v>
      </c>
      <c r="E3476" s="4">
        <v>-1.825074979644619E-2</v>
      </c>
      <c r="F3476" s="3">
        <v>3474</v>
      </c>
      <c r="G3476" s="3">
        <v>3</v>
      </c>
      <c r="H3476" s="5">
        <v>215906497.74000001</v>
      </c>
      <c r="I3476" s="5">
        <v>363651397.74000001</v>
      </c>
      <c r="J3476" s="5">
        <v>148639090</v>
      </c>
      <c r="K3476" s="5">
        <v>894190</v>
      </c>
      <c r="L3476" s="5">
        <v>84641230</v>
      </c>
      <c r="M3476" s="5">
        <v>27599850</v>
      </c>
      <c r="N3476" s="5">
        <v>11760900</v>
      </c>
    </row>
    <row r="3477" spans="1:14" x14ac:dyDescent="0.25">
      <c r="A3477" s="3" t="s">
        <v>3488</v>
      </c>
      <c r="B3477" s="4">
        <v>12.95</v>
      </c>
      <c r="C3477" s="4">
        <v>0.06</v>
      </c>
      <c r="D3477" s="4">
        <v>0.03</v>
      </c>
      <c r="E3477" s="4">
        <v>-1.8254795127063211E-2</v>
      </c>
      <c r="F3477" s="3">
        <v>3475</v>
      </c>
      <c r="G3477" s="3">
        <v>3</v>
      </c>
      <c r="H3477" s="5">
        <v>3910603236.6900001</v>
      </c>
      <c r="I3477" s="5">
        <v>5678903236.6900005</v>
      </c>
      <c r="J3477" s="5">
        <v>1801100000</v>
      </c>
      <c r="K3477" s="5">
        <v>32800000</v>
      </c>
      <c r="L3477" s="5">
        <v>1529800000</v>
      </c>
      <c r="M3477" s="5">
        <v>438500000</v>
      </c>
      <c r="N3477" s="5">
        <v>179300000</v>
      </c>
    </row>
    <row r="3478" spans="1:14" x14ac:dyDescent="0.25">
      <c r="A3478" s="3" t="s">
        <v>3489</v>
      </c>
      <c r="B3478" s="4">
        <v>-0.34</v>
      </c>
      <c r="C3478" s="4">
        <v>-2.7</v>
      </c>
      <c r="D3478" s="4">
        <v>-1.28</v>
      </c>
      <c r="E3478" s="4">
        <v>-1.8256678773290951E-2</v>
      </c>
      <c r="F3478" s="3">
        <v>3476</v>
      </c>
      <c r="G3478" s="3">
        <v>3</v>
      </c>
      <c r="H3478" s="5">
        <v>5851503.3600000003</v>
      </c>
      <c r="I3478" s="5">
        <v>2700323.36</v>
      </c>
      <c r="J3478" s="5">
        <v>19560</v>
      </c>
      <c r="K3478" s="5">
        <v>3170740</v>
      </c>
      <c r="L3478" s="5">
        <v>41890</v>
      </c>
      <c r="M3478" s="5">
        <v>-7938530</v>
      </c>
      <c r="N3478" s="5">
        <v>-9130270</v>
      </c>
    </row>
    <row r="3479" spans="1:14" x14ac:dyDescent="0.25">
      <c r="A3479" s="3" t="s">
        <v>3490</v>
      </c>
      <c r="B3479" s="4">
        <v>13.42</v>
      </c>
      <c r="C3479" s="4">
        <v>0.15</v>
      </c>
      <c r="D3479" s="4">
        <v>0.06</v>
      </c>
      <c r="E3479" s="4">
        <v>-1.827985825196321E-2</v>
      </c>
      <c r="F3479" s="3">
        <v>3477</v>
      </c>
      <c r="G3479" s="3">
        <v>3</v>
      </c>
      <c r="H3479" s="5">
        <v>4727029138.5200005</v>
      </c>
      <c r="I3479" s="5">
        <v>5497321138.5200005</v>
      </c>
      <c r="J3479" s="5">
        <v>1140594000</v>
      </c>
      <c r="K3479" s="5">
        <v>370302000</v>
      </c>
      <c r="L3479" s="5">
        <v>2460979000</v>
      </c>
      <c r="M3479" s="5">
        <v>409779000</v>
      </c>
      <c r="N3479" s="5">
        <v>198433000</v>
      </c>
    </row>
    <row r="3480" spans="1:14" x14ac:dyDescent="0.25">
      <c r="A3480" s="3" t="s">
        <v>3491</v>
      </c>
      <c r="B3480" s="4">
        <v>13.41</v>
      </c>
      <c r="C3480" s="4">
        <v>0.15</v>
      </c>
      <c r="D3480" s="4">
        <v>0.02</v>
      </c>
      <c r="E3480" s="4">
        <v>-1.828138515257615E-2</v>
      </c>
      <c r="F3480" s="3">
        <v>3478</v>
      </c>
      <c r="G3480" s="3">
        <v>3</v>
      </c>
      <c r="H3480" s="5">
        <v>725400350.48000002</v>
      </c>
      <c r="I3480" s="5">
        <v>2247717350.48</v>
      </c>
      <c r="J3480" s="5">
        <v>1532616000</v>
      </c>
      <c r="K3480" s="5">
        <v>10299000</v>
      </c>
      <c r="L3480" s="5">
        <v>269707000</v>
      </c>
      <c r="M3480" s="5">
        <v>167620000</v>
      </c>
      <c r="N3480" s="5">
        <v>50649000</v>
      </c>
    </row>
    <row r="3481" spans="1:14" x14ac:dyDescent="0.25">
      <c r="A3481" s="3" t="s">
        <v>3492</v>
      </c>
      <c r="B3481" s="4">
        <v>12.9</v>
      </c>
      <c r="C3481" s="4">
        <v>0.04</v>
      </c>
      <c r="D3481" s="4">
        <v>0.02</v>
      </c>
      <c r="E3481" s="4">
        <v>-1.8283565339184241E-2</v>
      </c>
      <c r="F3481" s="3">
        <v>3479</v>
      </c>
      <c r="G3481" s="3">
        <v>3</v>
      </c>
      <c r="H3481" s="5">
        <v>43238297000</v>
      </c>
      <c r="I3481" s="5">
        <v>42835297000</v>
      </c>
      <c r="J3481" s="5">
        <v>2703000000</v>
      </c>
      <c r="K3481" s="5">
        <v>3106000000</v>
      </c>
      <c r="L3481" s="5">
        <v>16908000000</v>
      </c>
      <c r="M3481" s="5">
        <v>3320000000</v>
      </c>
      <c r="N3481" s="5">
        <v>907000000</v>
      </c>
    </row>
    <row r="3482" spans="1:14" x14ac:dyDescent="0.25">
      <c r="A3482" s="3" t="s">
        <v>3493</v>
      </c>
      <c r="B3482" s="4">
        <v>13.35</v>
      </c>
      <c r="C3482" s="4">
        <v>0.13</v>
      </c>
      <c r="D3482" s="4">
        <v>0.03</v>
      </c>
      <c r="E3482" s="4">
        <v>-1.8300108105845099E-2</v>
      </c>
      <c r="F3482" s="3">
        <v>3480</v>
      </c>
      <c r="G3482" s="3">
        <v>3</v>
      </c>
      <c r="H3482" s="5">
        <v>100651993698.63</v>
      </c>
      <c r="I3482" s="5">
        <v>164405993698.63</v>
      </c>
      <c r="J3482" s="5">
        <v>64824000000</v>
      </c>
      <c r="K3482" s="5">
        <v>1070000000</v>
      </c>
      <c r="L3482" s="5">
        <v>26724000000</v>
      </c>
      <c r="M3482" s="5">
        <v>12313000000</v>
      </c>
      <c r="N3482" s="5">
        <v>4401000000</v>
      </c>
    </row>
    <row r="3483" spans="1:14" x14ac:dyDescent="0.25">
      <c r="A3483" s="3" t="s">
        <v>3494</v>
      </c>
      <c r="B3483" s="4">
        <v>15.09</v>
      </c>
      <c r="C3483" s="4">
        <v>0.49</v>
      </c>
      <c r="D3483" s="4">
        <v>0.17</v>
      </c>
      <c r="E3483" s="4">
        <v>-1.8309853672531001E-2</v>
      </c>
      <c r="F3483" s="3">
        <v>3481</v>
      </c>
      <c r="G3483" s="3">
        <v>3</v>
      </c>
      <c r="H3483" s="5">
        <v>2674165816.6500001</v>
      </c>
      <c r="I3483" s="5">
        <v>3169465816.6500001</v>
      </c>
      <c r="J3483" s="5">
        <v>528200000</v>
      </c>
      <c r="K3483" s="5">
        <v>32900000</v>
      </c>
      <c r="L3483" s="5">
        <v>2220300000</v>
      </c>
      <c r="M3483" s="5">
        <v>210000000</v>
      </c>
      <c r="N3483" s="5">
        <v>336800000</v>
      </c>
    </row>
    <row r="3484" spans="1:14" x14ac:dyDescent="0.25">
      <c r="A3484" s="3" t="s">
        <v>3495</v>
      </c>
      <c r="B3484" s="4">
        <v>0.38</v>
      </c>
      <c r="C3484" s="4">
        <v>-2.6</v>
      </c>
      <c r="D3484" s="4">
        <v>-0.75</v>
      </c>
      <c r="E3484" s="4">
        <v>-1.8311127104728129E-2</v>
      </c>
      <c r="F3484" s="3">
        <v>3482</v>
      </c>
      <c r="G3484" s="3">
        <v>3</v>
      </c>
      <c r="H3484" s="5">
        <v>3222996.2401000001</v>
      </c>
      <c r="I3484" s="5">
        <v>-9086453.7598999999</v>
      </c>
      <c r="J3484" s="5">
        <v>4624750</v>
      </c>
      <c r="K3484" s="5">
        <v>16934200</v>
      </c>
      <c r="L3484" s="5">
        <v>-4866080</v>
      </c>
      <c r="M3484" s="5">
        <v>-23789800</v>
      </c>
      <c r="N3484" s="5">
        <v>-27449500</v>
      </c>
    </row>
    <row r="3485" spans="1:14" x14ac:dyDescent="0.25">
      <c r="A3485" s="3" t="s">
        <v>3496</v>
      </c>
      <c r="B3485" s="4">
        <v>12.85</v>
      </c>
      <c r="C3485" s="4">
        <v>0.02</v>
      </c>
      <c r="D3485" s="4">
        <v>0.01</v>
      </c>
      <c r="E3485" s="4">
        <v>-1.8312335551305282E-2</v>
      </c>
      <c r="F3485" s="3">
        <v>3483</v>
      </c>
      <c r="G3485" s="3">
        <v>3</v>
      </c>
      <c r="H3485" s="5">
        <v>417044286.80000001</v>
      </c>
      <c r="I3485" s="5">
        <v>260816286.80000001</v>
      </c>
      <c r="J3485" s="5">
        <v>0</v>
      </c>
      <c r="K3485" s="5">
        <v>156228000</v>
      </c>
      <c r="L3485" s="5">
        <v>498286000</v>
      </c>
      <c r="M3485" s="5">
        <v>20294000</v>
      </c>
      <c r="N3485" s="5">
        <v>12614000</v>
      </c>
    </row>
    <row r="3486" spans="1:14" x14ac:dyDescent="0.25">
      <c r="A3486" s="3" t="s">
        <v>3497</v>
      </c>
      <c r="B3486" s="4">
        <v>12.57</v>
      </c>
      <c r="C3486" s="4">
        <v>-0.04</v>
      </c>
      <c r="D3486" s="4">
        <v>-0.01</v>
      </c>
      <c r="E3486" s="4">
        <v>-1.8316257487028861E-2</v>
      </c>
      <c r="F3486" s="3">
        <v>3484</v>
      </c>
      <c r="G3486" s="3">
        <v>3</v>
      </c>
      <c r="H3486" s="5">
        <v>54951011.020000003</v>
      </c>
      <c r="I3486" s="5">
        <v>1467128011.02</v>
      </c>
      <c r="J3486" s="5">
        <v>1442661000</v>
      </c>
      <c r="K3486" s="5">
        <v>30484000</v>
      </c>
      <c r="L3486" s="5">
        <v>277665000</v>
      </c>
      <c r="M3486" s="5">
        <v>116689000</v>
      </c>
      <c r="N3486" s="5">
        <v>-10851000</v>
      </c>
    </row>
    <row r="3487" spans="1:14" x14ac:dyDescent="0.25">
      <c r="A3487" s="3" t="s">
        <v>3498</v>
      </c>
      <c r="B3487" s="4">
        <v>8.34</v>
      </c>
      <c r="C3487" s="4">
        <v>-0.94</v>
      </c>
      <c r="D3487" s="4">
        <v>-0.18</v>
      </c>
      <c r="E3487" s="4">
        <v>-1.8331441560283931E-2</v>
      </c>
      <c r="F3487" s="3">
        <v>3485</v>
      </c>
      <c r="G3487" s="3">
        <v>3</v>
      </c>
      <c r="H3487" s="5">
        <v>15354082.320599999</v>
      </c>
      <c r="I3487" s="5">
        <v>14768762.320599999</v>
      </c>
      <c r="J3487" s="5">
        <v>0</v>
      </c>
      <c r="K3487" s="5">
        <v>585320</v>
      </c>
      <c r="L3487" s="5">
        <v>18742250</v>
      </c>
      <c r="M3487" s="5">
        <v>1771390</v>
      </c>
      <c r="N3487" s="5">
        <v>-1327040</v>
      </c>
    </row>
    <row r="3488" spans="1:14" x14ac:dyDescent="0.25">
      <c r="A3488" s="3" t="s">
        <v>3499</v>
      </c>
      <c r="B3488" s="4">
        <v>13.28</v>
      </c>
      <c r="C3488" s="4">
        <v>0.1</v>
      </c>
      <c r="D3488" s="4">
        <v>0.02</v>
      </c>
      <c r="E3488" s="4">
        <v>-1.8345393513586439E-2</v>
      </c>
      <c r="F3488" s="3">
        <v>3486</v>
      </c>
      <c r="G3488" s="3">
        <v>3</v>
      </c>
      <c r="H3488" s="5">
        <v>6203071224.1999998</v>
      </c>
      <c r="I3488" s="5">
        <v>11756837224.200001</v>
      </c>
      <c r="J3488" s="5">
        <v>5558264000</v>
      </c>
      <c r="K3488" s="5">
        <v>4498000</v>
      </c>
      <c r="L3488" s="5">
        <v>1971199000</v>
      </c>
      <c r="M3488" s="5">
        <v>885476000</v>
      </c>
      <c r="N3488" s="5">
        <v>242682000</v>
      </c>
    </row>
    <row r="3489" spans="1:14" x14ac:dyDescent="0.25">
      <c r="A3489" s="3" t="s">
        <v>3500</v>
      </c>
      <c r="B3489" s="4">
        <v>-0.24</v>
      </c>
      <c r="C3489" s="4">
        <v>-2.68</v>
      </c>
      <c r="D3489" s="4">
        <v>-1.73</v>
      </c>
      <c r="E3489" s="4">
        <v>-1.834758981222057E-2</v>
      </c>
      <c r="F3489" s="3">
        <v>3487</v>
      </c>
      <c r="G3489" s="3">
        <v>3</v>
      </c>
      <c r="H3489" s="5">
        <v>92891985.180000007</v>
      </c>
      <c r="I3489" s="5">
        <v>34612985.180000007</v>
      </c>
      <c r="J3489" s="5">
        <v>0</v>
      </c>
      <c r="K3489" s="5">
        <v>58279000</v>
      </c>
      <c r="L3489" s="5">
        <v>0</v>
      </c>
      <c r="M3489" s="5">
        <v>-142322000</v>
      </c>
      <c r="N3489" s="5">
        <v>-138426000</v>
      </c>
    </row>
    <row r="3490" spans="1:14" x14ac:dyDescent="0.25">
      <c r="A3490" s="3" t="s">
        <v>3501</v>
      </c>
      <c r="B3490" s="4">
        <v>14.37</v>
      </c>
      <c r="C3490" s="4">
        <v>0.33</v>
      </c>
      <c r="D3490" s="4">
        <v>0.06</v>
      </c>
      <c r="E3490" s="4">
        <v>-1.834774786692531E-2</v>
      </c>
      <c r="F3490" s="3">
        <v>3488</v>
      </c>
      <c r="G3490" s="3">
        <v>3</v>
      </c>
      <c r="H3490" s="5">
        <v>10779675349.799999</v>
      </c>
      <c r="I3490" s="5">
        <v>13465775349.799999</v>
      </c>
      <c r="J3490" s="5">
        <v>3380800000</v>
      </c>
      <c r="K3490" s="5">
        <v>694700000</v>
      </c>
      <c r="L3490" s="5">
        <v>4135500000</v>
      </c>
      <c r="M3490" s="5">
        <v>937000000</v>
      </c>
      <c r="N3490" s="5">
        <v>385600000</v>
      </c>
    </row>
    <row r="3491" spans="1:14" x14ac:dyDescent="0.25">
      <c r="A3491" s="3" t="s">
        <v>3502</v>
      </c>
      <c r="B3491" s="4">
        <v>13.92</v>
      </c>
      <c r="C3491" s="4">
        <v>0.23</v>
      </c>
      <c r="D3491" s="4">
        <v>0.1</v>
      </c>
      <c r="E3491" s="4">
        <v>-1.8350453574391391E-2</v>
      </c>
      <c r="F3491" s="3">
        <v>3489</v>
      </c>
      <c r="G3491" s="3">
        <v>3</v>
      </c>
      <c r="H3491" s="5">
        <v>8059516307.6800003</v>
      </c>
      <c r="I3491" s="5">
        <v>8627503307.6800003</v>
      </c>
      <c r="J3491" s="5">
        <v>732302000</v>
      </c>
      <c r="K3491" s="5">
        <v>164315000</v>
      </c>
      <c r="L3491" s="5">
        <v>4075034000</v>
      </c>
      <c r="M3491" s="5">
        <v>619979000</v>
      </c>
      <c r="N3491" s="5">
        <v>348259000</v>
      </c>
    </row>
    <row r="3492" spans="1:14" x14ac:dyDescent="0.25">
      <c r="A3492" s="3" t="s">
        <v>3503</v>
      </c>
      <c r="B3492" s="4">
        <v>13.55</v>
      </c>
      <c r="C3492" s="4">
        <v>0.15</v>
      </c>
      <c r="D3492" s="4">
        <v>0.1</v>
      </c>
      <c r="E3492" s="4">
        <v>-1.8352601819715181E-2</v>
      </c>
      <c r="F3492" s="3">
        <v>3490</v>
      </c>
      <c r="G3492" s="3">
        <v>3</v>
      </c>
      <c r="H3492" s="5">
        <v>846283822.79999995</v>
      </c>
      <c r="I3492" s="5">
        <v>497001822.80000001</v>
      </c>
      <c r="J3492" s="5">
        <v>0</v>
      </c>
      <c r="K3492" s="5">
        <v>349282000</v>
      </c>
      <c r="L3492" s="5">
        <v>367254000</v>
      </c>
      <c r="M3492" s="5">
        <v>36680000</v>
      </c>
      <c r="N3492" s="5">
        <v>68742000</v>
      </c>
    </row>
    <row r="3493" spans="1:14" x14ac:dyDescent="0.25">
      <c r="A3493" s="3" t="s">
        <v>3504</v>
      </c>
      <c r="B3493" s="4">
        <v>-2.99</v>
      </c>
      <c r="C3493" s="4">
        <v>-3.34</v>
      </c>
      <c r="D3493" s="4">
        <v>-0.71</v>
      </c>
      <c r="E3493" s="4">
        <v>-1.8355775597572899E-2</v>
      </c>
      <c r="F3493" s="3">
        <v>3491</v>
      </c>
      <c r="G3493" s="3">
        <v>3</v>
      </c>
      <c r="H3493" s="5">
        <v>728060.56050000002</v>
      </c>
      <c r="I3493" s="5">
        <v>3827550.5605000001</v>
      </c>
      <c r="J3493" s="5">
        <v>3425830</v>
      </c>
      <c r="K3493" s="5">
        <v>326340</v>
      </c>
      <c r="L3493" s="5">
        <v>27393160</v>
      </c>
      <c r="M3493" s="5">
        <v>-1282000</v>
      </c>
      <c r="N3493" s="5">
        <v>-10901610</v>
      </c>
    </row>
    <row r="3494" spans="1:14" x14ac:dyDescent="0.25">
      <c r="A3494" s="3" t="s">
        <v>3505</v>
      </c>
      <c r="B3494" s="4">
        <v>13.36</v>
      </c>
      <c r="C3494" s="4">
        <v>0.11</v>
      </c>
      <c r="D3494" s="4">
        <v>0.04</v>
      </c>
      <c r="E3494" s="4">
        <v>-1.8362155498993581E-2</v>
      </c>
      <c r="F3494" s="3">
        <v>3492</v>
      </c>
      <c r="G3494" s="3">
        <v>3</v>
      </c>
      <c r="H3494" s="5">
        <v>16685216745.6</v>
      </c>
      <c r="I3494" s="5">
        <v>21770216745.599998</v>
      </c>
      <c r="J3494" s="5">
        <v>5144000000</v>
      </c>
      <c r="K3494" s="5">
        <v>59000000</v>
      </c>
      <c r="L3494" s="5">
        <v>37877000000</v>
      </c>
      <c r="M3494" s="5">
        <v>1630000000</v>
      </c>
      <c r="N3494" s="5">
        <v>494000000</v>
      </c>
    </row>
    <row r="3495" spans="1:14" x14ac:dyDescent="0.25">
      <c r="A3495" s="3" t="s">
        <v>3506</v>
      </c>
      <c r="B3495" s="4">
        <v>-3.75</v>
      </c>
      <c r="C3495" s="4">
        <v>0.28000000000000003</v>
      </c>
      <c r="D3495" s="4">
        <v>-57.42</v>
      </c>
      <c r="E3495" s="4">
        <v>-1.8365419946397E-2</v>
      </c>
      <c r="F3495" s="3">
        <v>3493</v>
      </c>
      <c r="G3495" s="3">
        <v>3</v>
      </c>
      <c r="H3495" s="5">
        <v>4302</v>
      </c>
      <c r="I3495" s="5">
        <v>312562</v>
      </c>
      <c r="J3495" s="5">
        <v>308260</v>
      </c>
      <c r="K3495" s="5">
        <v>0</v>
      </c>
      <c r="L3495" s="5">
        <v>2130</v>
      </c>
      <c r="M3495" s="5">
        <v>-83330</v>
      </c>
      <c r="N3495" s="5">
        <v>-84980</v>
      </c>
    </row>
    <row r="3496" spans="1:14" x14ac:dyDescent="0.25">
      <c r="A3496" s="3" t="s">
        <v>3507</v>
      </c>
      <c r="B3496" s="4">
        <v>13.28</v>
      </c>
      <c r="C3496" s="4">
        <v>0.09</v>
      </c>
      <c r="D3496" s="4">
        <v>0.04</v>
      </c>
      <c r="E3496" s="4">
        <v>-1.8370429067445879E-2</v>
      </c>
      <c r="F3496" s="3">
        <v>3494</v>
      </c>
      <c r="G3496" s="3">
        <v>3</v>
      </c>
      <c r="H3496" s="5">
        <v>57665789308.800003</v>
      </c>
      <c r="I3496" s="5">
        <v>89467789308.800003</v>
      </c>
      <c r="J3496" s="5">
        <v>31890000000</v>
      </c>
      <c r="K3496" s="5">
        <v>88000000</v>
      </c>
      <c r="L3496" s="5">
        <v>15100000000</v>
      </c>
      <c r="M3496" s="5">
        <v>6738000000</v>
      </c>
      <c r="N3496" s="5">
        <v>2613000000</v>
      </c>
    </row>
    <row r="3497" spans="1:14" x14ac:dyDescent="0.25">
      <c r="A3497" s="3" t="s">
        <v>3508</v>
      </c>
      <c r="B3497" s="4">
        <v>13.04</v>
      </c>
      <c r="C3497" s="4">
        <v>0.04</v>
      </c>
      <c r="D3497" s="4">
        <v>0</v>
      </c>
      <c r="E3497" s="4">
        <v>-1.8374072272098339E-2</v>
      </c>
      <c r="F3497" s="3">
        <v>3495</v>
      </c>
      <c r="G3497" s="3">
        <v>3</v>
      </c>
      <c r="H3497" s="5">
        <v>241402499.58000001</v>
      </c>
      <c r="I3497" s="5">
        <v>135175499.58000001</v>
      </c>
      <c r="J3497" s="5">
        <v>55698000</v>
      </c>
      <c r="K3497" s="5">
        <v>161925000</v>
      </c>
      <c r="L3497" s="5">
        <v>422161000</v>
      </c>
      <c r="M3497" s="5">
        <v>10367000</v>
      </c>
      <c r="N3497" s="5">
        <v>541000</v>
      </c>
    </row>
    <row r="3498" spans="1:14" x14ac:dyDescent="0.25">
      <c r="A3498" s="3" t="s">
        <v>3509</v>
      </c>
      <c r="B3498" s="4">
        <v>13.42</v>
      </c>
      <c r="C3498" s="4">
        <v>0.12</v>
      </c>
      <c r="D3498" s="4">
        <v>0.02</v>
      </c>
      <c r="E3498" s="4">
        <v>-1.8374255179316599E-2</v>
      </c>
      <c r="F3498" s="3">
        <v>3496</v>
      </c>
      <c r="G3498" s="3">
        <v>3</v>
      </c>
      <c r="H3498" s="5">
        <v>3634878102.6599998</v>
      </c>
      <c r="I3498" s="5">
        <v>4591529102.6599998</v>
      </c>
      <c r="J3498" s="5">
        <v>1034211000</v>
      </c>
      <c r="K3498" s="5">
        <v>77560000</v>
      </c>
      <c r="L3498" s="5">
        <v>879207000</v>
      </c>
      <c r="M3498" s="5">
        <v>342170000</v>
      </c>
      <c r="N3498" s="5">
        <v>31448000</v>
      </c>
    </row>
    <row r="3499" spans="1:14" x14ac:dyDescent="0.25">
      <c r="A3499" s="3" t="s">
        <v>3510</v>
      </c>
      <c r="B3499" s="4">
        <v>13.67</v>
      </c>
      <c r="C3499" s="4">
        <v>0.17</v>
      </c>
      <c r="D3499" s="4">
        <v>0.06</v>
      </c>
      <c r="E3499" s="4">
        <v>-1.8376801180361231E-2</v>
      </c>
      <c r="F3499" s="3">
        <v>3497</v>
      </c>
      <c r="G3499" s="3">
        <v>3</v>
      </c>
      <c r="H3499" s="5">
        <v>1666502640</v>
      </c>
      <c r="I3499" s="5">
        <v>2024307640</v>
      </c>
      <c r="J3499" s="5">
        <v>538996000</v>
      </c>
      <c r="K3499" s="5">
        <v>181191000</v>
      </c>
      <c r="L3499" s="5">
        <v>427737000</v>
      </c>
      <c r="M3499" s="5">
        <v>148109000</v>
      </c>
      <c r="N3499" s="5">
        <v>66693000</v>
      </c>
    </row>
    <row r="3500" spans="1:14" x14ac:dyDescent="0.25">
      <c r="A3500" s="3" t="s">
        <v>3511</v>
      </c>
      <c r="B3500" s="4">
        <v>13.25</v>
      </c>
      <c r="C3500" s="4">
        <v>0.08</v>
      </c>
      <c r="D3500" s="4">
        <v>0.02</v>
      </c>
      <c r="E3500" s="4">
        <v>-1.8384613110524119E-2</v>
      </c>
      <c r="F3500" s="3">
        <v>3498</v>
      </c>
      <c r="G3500" s="3">
        <v>3</v>
      </c>
      <c r="H3500" s="5">
        <v>8969462712.0900002</v>
      </c>
      <c r="I3500" s="5">
        <v>12317862712.09</v>
      </c>
      <c r="J3500" s="5">
        <v>3657000000</v>
      </c>
      <c r="K3500" s="5">
        <v>308600000</v>
      </c>
      <c r="L3500" s="5">
        <v>4160300000</v>
      </c>
      <c r="M3500" s="5">
        <v>929900000</v>
      </c>
      <c r="N3500" s="5">
        <v>218500000</v>
      </c>
    </row>
    <row r="3501" spans="1:14" x14ac:dyDescent="0.25">
      <c r="A3501" s="3" t="s">
        <v>3512</v>
      </c>
      <c r="B3501" s="4">
        <v>14.08</v>
      </c>
      <c r="C3501" s="4">
        <v>0.25</v>
      </c>
      <c r="D3501" s="4">
        <v>0.13</v>
      </c>
      <c r="E3501" s="4">
        <v>-1.8385906571783191E-2</v>
      </c>
      <c r="F3501" s="3">
        <v>3499</v>
      </c>
      <c r="G3501" s="3">
        <v>3</v>
      </c>
      <c r="H3501" s="5">
        <v>6263952913.1700001</v>
      </c>
      <c r="I3501" s="5">
        <v>6607405913.1700001</v>
      </c>
      <c r="J3501" s="5">
        <v>508013000</v>
      </c>
      <c r="K3501" s="5">
        <v>164560000</v>
      </c>
      <c r="L3501" s="5">
        <v>1808140000</v>
      </c>
      <c r="M3501" s="5">
        <v>469431000</v>
      </c>
      <c r="N3501" s="5">
        <v>284967000</v>
      </c>
    </row>
    <row r="3502" spans="1:14" x14ac:dyDescent="0.25">
      <c r="A3502" s="3" t="s">
        <v>3513</v>
      </c>
      <c r="B3502" s="4">
        <v>13.5</v>
      </c>
      <c r="C3502" s="4">
        <v>0.13</v>
      </c>
      <c r="D3502" s="4">
        <v>0.05</v>
      </c>
      <c r="E3502" s="4">
        <v>-1.8389088138146249E-2</v>
      </c>
      <c r="F3502" s="3">
        <v>3500</v>
      </c>
      <c r="G3502" s="3">
        <v>3</v>
      </c>
      <c r="H3502" s="5">
        <v>19830063450.119999</v>
      </c>
      <c r="I3502" s="5">
        <v>25660063450.119999</v>
      </c>
      <c r="J3502" s="5">
        <v>6379000000</v>
      </c>
      <c r="K3502" s="5">
        <v>549000000</v>
      </c>
      <c r="L3502" s="5">
        <v>9872000000</v>
      </c>
      <c r="M3502" s="5">
        <v>1901000000</v>
      </c>
      <c r="N3502" s="5">
        <v>871000000</v>
      </c>
    </row>
    <row r="3503" spans="1:14" x14ac:dyDescent="0.25">
      <c r="A3503" s="3" t="s">
        <v>3514</v>
      </c>
      <c r="B3503" s="4">
        <v>0.11</v>
      </c>
      <c r="C3503" s="4">
        <v>-2.61</v>
      </c>
      <c r="D3503" s="4">
        <v>-1.88</v>
      </c>
      <c r="E3503" s="4">
        <v>-1.8390892161179669E-2</v>
      </c>
      <c r="F3503" s="3">
        <v>3501</v>
      </c>
      <c r="G3503" s="3">
        <v>3</v>
      </c>
      <c r="H3503" s="5">
        <v>1632832.8725000001</v>
      </c>
      <c r="I3503" s="5">
        <v>-552027.12749999994</v>
      </c>
      <c r="J3503" s="5">
        <v>0</v>
      </c>
      <c r="K3503" s="5">
        <v>2184860</v>
      </c>
      <c r="L3503" s="5">
        <v>536360</v>
      </c>
      <c r="M3503" s="5">
        <v>-5077650</v>
      </c>
      <c r="N3503" s="5">
        <v>-5016260</v>
      </c>
    </row>
    <row r="3504" spans="1:14" x14ac:dyDescent="0.25">
      <c r="A3504" s="3" t="s">
        <v>3515</v>
      </c>
      <c r="B3504" s="4">
        <v>0.43</v>
      </c>
      <c r="C3504" s="4">
        <v>-2.57</v>
      </c>
      <c r="D3504" s="4">
        <v>-1.5</v>
      </c>
      <c r="E3504" s="4">
        <v>-1.8400069305483088E-2</v>
      </c>
      <c r="F3504" s="3">
        <v>3502</v>
      </c>
      <c r="G3504" s="3">
        <v>3</v>
      </c>
      <c r="H3504" s="5">
        <v>11353.58</v>
      </c>
      <c r="I3504" s="5">
        <v>-4077646.42</v>
      </c>
      <c r="J3504" s="5">
        <v>0</v>
      </c>
      <c r="K3504" s="5">
        <v>4089000</v>
      </c>
      <c r="L3504" s="5">
        <v>0</v>
      </c>
      <c r="M3504" s="5">
        <v>-9395000</v>
      </c>
      <c r="N3504" s="5">
        <v>-8632000</v>
      </c>
    </row>
    <row r="3505" spans="1:14" x14ac:dyDescent="0.25">
      <c r="A3505" s="3" t="s">
        <v>3516</v>
      </c>
      <c r="B3505" s="4">
        <v>13.28</v>
      </c>
      <c r="C3505" s="4">
        <v>0.08</v>
      </c>
      <c r="D3505" s="4">
        <v>0.03</v>
      </c>
      <c r="E3505" s="4">
        <v>-1.840125170103785E-2</v>
      </c>
      <c r="F3505" s="3">
        <v>3503</v>
      </c>
      <c r="G3505" s="3">
        <v>3</v>
      </c>
      <c r="H3505" s="5">
        <v>13627789372.6</v>
      </c>
      <c r="I3505" s="5">
        <v>15250889372.6</v>
      </c>
      <c r="J3505" s="5">
        <v>2039400000</v>
      </c>
      <c r="K3505" s="5">
        <v>416300000</v>
      </c>
      <c r="L3505" s="5">
        <v>23432900000</v>
      </c>
      <c r="M3505" s="5">
        <v>1148500000</v>
      </c>
      <c r="N3505" s="5">
        <v>546800000</v>
      </c>
    </row>
    <row r="3506" spans="1:14" x14ac:dyDescent="0.25">
      <c r="A3506" s="3" t="s">
        <v>3517</v>
      </c>
      <c r="B3506" s="4">
        <v>13.2</v>
      </c>
      <c r="C3506" s="4">
        <v>0.06</v>
      </c>
      <c r="D3506" s="4">
        <v>0.03</v>
      </c>
      <c r="E3506" s="4">
        <v>-1.8409525269490142E-2</v>
      </c>
      <c r="F3506" s="3">
        <v>3504</v>
      </c>
      <c r="G3506" s="3">
        <v>3</v>
      </c>
      <c r="H3506" s="5">
        <v>36301341100</v>
      </c>
      <c r="I3506" s="5">
        <v>52188341100</v>
      </c>
      <c r="J3506" s="5">
        <v>16397000000</v>
      </c>
      <c r="K3506" s="5">
        <v>510000000</v>
      </c>
      <c r="L3506" s="5">
        <v>15351000000</v>
      </c>
      <c r="M3506" s="5">
        <v>3955000000</v>
      </c>
      <c r="N3506" s="5">
        <v>1441000000</v>
      </c>
    </row>
    <row r="3507" spans="1:14" x14ac:dyDescent="0.25">
      <c r="A3507" s="3" t="s">
        <v>3518</v>
      </c>
      <c r="B3507" s="4">
        <v>13.16</v>
      </c>
      <c r="C3507" s="4">
        <v>0.05</v>
      </c>
      <c r="D3507" s="4">
        <v>0.03</v>
      </c>
      <c r="E3507" s="4">
        <v>-1.8413662053716289E-2</v>
      </c>
      <c r="F3507" s="3">
        <v>3505</v>
      </c>
      <c r="G3507" s="3">
        <v>3</v>
      </c>
      <c r="H3507" s="5">
        <v>12535164.949999999</v>
      </c>
      <c r="I3507" s="5">
        <v>13093154.949999999</v>
      </c>
      <c r="J3507" s="5">
        <v>690000</v>
      </c>
      <c r="K3507" s="5">
        <v>132010</v>
      </c>
      <c r="L3507" s="5">
        <v>8809090</v>
      </c>
      <c r="M3507" s="5">
        <v>994570</v>
      </c>
      <c r="N3507" s="5">
        <v>341890</v>
      </c>
    </row>
    <row r="3508" spans="1:14" x14ac:dyDescent="0.25">
      <c r="A3508" s="3" t="s">
        <v>3519</v>
      </c>
      <c r="B3508" s="4">
        <v>11.08</v>
      </c>
      <c r="C3508" s="4">
        <v>-0.39</v>
      </c>
      <c r="D3508" s="4">
        <v>-0.08</v>
      </c>
      <c r="E3508" s="4">
        <v>-1.8418845269712891E-2</v>
      </c>
      <c r="F3508" s="3">
        <v>3506</v>
      </c>
      <c r="G3508" s="3">
        <v>3</v>
      </c>
      <c r="H3508" s="5">
        <v>10113814.949999999</v>
      </c>
      <c r="I3508" s="5">
        <v>324639814.94999999</v>
      </c>
      <c r="J3508" s="5">
        <v>314860000</v>
      </c>
      <c r="K3508" s="5">
        <v>334000</v>
      </c>
      <c r="L3508" s="5">
        <v>98070000</v>
      </c>
      <c r="M3508" s="5">
        <v>29305000</v>
      </c>
      <c r="N3508" s="5">
        <v>-36248000</v>
      </c>
    </row>
    <row r="3509" spans="1:14" x14ac:dyDescent="0.25">
      <c r="A3509" s="3" t="s">
        <v>3520</v>
      </c>
      <c r="B3509" s="4">
        <v>13.46</v>
      </c>
      <c r="C3509" s="4">
        <v>0.11</v>
      </c>
      <c r="D3509" s="4">
        <v>0.05</v>
      </c>
      <c r="E3509" s="4">
        <v>-1.8422118529386858E-2</v>
      </c>
      <c r="F3509" s="3">
        <v>3507</v>
      </c>
      <c r="G3509" s="3">
        <v>3</v>
      </c>
      <c r="H3509" s="5">
        <v>75612343.299999997</v>
      </c>
      <c r="I3509" s="5">
        <v>57249033.299999997</v>
      </c>
      <c r="J3509" s="5">
        <v>1666200</v>
      </c>
      <c r="K3509" s="5">
        <v>20029510</v>
      </c>
      <c r="L3509" s="5">
        <v>28949870</v>
      </c>
      <c r="M3509" s="5">
        <v>4252820</v>
      </c>
      <c r="N3509" s="5">
        <v>1913450</v>
      </c>
    </row>
    <row r="3510" spans="1:14" x14ac:dyDescent="0.25">
      <c r="A3510" s="3" t="s">
        <v>3521</v>
      </c>
      <c r="B3510" s="4">
        <v>13.42</v>
      </c>
      <c r="C3510" s="4">
        <v>0.1</v>
      </c>
      <c r="D3510" s="4">
        <v>0.04</v>
      </c>
      <c r="E3510" s="4">
        <v>-1.8428184340190511E-2</v>
      </c>
      <c r="F3510" s="3">
        <v>3508</v>
      </c>
      <c r="G3510" s="3">
        <v>3</v>
      </c>
      <c r="H3510" s="5">
        <v>4023280737.3000002</v>
      </c>
      <c r="I3510" s="5">
        <v>6248986737.3000002</v>
      </c>
      <c r="J3510" s="5">
        <v>2292610000</v>
      </c>
      <c r="K3510" s="5">
        <v>66904000</v>
      </c>
      <c r="L3510" s="5">
        <v>1757978000</v>
      </c>
      <c r="M3510" s="5">
        <v>465720000</v>
      </c>
      <c r="N3510" s="5">
        <v>281108000</v>
      </c>
    </row>
    <row r="3511" spans="1:14" x14ac:dyDescent="0.25">
      <c r="A3511" s="3" t="s">
        <v>3522</v>
      </c>
      <c r="B3511" s="4">
        <v>10.78</v>
      </c>
      <c r="C3511" s="4">
        <v>-0.47</v>
      </c>
      <c r="D3511" s="4">
        <v>0.06</v>
      </c>
      <c r="E3511" s="4">
        <v>-1.843731158283116E-2</v>
      </c>
      <c r="F3511" s="3">
        <v>3509</v>
      </c>
      <c r="G3511" s="3">
        <v>3</v>
      </c>
      <c r="H3511" s="5">
        <v>4064065377.8400002</v>
      </c>
      <c r="I3511" s="5">
        <v>9488065377.8400002</v>
      </c>
      <c r="J3511" s="5">
        <v>5591000000</v>
      </c>
      <c r="K3511" s="5">
        <v>167000000</v>
      </c>
      <c r="L3511" s="5">
        <v>3864000000</v>
      </c>
      <c r="M3511" s="5">
        <v>880000000</v>
      </c>
      <c r="N3511" s="5">
        <v>411000000</v>
      </c>
    </row>
    <row r="3512" spans="1:14" x14ac:dyDescent="0.25">
      <c r="A3512" s="3" t="s">
        <v>3523</v>
      </c>
      <c r="B3512" s="4">
        <v>13.84</v>
      </c>
      <c r="C3512" s="4">
        <v>0.18</v>
      </c>
      <c r="D3512" s="4">
        <v>0.12</v>
      </c>
      <c r="E3512" s="4">
        <v>-1.844154991073205E-2</v>
      </c>
      <c r="F3512" s="3">
        <v>3510</v>
      </c>
      <c r="G3512" s="3">
        <v>3</v>
      </c>
      <c r="H3512" s="5">
        <v>7061206951.6599998</v>
      </c>
      <c r="I3512" s="5">
        <v>7206898951.6599998</v>
      </c>
      <c r="J3512" s="5">
        <v>385063000</v>
      </c>
      <c r="K3512" s="5">
        <v>239371000</v>
      </c>
      <c r="L3512" s="5">
        <v>2232139000</v>
      </c>
      <c r="M3512" s="5">
        <v>520740000</v>
      </c>
      <c r="N3512" s="5">
        <v>322224000</v>
      </c>
    </row>
    <row r="3513" spans="1:14" x14ac:dyDescent="0.25">
      <c r="A3513" s="3" t="s">
        <v>3524</v>
      </c>
      <c r="B3513" s="4">
        <v>13.83</v>
      </c>
      <c r="C3513" s="4">
        <v>0.18</v>
      </c>
      <c r="D3513" s="4">
        <v>-0.04</v>
      </c>
      <c r="E3513" s="4">
        <v>-1.8466225130275061E-2</v>
      </c>
      <c r="F3513" s="3">
        <v>3511</v>
      </c>
      <c r="G3513" s="3">
        <v>3</v>
      </c>
      <c r="H3513" s="5">
        <v>685000000</v>
      </c>
      <c r="I3513" s="5">
        <v>1126513000</v>
      </c>
      <c r="J3513" s="5">
        <v>625454000</v>
      </c>
      <c r="K3513" s="5">
        <v>183941000</v>
      </c>
      <c r="L3513" s="5">
        <v>644727000</v>
      </c>
      <c r="M3513" s="5">
        <v>81437000</v>
      </c>
      <c r="N3513" s="5">
        <v>-31179000</v>
      </c>
    </row>
    <row r="3514" spans="1:14" x14ac:dyDescent="0.25">
      <c r="A3514" s="3" t="s">
        <v>3525</v>
      </c>
      <c r="B3514" s="4">
        <v>-1.81</v>
      </c>
      <c r="C3514" s="4">
        <v>-3.16</v>
      </c>
      <c r="D3514" s="4">
        <v>-0.23</v>
      </c>
      <c r="E3514" s="4">
        <v>-1.847342366784752E-2</v>
      </c>
      <c r="F3514" s="3">
        <v>3512</v>
      </c>
      <c r="G3514" s="3">
        <v>3</v>
      </c>
      <c r="H3514" s="5">
        <v>3.008737</v>
      </c>
      <c r="I3514" s="5">
        <v>4824883.0087369997</v>
      </c>
      <c r="J3514" s="5">
        <v>4861620</v>
      </c>
      <c r="K3514" s="5">
        <v>36740</v>
      </c>
      <c r="L3514" s="5">
        <v>0</v>
      </c>
      <c r="M3514" s="5">
        <v>-2667970</v>
      </c>
      <c r="N3514" s="5">
        <v>-38861690</v>
      </c>
    </row>
    <row r="3515" spans="1:14" x14ac:dyDescent="0.25">
      <c r="A3515" s="3" t="s">
        <v>3526</v>
      </c>
      <c r="B3515" s="4">
        <v>11.87</v>
      </c>
      <c r="C3515" s="4">
        <v>-0.24</v>
      </c>
      <c r="D3515" s="4">
        <v>-0.12</v>
      </c>
      <c r="E3515" s="4">
        <v>-1.8482104520875169E-2</v>
      </c>
      <c r="F3515" s="3">
        <v>3513</v>
      </c>
      <c r="G3515" s="3">
        <v>3</v>
      </c>
      <c r="H3515" s="5">
        <v>30110281.350000001</v>
      </c>
      <c r="I3515" s="5">
        <v>48091281.350000001</v>
      </c>
      <c r="J3515" s="5">
        <v>18502000</v>
      </c>
      <c r="K3515" s="5">
        <v>521000</v>
      </c>
      <c r="L3515" s="5">
        <v>87250000</v>
      </c>
      <c r="M3515" s="5">
        <v>4051000</v>
      </c>
      <c r="N3515" s="5">
        <v>-9356000</v>
      </c>
    </row>
    <row r="3516" spans="1:14" x14ac:dyDescent="0.25">
      <c r="A3516" s="3" t="s">
        <v>3527</v>
      </c>
      <c r="B3516" s="4">
        <v>12.28</v>
      </c>
      <c r="C3516" s="4">
        <v>-0.16</v>
      </c>
      <c r="D3516" s="4">
        <v>-0.03</v>
      </c>
      <c r="E3516" s="4">
        <v>-1.8487351859142132E-2</v>
      </c>
      <c r="F3516" s="3">
        <v>3514</v>
      </c>
      <c r="G3516" s="3">
        <v>3</v>
      </c>
      <c r="H3516" s="5">
        <v>856771723.59000003</v>
      </c>
      <c r="I3516" s="5">
        <v>2986166723.5900002</v>
      </c>
      <c r="J3516" s="5">
        <v>2163347000</v>
      </c>
      <c r="K3516" s="5">
        <v>33952000</v>
      </c>
      <c r="L3516" s="5">
        <v>639145000</v>
      </c>
      <c r="M3516" s="5">
        <v>243208000</v>
      </c>
      <c r="N3516" s="5">
        <v>-96726000</v>
      </c>
    </row>
    <row r="3517" spans="1:14" x14ac:dyDescent="0.25">
      <c r="A3517" s="3" t="s">
        <v>3528</v>
      </c>
      <c r="B3517" s="4">
        <v>13.51</v>
      </c>
      <c r="C3517" s="4">
        <v>0.1</v>
      </c>
      <c r="D3517" s="4">
        <v>0.02</v>
      </c>
      <c r="E3517" s="4">
        <v>-1.848774524461921E-2</v>
      </c>
      <c r="F3517" s="3">
        <v>3515</v>
      </c>
      <c r="G3517" s="3">
        <v>3</v>
      </c>
      <c r="H3517" s="5">
        <v>25370461088.779999</v>
      </c>
      <c r="I3517" s="5">
        <v>46309461088.779999</v>
      </c>
      <c r="J3517" s="5">
        <v>20963000000</v>
      </c>
      <c r="K3517" s="5">
        <v>24000000</v>
      </c>
      <c r="L3517" s="5">
        <v>8643000000</v>
      </c>
      <c r="M3517" s="5">
        <v>3429000000</v>
      </c>
      <c r="N3517" s="5">
        <v>1019000000</v>
      </c>
    </row>
    <row r="3518" spans="1:14" x14ac:dyDescent="0.25">
      <c r="A3518" s="3" t="s">
        <v>3529</v>
      </c>
      <c r="B3518" s="4">
        <v>14.38</v>
      </c>
      <c r="C3518" s="4">
        <v>0.28000000000000003</v>
      </c>
      <c r="D3518" s="4">
        <v>0.1</v>
      </c>
      <c r="E3518" s="4">
        <v>-1.8490689001384661E-2</v>
      </c>
      <c r="F3518" s="3">
        <v>3516</v>
      </c>
      <c r="G3518" s="3">
        <v>3</v>
      </c>
      <c r="H3518" s="5">
        <v>4594019529.4399996</v>
      </c>
      <c r="I3518" s="5">
        <v>5307122529.4399996</v>
      </c>
      <c r="J3518" s="5">
        <v>764562000</v>
      </c>
      <c r="K3518" s="5">
        <v>51459000</v>
      </c>
      <c r="L3518" s="5">
        <v>2457091000</v>
      </c>
      <c r="M3518" s="5">
        <v>369146000</v>
      </c>
      <c r="N3518" s="5">
        <v>214298000</v>
      </c>
    </row>
    <row r="3519" spans="1:14" x14ac:dyDescent="0.25">
      <c r="A3519" s="3" t="s">
        <v>3530</v>
      </c>
      <c r="B3519" s="4">
        <v>19.38</v>
      </c>
      <c r="C3519" s="4">
        <v>1.35</v>
      </c>
      <c r="D3519" s="4">
        <v>0.11</v>
      </c>
      <c r="E3519" s="4">
        <v>-1.8491746872798871E-2</v>
      </c>
      <c r="F3519" s="3">
        <v>3517</v>
      </c>
      <c r="G3519" s="3">
        <v>3</v>
      </c>
      <c r="H3519" s="5">
        <v>17987346161.400002</v>
      </c>
      <c r="I3519" s="5">
        <v>20693346161.400002</v>
      </c>
      <c r="J3519" s="5">
        <v>3795000000</v>
      </c>
      <c r="K3519" s="5">
        <v>1089000000</v>
      </c>
      <c r="L3519" s="5">
        <v>4573200000</v>
      </c>
      <c r="M3519" s="5">
        <v>1067600000</v>
      </c>
      <c r="N3519" s="5">
        <v>936900000</v>
      </c>
    </row>
    <row r="3520" spans="1:14" x14ac:dyDescent="0.25">
      <c r="A3520" s="3" t="s">
        <v>3531</v>
      </c>
      <c r="B3520" s="4">
        <v>12.86</v>
      </c>
      <c r="C3520" s="4">
        <v>-0.04</v>
      </c>
      <c r="D3520" s="4">
        <v>-0.04</v>
      </c>
      <c r="E3520" s="4">
        <v>-1.8501531531976631E-2</v>
      </c>
      <c r="F3520" s="3">
        <v>3518</v>
      </c>
      <c r="G3520" s="3">
        <v>3</v>
      </c>
      <c r="H3520" s="5">
        <v>359226627.10000002</v>
      </c>
      <c r="I3520" s="5">
        <v>350372477.10000002</v>
      </c>
      <c r="J3520" s="5">
        <v>7706660</v>
      </c>
      <c r="K3520" s="5">
        <v>16560810</v>
      </c>
      <c r="L3520" s="5">
        <v>47354210</v>
      </c>
      <c r="M3520" s="5">
        <v>27238940</v>
      </c>
      <c r="N3520" s="5">
        <v>-37264620</v>
      </c>
    </row>
    <row r="3521" spans="1:14" x14ac:dyDescent="0.25">
      <c r="A3521" s="3" t="s">
        <v>3532</v>
      </c>
      <c r="B3521" s="4">
        <v>12.5</v>
      </c>
      <c r="C3521" s="4">
        <v>-0.12</v>
      </c>
      <c r="D3521" s="4">
        <v>-0.01</v>
      </c>
      <c r="E3521" s="4">
        <v>-1.8504081903264979E-2</v>
      </c>
      <c r="F3521" s="3">
        <v>3519</v>
      </c>
      <c r="G3521" s="3">
        <v>3</v>
      </c>
      <c r="H3521" s="5">
        <v>1460067803.26</v>
      </c>
      <c r="I3521" s="5">
        <v>4576785803.2600002</v>
      </c>
      <c r="J3521" s="5">
        <v>3129990000</v>
      </c>
      <c r="K3521" s="5">
        <v>13272000</v>
      </c>
      <c r="L3521" s="5">
        <v>571044000</v>
      </c>
      <c r="M3521" s="5">
        <v>366177000</v>
      </c>
      <c r="N3521" s="5">
        <v>-87720000</v>
      </c>
    </row>
    <row r="3522" spans="1:14" x14ac:dyDescent="0.25">
      <c r="A3522" s="3" t="s">
        <v>3533</v>
      </c>
      <c r="B3522" s="4">
        <v>13.75</v>
      </c>
      <c r="C3522" s="4">
        <v>0.14000000000000001</v>
      </c>
      <c r="D3522" s="4">
        <v>0.1</v>
      </c>
      <c r="E3522" s="4">
        <v>-1.8505279540671191E-2</v>
      </c>
      <c r="F3522" s="3">
        <v>3520</v>
      </c>
      <c r="G3522" s="3">
        <v>3</v>
      </c>
      <c r="H3522" s="5">
        <v>4260088565.5100002</v>
      </c>
      <c r="I3522" s="5">
        <v>4168984565.5100002</v>
      </c>
      <c r="J3522" s="5">
        <v>129436000</v>
      </c>
      <c r="K3522" s="5">
        <v>220540000</v>
      </c>
      <c r="L3522" s="5">
        <v>2021341000</v>
      </c>
      <c r="M3522" s="5">
        <v>303144000</v>
      </c>
      <c r="N3522" s="5">
        <v>180309000</v>
      </c>
    </row>
    <row r="3523" spans="1:14" x14ac:dyDescent="0.25">
      <c r="A3523" s="3" t="s">
        <v>3534</v>
      </c>
      <c r="B3523" s="4">
        <v>13.73</v>
      </c>
      <c r="C3523" s="4">
        <v>0.14000000000000001</v>
      </c>
      <c r="D3523" s="4">
        <v>0.03</v>
      </c>
      <c r="E3523" s="4">
        <v>-1.850640431531958E-2</v>
      </c>
      <c r="F3523" s="3">
        <v>3521</v>
      </c>
      <c r="G3523" s="3">
        <v>3</v>
      </c>
      <c r="H3523" s="5">
        <v>4979528646.1599998</v>
      </c>
      <c r="I3523" s="5">
        <v>10988728646.16</v>
      </c>
      <c r="J3523" s="5">
        <v>6352900000</v>
      </c>
      <c r="K3523" s="5">
        <v>343700000</v>
      </c>
      <c r="L3523" s="5">
        <v>2162400000</v>
      </c>
      <c r="M3523" s="5">
        <v>800500000</v>
      </c>
      <c r="N3523" s="5">
        <v>247900000</v>
      </c>
    </row>
    <row r="3524" spans="1:14" x14ac:dyDescent="0.25">
      <c r="A3524" s="3" t="s">
        <v>3535</v>
      </c>
      <c r="B3524" s="4">
        <v>14.81</v>
      </c>
      <c r="C3524" s="4">
        <v>0.36</v>
      </c>
      <c r="D3524" s="4">
        <v>0.12</v>
      </c>
      <c r="E3524" s="4">
        <v>-1.852181793708832E-2</v>
      </c>
      <c r="F3524" s="3">
        <v>3522</v>
      </c>
      <c r="G3524" s="3">
        <v>3</v>
      </c>
      <c r="H3524" s="5">
        <v>6717647682.8500004</v>
      </c>
      <c r="I3524" s="5">
        <v>7273047682.8500004</v>
      </c>
      <c r="J3524" s="5">
        <v>883000000</v>
      </c>
      <c r="K3524" s="5">
        <v>327600000</v>
      </c>
      <c r="L3524" s="5">
        <v>2941300000</v>
      </c>
      <c r="M3524" s="5">
        <v>491200000</v>
      </c>
      <c r="N3524" s="5">
        <v>256600000</v>
      </c>
    </row>
    <row r="3525" spans="1:14" x14ac:dyDescent="0.25">
      <c r="A3525" s="3" t="s">
        <v>3536</v>
      </c>
      <c r="B3525" s="4">
        <v>13.06</v>
      </c>
      <c r="C3525" s="4">
        <v>-0.01</v>
      </c>
      <c r="D3525" s="4">
        <v>0</v>
      </c>
      <c r="E3525" s="4">
        <v>-1.8530918718564781E-2</v>
      </c>
      <c r="F3525" s="3">
        <v>3523</v>
      </c>
      <c r="G3525" s="3">
        <v>3</v>
      </c>
      <c r="H3525" s="5">
        <v>30932546915.779999</v>
      </c>
      <c r="I3525" s="5">
        <v>34353546915.779999</v>
      </c>
      <c r="J3525" s="5">
        <v>5311000000</v>
      </c>
      <c r="K3525" s="5">
        <v>1890000000</v>
      </c>
      <c r="L3525" s="5">
        <v>9930000000</v>
      </c>
      <c r="M3525" s="5">
        <v>2631000000</v>
      </c>
      <c r="N3525" s="5">
        <v>-98000000</v>
      </c>
    </row>
    <row r="3526" spans="1:14" x14ac:dyDescent="0.25">
      <c r="A3526" s="3" t="s">
        <v>3537</v>
      </c>
      <c r="B3526" s="4">
        <v>13.7</v>
      </c>
      <c r="C3526" s="4">
        <v>0.12</v>
      </c>
      <c r="D3526" s="4">
        <v>0.08</v>
      </c>
      <c r="E3526" s="4">
        <v>-1.853597877936974E-2</v>
      </c>
      <c r="F3526" s="3">
        <v>3524</v>
      </c>
      <c r="G3526" s="3">
        <v>3</v>
      </c>
      <c r="H3526" s="5">
        <v>365348488.5</v>
      </c>
      <c r="I3526" s="5">
        <v>368848488.5</v>
      </c>
      <c r="J3526" s="5">
        <v>4343000</v>
      </c>
      <c r="K3526" s="5">
        <v>843000</v>
      </c>
      <c r="L3526" s="5">
        <v>356231000</v>
      </c>
      <c r="M3526" s="5">
        <v>26926000</v>
      </c>
      <c r="N3526" s="5">
        <v>14951000</v>
      </c>
    </row>
    <row r="3527" spans="1:14" x14ac:dyDescent="0.25">
      <c r="A3527" s="3" t="s">
        <v>3538</v>
      </c>
      <c r="B3527" s="4">
        <v>13.64</v>
      </c>
      <c r="C3527" s="4">
        <v>0.11</v>
      </c>
      <c r="D3527" s="4">
        <v>0.03</v>
      </c>
      <c r="E3527" s="4">
        <v>-1.8537382285089259E-2</v>
      </c>
      <c r="F3527" s="3">
        <v>3525</v>
      </c>
      <c r="G3527" s="3">
        <v>3</v>
      </c>
      <c r="H3527" s="5">
        <v>64103408495.519997</v>
      </c>
      <c r="I3527" s="5">
        <v>109230708495.52</v>
      </c>
      <c r="J3527" s="5">
        <v>45330200000</v>
      </c>
      <c r="K3527" s="5">
        <v>202900000</v>
      </c>
      <c r="L3527" s="5">
        <v>19721300000</v>
      </c>
      <c r="M3527" s="5">
        <v>8006100000</v>
      </c>
      <c r="N3527" s="5">
        <v>2967100000</v>
      </c>
    </row>
    <row r="3528" spans="1:14" x14ac:dyDescent="0.25">
      <c r="A3528" s="3" t="s">
        <v>3539</v>
      </c>
      <c r="B3528" s="4">
        <v>8.5</v>
      </c>
      <c r="C3528" s="4">
        <v>-0.98</v>
      </c>
      <c r="D3528" s="4">
        <v>-0.14000000000000001</v>
      </c>
      <c r="E3528" s="4">
        <v>-1.853832717318497E-2</v>
      </c>
      <c r="F3528" s="3">
        <v>3526</v>
      </c>
      <c r="G3528" s="3">
        <v>3</v>
      </c>
      <c r="H3528" s="5">
        <v>4168.6262999999999</v>
      </c>
      <c r="I3528" s="5">
        <v>467027168.62629998</v>
      </c>
      <c r="J3528" s="5">
        <v>469152000</v>
      </c>
      <c r="K3528" s="5">
        <v>2129000</v>
      </c>
      <c r="L3528" s="5">
        <v>297520000</v>
      </c>
      <c r="M3528" s="5">
        <v>54924000</v>
      </c>
      <c r="N3528" s="5">
        <v>-86713000</v>
      </c>
    </row>
    <row r="3529" spans="1:14" x14ac:dyDescent="0.25">
      <c r="A3529" s="3" t="s">
        <v>3540</v>
      </c>
      <c r="B3529" s="4">
        <v>12.09</v>
      </c>
      <c r="C3529" s="4">
        <v>-0.22</v>
      </c>
      <c r="D3529" s="4">
        <v>-0.01</v>
      </c>
      <c r="E3529" s="4">
        <v>-1.8539260539829391E-2</v>
      </c>
      <c r="F3529" s="3">
        <v>3527</v>
      </c>
      <c r="G3529" s="3">
        <v>3</v>
      </c>
      <c r="H3529" s="5">
        <v>1959429088</v>
      </c>
      <c r="I3529" s="5">
        <v>6882523088</v>
      </c>
      <c r="J3529" s="5">
        <v>4933842000</v>
      </c>
      <c r="K3529" s="5">
        <v>10748000</v>
      </c>
      <c r="L3529" s="5">
        <v>2966216000</v>
      </c>
      <c r="M3529" s="5">
        <v>569317000</v>
      </c>
      <c r="N3529" s="5">
        <v>-63947000</v>
      </c>
    </row>
    <row r="3530" spans="1:14" x14ac:dyDescent="0.25">
      <c r="A3530" s="3" t="s">
        <v>3541</v>
      </c>
      <c r="B3530" s="4">
        <v>13.7</v>
      </c>
      <c r="C3530" s="4">
        <v>0.12</v>
      </c>
      <c r="D3530" s="4">
        <v>0.03</v>
      </c>
      <c r="E3530" s="4">
        <v>-1.854562391225727E-2</v>
      </c>
      <c r="F3530" s="3">
        <v>3528</v>
      </c>
      <c r="G3530" s="3">
        <v>3</v>
      </c>
      <c r="H3530" s="5">
        <v>22084485346.049999</v>
      </c>
      <c r="I3530" s="5">
        <v>37356485346.050003</v>
      </c>
      <c r="J3530" s="5">
        <v>15375000000</v>
      </c>
      <c r="K3530" s="5">
        <v>103000000</v>
      </c>
      <c r="L3530" s="5">
        <v>7515000000</v>
      </c>
      <c r="M3530" s="5">
        <v>2727000000</v>
      </c>
      <c r="N3530" s="5">
        <v>1003000000</v>
      </c>
    </row>
    <row r="3531" spans="1:14" x14ac:dyDescent="0.25">
      <c r="A3531" s="3" t="s">
        <v>3542</v>
      </c>
      <c r="B3531" s="4">
        <v>14.84</v>
      </c>
      <c r="C3531" s="4">
        <v>0.36</v>
      </c>
      <c r="D3531" s="4">
        <v>0.09</v>
      </c>
      <c r="E3531" s="4">
        <v>-1.8546172633912068E-2</v>
      </c>
      <c r="F3531" s="3">
        <v>3529</v>
      </c>
      <c r="G3531" s="3">
        <v>3</v>
      </c>
      <c r="H3531" s="5">
        <v>28947994732.799999</v>
      </c>
      <c r="I3531" s="5">
        <v>33996994732.799999</v>
      </c>
      <c r="J3531" s="5">
        <v>5743000000</v>
      </c>
      <c r="K3531" s="5">
        <v>694000000</v>
      </c>
      <c r="L3531" s="5">
        <v>12749000000</v>
      </c>
      <c r="M3531" s="5">
        <v>2291000000</v>
      </c>
      <c r="N3531" s="5">
        <v>1343000000</v>
      </c>
    </row>
    <row r="3532" spans="1:14" x14ac:dyDescent="0.25">
      <c r="A3532" s="3" t="s">
        <v>3543</v>
      </c>
      <c r="B3532" s="4">
        <v>14.57</v>
      </c>
      <c r="C3532" s="4">
        <v>0.28999999999999998</v>
      </c>
      <c r="D3532" s="4">
        <v>0.22</v>
      </c>
      <c r="E3532" s="4">
        <v>-1.8556241983684611E-2</v>
      </c>
      <c r="F3532" s="3">
        <v>3530</v>
      </c>
      <c r="G3532" s="3">
        <v>3</v>
      </c>
      <c r="H3532" s="5">
        <v>5007387798.8000002</v>
      </c>
      <c r="I3532" s="5">
        <v>4682764798.8000002</v>
      </c>
      <c r="J3532" s="5">
        <v>0</v>
      </c>
      <c r="K3532" s="5">
        <v>324623000</v>
      </c>
      <c r="L3532" s="5">
        <v>1033002000</v>
      </c>
      <c r="M3532" s="5">
        <v>321288000</v>
      </c>
      <c r="N3532" s="5">
        <v>226234000</v>
      </c>
    </row>
    <row r="3533" spans="1:14" x14ac:dyDescent="0.25">
      <c r="A3533" s="3" t="s">
        <v>3544</v>
      </c>
      <c r="B3533" s="4">
        <v>7.06</v>
      </c>
      <c r="C3533" s="4">
        <v>-1.3</v>
      </c>
      <c r="D3533" s="4">
        <v>-0.11</v>
      </c>
      <c r="E3533" s="4">
        <v>-1.8565889897535961E-2</v>
      </c>
      <c r="F3533" s="3">
        <v>3531</v>
      </c>
      <c r="G3533" s="3">
        <v>3</v>
      </c>
      <c r="H3533" s="5">
        <v>109565610.64</v>
      </c>
      <c r="I3533" s="5">
        <v>589470610.63999999</v>
      </c>
      <c r="J3533" s="5">
        <v>580671000</v>
      </c>
      <c r="K3533" s="5">
        <v>100766000</v>
      </c>
      <c r="L3533" s="5">
        <v>530994000</v>
      </c>
      <c r="M3533" s="5">
        <v>83489000</v>
      </c>
      <c r="N3533" s="5">
        <v>-121908000</v>
      </c>
    </row>
    <row r="3534" spans="1:14" x14ac:dyDescent="0.25">
      <c r="A3534" s="3" t="s">
        <v>3545</v>
      </c>
      <c r="B3534" s="4">
        <v>14.27</v>
      </c>
      <c r="C3534" s="4">
        <v>0.23</v>
      </c>
      <c r="D3534" s="4">
        <v>0.05</v>
      </c>
      <c r="E3534" s="4">
        <v>-1.8576720906676631E-2</v>
      </c>
      <c r="F3534" s="3">
        <v>3532</v>
      </c>
      <c r="G3534" s="3">
        <v>3</v>
      </c>
      <c r="H3534" s="5">
        <v>35783436000</v>
      </c>
      <c r="I3534" s="5">
        <v>48288436000</v>
      </c>
      <c r="J3534" s="5">
        <v>14207000000</v>
      </c>
      <c r="K3534" s="5">
        <v>1702000000</v>
      </c>
      <c r="L3534" s="5">
        <v>15405000000</v>
      </c>
      <c r="M3534" s="5">
        <v>3383000000</v>
      </c>
      <c r="N3534" s="5">
        <v>1373000000</v>
      </c>
    </row>
    <row r="3535" spans="1:14" x14ac:dyDescent="0.25">
      <c r="A3535" s="3" t="s">
        <v>3546</v>
      </c>
      <c r="B3535" s="4">
        <v>14.89</v>
      </c>
      <c r="C3535" s="4">
        <v>0.36</v>
      </c>
      <c r="D3535" s="4">
        <v>0.08</v>
      </c>
      <c r="E3535" s="4">
        <v>-1.8579047688974962E-2</v>
      </c>
      <c r="F3535" s="3">
        <v>3533</v>
      </c>
      <c r="G3535" s="3">
        <v>3</v>
      </c>
      <c r="H3535" s="5">
        <v>29977290943.880001</v>
      </c>
      <c r="I3535" s="5">
        <v>33012809943.880001</v>
      </c>
      <c r="J3535" s="5">
        <v>5599847000</v>
      </c>
      <c r="K3535" s="5">
        <v>2564328000</v>
      </c>
      <c r="L3535" s="5">
        <v>12385107000</v>
      </c>
      <c r="M3535" s="5">
        <v>2216734000</v>
      </c>
      <c r="N3535" s="5">
        <v>1058616000</v>
      </c>
    </row>
    <row r="3536" spans="1:14" x14ac:dyDescent="0.25">
      <c r="A3536" s="3" t="s">
        <v>3547</v>
      </c>
      <c r="B3536" s="4">
        <v>-4.04</v>
      </c>
      <c r="C3536" s="4">
        <v>-3.56</v>
      </c>
      <c r="D3536" s="4">
        <v>-1.98</v>
      </c>
      <c r="E3536" s="4">
        <v>-1.858655472904109E-2</v>
      </c>
      <c r="F3536" s="3">
        <v>3534</v>
      </c>
      <c r="G3536" s="3">
        <v>3</v>
      </c>
      <c r="H3536" s="5">
        <v>49349149.600000001</v>
      </c>
      <c r="I3536" s="5">
        <v>45184829.600000001</v>
      </c>
      <c r="J3536" s="5">
        <v>0</v>
      </c>
      <c r="K3536" s="5">
        <v>4164320</v>
      </c>
      <c r="L3536" s="5">
        <v>0</v>
      </c>
      <c r="M3536" s="5">
        <v>-11180900</v>
      </c>
      <c r="N3536" s="5">
        <v>-11155520</v>
      </c>
    </row>
    <row r="3537" spans="1:14" x14ac:dyDescent="0.25">
      <c r="A3537" s="3" t="s">
        <v>3548</v>
      </c>
      <c r="B3537" s="4">
        <v>13.25</v>
      </c>
      <c r="C3537" s="4">
        <v>0.01</v>
      </c>
      <c r="D3537" s="4">
        <v>0</v>
      </c>
      <c r="E3537" s="4">
        <v>-1.8590726412780329E-2</v>
      </c>
      <c r="F3537" s="3">
        <v>3535</v>
      </c>
      <c r="G3537" s="3">
        <v>3</v>
      </c>
      <c r="H3537" s="5">
        <v>3307424247.5999999</v>
      </c>
      <c r="I3537" s="5">
        <v>4178924247.5999999</v>
      </c>
      <c r="J3537" s="5">
        <v>968000000</v>
      </c>
      <c r="K3537" s="5">
        <v>96500000</v>
      </c>
      <c r="L3537" s="5">
        <v>2780500000</v>
      </c>
      <c r="M3537" s="5">
        <v>315500000</v>
      </c>
      <c r="N3537" s="5">
        <v>12500000</v>
      </c>
    </row>
    <row r="3538" spans="1:14" x14ac:dyDescent="0.25">
      <c r="A3538" s="3" t="s">
        <v>3549</v>
      </c>
      <c r="B3538" s="4">
        <v>14.21</v>
      </c>
      <c r="C3538" s="4">
        <v>0.21</v>
      </c>
      <c r="D3538" s="4">
        <v>0.04</v>
      </c>
      <c r="E3538" s="4">
        <v>-1.859930191310059E-2</v>
      </c>
      <c r="F3538" s="3">
        <v>3536</v>
      </c>
      <c r="G3538" s="3">
        <v>3</v>
      </c>
      <c r="H3538" s="5">
        <v>520581246.63999999</v>
      </c>
      <c r="I3538" s="5">
        <v>491554246.63999999</v>
      </c>
      <c r="J3538" s="5">
        <v>751000</v>
      </c>
      <c r="K3538" s="5">
        <v>29778000</v>
      </c>
      <c r="L3538" s="5">
        <v>465607000</v>
      </c>
      <c r="M3538" s="5">
        <v>34603000</v>
      </c>
      <c r="N3538" s="5">
        <v>18610000</v>
      </c>
    </row>
    <row r="3539" spans="1:14" x14ac:dyDescent="0.25">
      <c r="A3539" s="3" t="s">
        <v>3550</v>
      </c>
      <c r="B3539" s="4">
        <v>13.52</v>
      </c>
      <c r="C3539" s="4">
        <v>0.06</v>
      </c>
      <c r="D3539" s="4">
        <v>0.04</v>
      </c>
      <c r="E3539" s="4">
        <v>-1.860565082521911E-2</v>
      </c>
      <c r="F3539" s="3">
        <v>3537</v>
      </c>
      <c r="G3539" s="3">
        <v>3</v>
      </c>
      <c r="H3539" s="5">
        <v>398578612.19999999</v>
      </c>
      <c r="I3539" s="5">
        <v>354335612.19999999</v>
      </c>
      <c r="J3539" s="5">
        <v>11062000</v>
      </c>
      <c r="K3539" s="5">
        <v>55305000</v>
      </c>
      <c r="L3539" s="5">
        <v>160953000</v>
      </c>
      <c r="M3539" s="5">
        <v>26204000</v>
      </c>
      <c r="N3539" s="5">
        <v>14462000</v>
      </c>
    </row>
    <row r="3540" spans="1:14" x14ac:dyDescent="0.25">
      <c r="A3540" s="3" t="s">
        <v>3551</v>
      </c>
      <c r="B3540" s="4">
        <v>13.51</v>
      </c>
      <c r="C3540" s="4">
        <v>0.05</v>
      </c>
      <c r="D3540" s="4">
        <v>0.02</v>
      </c>
      <c r="E3540" s="4">
        <v>-1.8632213279691501E-2</v>
      </c>
      <c r="F3540" s="3">
        <v>3538</v>
      </c>
      <c r="G3540" s="3">
        <v>3</v>
      </c>
      <c r="H3540" s="5">
        <v>1162490904.8599999</v>
      </c>
      <c r="I3540" s="5">
        <v>1414818904.8599999</v>
      </c>
      <c r="J3540" s="5">
        <v>319783000</v>
      </c>
      <c r="K3540" s="5">
        <v>67455000</v>
      </c>
      <c r="L3540" s="5">
        <v>296448000</v>
      </c>
      <c r="M3540" s="5">
        <v>104696000</v>
      </c>
      <c r="N3540" s="5">
        <v>18700000</v>
      </c>
    </row>
    <row r="3541" spans="1:14" x14ac:dyDescent="0.25">
      <c r="A3541" s="3" t="s">
        <v>3552</v>
      </c>
      <c r="B3541" s="4">
        <v>14.32</v>
      </c>
      <c r="C3541" s="4">
        <v>0.21</v>
      </c>
      <c r="D3541" s="4">
        <v>0.11</v>
      </c>
      <c r="E3541" s="4">
        <v>-1.86538799897259E-2</v>
      </c>
      <c r="F3541" s="3">
        <v>3539</v>
      </c>
      <c r="G3541" s="3">
        <v>3</v>
      </c>
      <c r="H3541" s="5">
        <v>2182309879.7399998</v>
      </c>
      <c r="I3541" s="5">
        <v>2220419879.7399998</v>
      </c>
      <c r="J3541" s="5">
        <v>189668000</v>
      </c>
      <c r="K3541" s="5">
        <v>151558000</v>
      </c>
      <c r="L3541" s="5">
        <v>616899000</v>
      </c>
      <c r="M3541" s="5">
        <v>155009000</v>
      </c>
      <c r="N3541" s="5">
        <v>92749000</v>
      </c>
    </row>
    <row r="3542" spans="1:14" x14ac:dyDescent="0.25">
      <c r="A3542" s="3" t="s">
        <v>3553</v>
      </c>
      <c r="B3542" s="4">
        <v>13.06</v>
      </c>
      <c r="C3542" s="4">
        <v>-0.05</v>
      </c>
      <c r="D3542" s="4">
        <v>-0.04</v>
      </c>
      <c r="E3542" s="4">
        <v>-1.8654209252932642E-2</v>
      </c>
      <c r="F3542" s="3">
        <v>3540</v>
      </c>
      <c r="G3542" s="3">
        <v>3</v>
      </c>
      <c r="H3542" s="5">
        <v>336543427.5</v>
      </c>
      <c r="I3542" s="5">
        <v>329648427.5</v>
      </c>
      <c r="J3542" s="5">
        <v>0</v>
      </c>
      <c r="K3542" s="5">
        <v>6895000</v>
      </c>
      <c r="L3542" s="5">
        <v>135598000</v>
      </c>
      <c r="M3542" s="5">
        <v>25249000</v>
      </c>
      <c r="N3542" s="5">
        <v>-6578000</v>
      </c>
    </row>
    <row r="3543" spans="1:14" x14ac:dyDescent="0.25">
      <c r="A3543" s="3" t="s">
        <v>3554</v>
      </c>
      <c r="B3543" s="4">
        <v>14.43</v>
      </c>
      <c r="C3543" s="4">
        <v>0.23</v>
      </c>
      <c r="D3543" s="4">
        <v>0.1</v>
      </c>
      <c r="E3543" s="4">
        <v>-1.866610306494234E-2</v>
      </c>
      <c r="F3543" s="3">
        <v>3541</v>
      </c>
      <c r="G3543" s="3">
        <v>3</v>
      </c>
      <c r="H3543" s="5">
        <v>8742011034.8999996</v>
      </c>
      <c r="I3543" s="5">
        <v>8937911034.8999996</v>
      </c>
      <c r="J3543" s="5">
        <v>698600000</v>
      </c>
      <c r="K3543" s="5">
        <v>502700000</v>
      </c>
      <c r="L3543" s="5">
        <v>2275100000</v>
      </c>
      <c r="M3543" s="5">
        <v>619200000</v>
      </c>
      <c r="N3543" s="5">
        <v>369900000</v>
      </c>
    </row>
    <row r="3544" spans="1:14" x14ac:dyDescent="0.25">
      <c r="A3544" s="3" t="s">
        <v>3555</v>
      </c>
      <c r="B3544" s="4">
        <v>13.28</v>
      </c>
      <c r="C3544" s="4">
        <v>-0.01</v>
      </c>
      <c r="D3544" s="4">
        <v>0</v>
      </c>
      <c r="E3544" s="4">
        <v>-1.8667081243900489E-2</v>
      </c>
      <c r="F3544" s="3">
        <v>3542</v>
      </c>
      <c r="G3544" s="3">
        <v>3</v>
      </c>
      <c r="H3544" s="5">
        <v>408207886.80000001</v>
      </c>
      <c r="I3544" s="5">
        <v>558835886.79999995</v>
      </c>
      <c r="J3544" s="5">
        <v>177949000</v>
      </c>
      <c r="K3544" s="5">
        <v>27321000</v>
      </c>
      <c r="L3544" s="5">
        <v>240978000</v>
      </c>
      <c r="M3544" s="5">
        <v>42095000</v>
      </c>
      <c r="N3544" s="5">
        <v>-1974000</v>
      </c>
    </row>
    <row r="3545" spans="1:14" x14ac:dyDescent="0.25">
      <c r="A3545" s="3" t="s">
        <v>3556</v>
      </c>
      <c r="B3545" s="4">
        <v>13.76</v>
      </c>
      <c r="C3545" s="4">
        <v>0.09</v>
      </c>
      <c r="D3545" s="4">
        <v>0.04</v>
      </c>
      <c r="E3545" s="4">
        <v>-1.8667510940905602E-2</v>
      </c>
      <c r="F3545" s="3">
        <v>3543</v>
      </c>
      <c r="G3545" s="3">
        <v>3</v>
      </c>
      <c r="H3545" s="5">
        <v>6620536442.8800001</v>
      </c>
      <c r="I3545" s="5">
        <v>6629497442.8800001</v>
      </c>
      <c r="J3545" s="5">
        <v>196630000</v>
      </c>
      <c r="K3545" s="5">
        <v>187669000</v>
      </c>
      <c r="L3545" s="5">
        <v>4455770000</v>
      </c>
      <c r="M3545" s="5">
        <v>481855000</v>
      </c>
      <c r="N3545" s="5">
        <v>205872000</v>
      </c>
    </row>
    <row r="3546" spans="1:14" x14ac:dyDescent="0.25">
      <c r="A3546" s="3" t="s">
        <v>3557</v>
      </c>
      <c r="B3546" s="4">
        <v>13.3</v>
      </c>
      <c r="C3546" s="4">
        <v>-0.01</v>
      </c>
      <c r="D3546" s="4">
        <v>0</v>
      </c>
      <c r="E3546" s="4">
        <v>-1.867945965529464E-2</v>
      </c>
      <c r="F3546" s="3">
        <v>3544</v>
      </c>
      <c r="G3546" s="3">
        <v>3</v>
      </c>
      <c r="H3546" s="5">
        <v>4001567398.8499999</v>
      </c>
      <c r="I3546" s="5">
        <v>4015567398.8499999</v>
      </c>
      <c r="J3546" s="5">
        <v>333000000</v>
      </c>
      <c r="K3546" s="5">
        <v>319000000</v>
      </c>
      <c r="L3546" s="5">
        <v>1188000000</v>
      </c>
      <c r="M3546" s="5">
        <v>302000000</v>
      </c>
      <c r="N3546" s="5">
        <v>3000000</v>
      </c>
    </row>
    <row r="3547" spans="1:14" x14ac:dyDescent="0.25">
      <c r="A3547" s="3" t="s">
        <v>3558</v>
      </c>
      <c r="B3547" s="4">
        <v>14.35</v>
      </c>
      <c r="C3547" s="4">
        <v>0.21</v>
      </c>
      <c r="D3547" s="4">
        <v>0.06</v>
      </c>
      <c r="E3547" s="4">
        <v>-1.8682092739704659E-2</v>
      </c>
      <c r="F3547" s="3">
        <v>3545</v>
      </c>
      <c r="G3547" s="3">
        <v>3</v>
      </c>
      <c r="H3547" s="5">
        <v>9884894785.6499996</v>
      </c>
      <c r="I3547" s="5">
        <v>17276894785.650002</v>
      </c>
      <c r="J3547" s="5">
        <v>7486000000</v>
      </c>
      <c r="K3547" s="5">
        <v>94000000</v>
      </c>
      <c r="L3547" s="5">
        <v>22693000000</v>
      </c>
      <c r="M3547" s="5">
        <v>1204000000</v>
      </c>
      <c r="N3547" s="5">
        <v>866000000</v>
      </c>
    </row>
    <row r="3548" spans="1:14" x14ac:dyDescent="0.25">
      <c r="A3548" s="3" t="s">
        <v>3559</v>
      </c>
      <c r="B3548" s="4">
        <v>13.69</v>
      </c>
      <c r="C3548" s="4">
        <v>7.0000000000000007E-2</v>
      </c>
      <c r="D3548" s="4">
        <v>0.02</v>
      </c>
      <c r="E3548" s="4">
        <v>-1.8685831768209982E-2</v>
      </c>
      <c r="F3548" s="3">
        <v>3546</v>
      </c>
      <c r="G3548" s="3">
        <v>3</v>
      </c>
      <c r="H3548" s="5">
        <v>42998349917.120003</v>
      </c>
      <c r="I3548" s="5">
        <v>71220745917.119995</v>
      </c>
      <c r="J3548" s="5">
        <v>29033675000</v>
      </c>
      <c r="K3548" s="5">
        <v>811279000</v>
      </c>
      <c r="L3548" s="5">
        <v>11879653000</v>
      </c>
      <c r="M3548" s="5">
        <v>5201786000</v>
      </c>
      <c r="N3548" s="5">
        <v>1061184000</v>
      </c>
    </row>
    <row r="3549" spans="1:14" x14ac:dyDescent="0.25">
      <c r="A3549" s="3" t="s">
        <v>3560</v>
      </c>
      <c r="B3549" s="4">
        <v>10.15</v>
      </c>
      <c r="C3549" s="4">
        <v>-0.67</v>
      </c>
      <c r="D3549" s="4">
        <v>-0.28000000000000003</v>
      </c>
      <c r="E3549" s="4">
        <v>-1.8690850667839629E-2</v>
      </c>
      <c r="F3549" s="3">
        <v>3547</v>
      </c>
      <c r="G3549" s="3">
        <v>3</v>
      </c>
      <c r="H3549" s="5">
        <v>1429438098.4000001</v>
      </c>
      <c r="I3549" s="5">
        <v>1673252098.4000001</v>
      </c>
      <c r="J3549" s="5">
        <v>1542141000</v>
      </c>
      <c r="K3549" s="5">
        <v>1298327000</v>
      </c>
      <c r="L3549" s="5">
        <v>2569574000</v>
      </c>
      <c r="M3549" s="5">
        <v>164777000</v>
      </c>
      <c r="N3549" s="5">
        <v>-1001245000</v>
      </c>
    </row>
    <row r="3550" spans="1:14" x14ac:dyDescent="0.25">
      <c r="A3550" s="3" t="s">
        <v>3561</v>
      </c>
      <c r="B3550" s="4">
        <v>15.69</v>
      </c>
      <c r="C3550" s="4">
        <v>0.49</v>
      </c>
      <c r="D3550" s="4">
        <v>0.11</v>
      </c>
      <c r="E3550" s="4">
        <v>-1.869278017382069E-2</v>
      </c>
      <c r="F3550" s="3">
        <v>3548</v>
      </c>
      <c r="G3550" s="3">
        <v>3</v>
      </c>
      <c r="H3550" s="5">
        <v>28574993992.48</v>
      </c>
      <c r="I3550" s="5">
        <v>30186754992.48</v>
      </c>
      <c r="J3550" s="5">
        <v>1863252000</v>
      </c>
      <c r="K3550" s="5">
        <v>251491000</v>
      </c>
      <c r="L3550" s="5">
        <v>14883231000</v>
      </c>
      <c r="M3550" s="5">
        <v>1924394000</v>
      </c>
      <c r="N3550" s="5">
        <v>1101240000</v>
      </c>
    </row>
    <row r="3551" spans="1:14" x14ac:dyDescent="0.25">
      <c r="A3551" s="3" t="s">
        <v>3562</v>
      </c>
      <c r="B3551" s="4">
        <v>13.83</v>
      </c>
      <c r="C3551" s="4">
        <v>0.09</v>
      </c>
      <c r="D3551" s="4">
        <v>0.06</v>
      </c>
      <c r="E3551" s="4">
        <v>-1.8706977327630121E-2</v>
      </c>
      <c r="F3551" s="3">
        <v>3549</v>
      </c>
      <c r="G3551" s="3">
        <v>3</v>
      </c>
      <c r="H3551" s="5">
        <v>1038461371.35</v>
      </c>
      <c r="I3551" s="5">
        <v>1009786371.35</v>
      </c>
      <c r="J3551" s="5">
        <v>28569000</v>
      </c>
      <c r="K3551" s="5">
        <v>57244000</v>
      </c>
      <c r="L3551" s="5">
        <v>593714000</v>
      </c>
      <c r="M3551" s="5">
        <v>73023000</v>
      </c>
      <c r="N3551" s="5">
        <v>37094000</v>
      </c>
    </row>
    <row r="3552" spans="1:14" x14ac:dyDescent="0.25">
      <c r="A3552" s="3" t="s">
        <v>3563</v>
      </c>
      <c r="B3552" s="4">
        <v>12.8</v>
      </c>
      <c r="C3552" s="4">
        <v>-0.13</v>
      </c>
      <c r="D3552" s="4">
        <v>-0.02</v>
      </c>
      <c r="E3552" s="4">
        <v>-1.8720580707769271E-2</v>
      </c>
      <c r="F3552" s="3">
        <v>3550</v>
      </c>
      <c r="G3552" s="3">
        <v>3</v>
      </c>
      <c r="H3552" s="5">
        <v>5774911923.2399998</v>
      </c>
      <c r="I3552" s="5">
        <v>9323674923.2399998</v>
      </c>
      <c r="J3552" s="5">
        <v>3978145000</v>
      </c>
      <c r="K3552" s="5">
        <v>429382000</v>
      </c>
      <c r="L3552" s="5">
        <v>9504691000</v>
      </c>
      <c r="M3552" s="5">
        <v>728493000</v>
      </c>
      <c r="N3552" s="5">
        <v>-189716000</v>
      </c>
    </row>
    <row r="3553" spans="1:14" x14ac:dyDescent="0.25">
      <c r="A3553" s="3" t="s">
        <v>3564</v>
      </c>
      <c r="B3553" s="4">
        <v>13.9</v>
      </c>
      <c r="C3553" s="4">
        <v>0.1</v>
      </c>
      <c r="D3553" s="4">
        <v>0.06</v>
      </c>
      <c r="E3553" s="4">
        <v>-1.8721408160495209E-2</v>
      </c>
      <c r="F3553" s="3">
        <v>3551</v>
      </c>
      <c r="G3553" s="3">
        <v>3</v>
      </c>
      <c r="H3553" s="5">
        <v>32246039063.07</v>
      </c>
      <c r="I3553" s="5">
        <v>49317687063.07</v>
      </c>
      <c r="J3553" s="5">
        <v>17596263000</v>
      </c>
      <c r="K3553" s="5">
        <v>524615000</v>
      </c>
      <c r="L3553" s="5">
        <v>3849205000</v>
      </c>
      <c r="M3553" s="5">
        <v>3549059000</v>
      </c>
      <c r="N3553" s="5">
        <v>2678810000</v>
      </c>
    </row>
    <row r="3554" spans="1:14" x14ac:dyDescent="0.25">
      <c r="A3554" s="3" t="s">
        <v>3565</v>
      </c>
      <c r="B3554" s="4">
        <v>15.22</v>
      </c>
      <c r="C3554" s="4">
        <v>0.38</v>
      </c>
      <c r="D3554" s="4">
        <v>0.1</v>
      </c>
      <c r="E3554" s="4">
        <v>-1.8721646209794589E-2</v>
      </c>
      <c r="F3554" s="3">
        <v>3552</v>
      </c>
      <c r="G3554" s="3">
        <v>3</v>
      </c>
      <c r="H3554" s="5">
        <v>36616520000</v>
      </c>
      <c r="I3554" s="5">
        <v>41608520000</v>
      </c>
      <c r="J3554" s="5">
        <v>7425000000</v>
      </c>
      <c r="K3554" s="5">
        <v>2433000000</v>
      </c>
      <c r="L3554" s="5">
        <v>10283000000</v>
      </c>
      <c r="M3554" s="5">
        <v>2733000000</v>
      </c>
      <c r="N3554" s="5">
        <v>1975000000</v>
      </c>
    </row>
    <row r="3555" spans="1:14" x14ac:dyDescent="0.25">
      <c r="A3555" s="3" t="s">
        <v>3566</v>
      </c>
      <c r="B3555" s="4">
        <v>14</v>
      </c>
      <c r="C3555" s="4">
        <v>0.12</v>
      </c>
      <c r="D3555" s="4">
        <v>0.08</v>
      </c>
      <c r="E3555" s="4">
        <v>-1.8721654950282059E-2</v>
      </c>
      <c r="F3555" s="3">
        <v>3553</v>
      </c>
      <c r="G3555" s="3">
        <v>3</v>
      </c>
      <c r="H3555" s="5">
        <v>7169951880</v>
      </c>
      <c r="I3555" s="5">
        <v>10552161880</v>
      </c>
      <c r="J3555" s="5">
        <v>3509917000</v>
      </c>
      <c r="K3555" s="5">
        <v>127707000</v>
      </c>
      <c r="L3555" s="5">
        <v>1023269000</v>
      </c>
      <c r="M3555" s="5">
        <v>753724000</v>
      </c>
      <c r="N3555" s="5">
        <v>806112000</v>
      </c>
    </row>
    <row r="3556" spans="1:14" x14ac:dyDescent="0.25">
      <c r="A3556" s="3" t="s">
        <v>3567</v>
      </c>
      <c r="B3556" s="4">
        <v>13.52</v>
      </c>
      <c r="C3556" s="4">
        <v>0.02</v>
      </c>
      <c r="D3556" s="4">
        <v>0.01</v>
      </c>
      <c r="E3556" s="4">
        <v>-1.8727012333009461E-2</v>
      </c>
      <c r="F3556" s="3">
        <v>3554</v>
      </c>
      <c r="G3556" s="3">
        <v>3</v>
      </c>
      <c r="H3556" s="5">
        <v>334346239.92000002</v>
      </c>
      <c r="I3556" s="5">
        <v>903523239.92000008</v>
      </c>
      <c r="J3556" s="5">
        <v>587452000</v>
      </c>
      <c r="K3556" s="5">
        <v>18275000</v>
      </c>
      <c r="L3556" s="5">
        <v>85216000</v>
      </c>
      <c r="M3556" s="5">
        <v>66834000</v>
      </c>
      <c r="N3556" s="5">
        <v>13290000</v>
      </c>
    </row>
    <row r="3557" spans="1:14" x14ac:dyDescent="0.25">
      <c r="A3557" s="3" t="s">
        <v>3568</v>
      </c>
      <c r="B3557" s="4">
        <v>-0.9</v>
      </c>
      <c r="C3557" s="4">
        <v>-2.99</v>
      </c>
      <c r="D3557" s="4">
        <v>-1.2</v>
      </c>
      <c r="E3557" s="4">
        <v>-1.873256564505384E-2</v>
      </c>
      <c r="F3557" s="3">
        <v>3555</v>
      </c>
      <c r="G3557" s="3">
        <v>3</v>
      </c>
      <c r="H3557" s="5">
        <v>89453839.200000003</v>
      </c>
      <c r="I3557" s="5">
        <v>76112839.200000003</v>
      </c>
      <c r="J3557" s="5">
        <v>0</v>
      </c>
      <c r="K3557" s="5">
        <v>13341000</v>
      </c>
      <c r="L3557" s="5">
        <v>6295000</v>
      </c>
      <c r="M3557" s="5">
        <v>-84774000</v>
      </c>
      <c r="N3557" s="5">
        <v>-86222000</v>
      </c>
    </row>
    <row r="3558" spans="1:14" x14ac:dyDescent="0.25">
      <c r="A3558" s="3" t="s">
        <v>3569</v>
      </c>
      <c r="B3558" s="4">
        <v>-1.59</v>
      </c>
      <c r="C3558" s="4">
        <v>-3.11</v>
      </c>
      <c r="D3558" s="4">
        <v>-1.62</v>
      </c>
      <c r="E3558" s="4">
        <v>-1.8733252852384238E-2</v>
      </c>
      <c r="F3558" s="3">
        <v>3556</v>
      </c>
      <c r="G3558" s="3">
        <v>3</v>
      </c>
      <c r="H3558" s="5">
        <v>11893625.119999999</v>
      </c>
      <c r="I3558" s="5">
        <v>10856305.119999999</v>
      </c>
      <c r="J3558" s="5">
        <v>0</v>
      </c>
      <c r="K3558" s="5">
        <v>1037320</v>
      </c>
      <c r="L3558" s="5">
        <v>0</v>
      </c>
      <c r="M3558" s="5">
        <v>-6828690</v>
      </c>
      <c r="N3558" s="5">
        <v>-6170050</v>
      </c>
    </row>
    <row r="3559" spans="1:14" x14ac:dyDescent="0.25">
      <c r="A3559" s="3" t="s">
        <v>3570</v>
      </c>
      <c r="B3559" s="4">
        <v>-1.1200000000000001</v>
      </c>
      <c r="C3559" s="4">
        <v>-2.99</v>
      </c>
      <c r="D3559" s="4">
        <v>-1.91</v>
      </c>
      <c r="E3559" s="4">
        <v>-1.873336400672106E-2</v>
      </c>
      <c r="F3559" s="3">
        <v>3557</v>
      </c>
      <c r="G3559" s="3">
        <v>3</v>
      </c>
      <c r="H3559" s="5">
        <v>53122027.399999999</v>
      </c>
      <c r="I3559" s="5">
        <v>45356687.399999999</v>
      </c>
      <c r="J3559" s="5">
        <v>4025050</v>
      </c>
      <c r="K3559" s="5">
        <v>11790390</v>
      </c>
      <c r="L3559" s="5">
        <v>60881170</v>
      </c>
      <c r="M3559" s="5">
        <v>-40617080</v>
      </c>
      <c r="N3559" s="5">
        <v>-45729220</v>
      </c>
    </row>
    <row r="3560" spans="1:14" x14ac:dyDescent="0.25">
      <c r="A3560" s="3" t="s">
        <v>3571</v>
      </c>
      <c r="B3560" s="4">
        <v>14.12</v>
      </c>
      <c r="C3560" s="4">
        <v>0.14000000000000001</v>
      </c>
      <c r="D3560" s="4">
        <v>7.0000000000000007E-2</v>
      </c>
      <c r="E3560" s="4">
        <v>-1.8740067231195579E-2</v>
      </c>
      <c r="F3560" s="3">
        <v>3558</v>
      </c>
      <c r="G3560" s="3">
        <v>3</v>
      </c>
      <c r="H3560" s="5">
        <v>353390881.86000001</v>
      </c>
      <c r="I3560" s="5">
        <v>899971881.86000001</v>
      </c>
      <c r="J3560" s="5">
        <v>552332000</v>
      </c>
      <c r="K3560" s="5">
        <v>5751000</v>
      </c>
      <c r="L3560" s="5">
        <v>144632000</v>
      </c>
      <c r="M3560" s="5">
        <v>63751000</v>
      </c>
      <c r="N3560" s="5">
        <v>73609000</v>
      </c>
    </row>
    <row r="3561" spans="1:14" x14ac:dyDescent="0.25">
      <c r="A3561" s="3" t="s">
        <v>3572</v>
      </c>
      <c r="B3561" s="4">
        <v>14.73</v>
      </c>
      <c r="C3561" s="4">
        <v>0.26</v>
      </c>
      <c r="D3561" s="4">
        <v>0.22</v>
      </c>
      <c r="E3561" s="4">
        <v>-1.874195009588122E-2</v>
      </c>
      <c r="F3561" s="3">
        <v>3559</v>
      </c>
      <c r="G3561" s="3">
        <v>3</v>
      </c>
      <c r="H3561" s="5">
        <v>10086558595.799999</v>
      </c>
      <c r="I3561" s="5">
        <v>9246667595.7999992</v>
      </c>
      <c r="J3561" s="5">
        <v>0</v>
      </c>
      <c r="K3561" s="5">
        <v>839891000</v>
      </c>
      <c r="L3561" s="5">
        <v>2125819000</v>
      </c>
      <c r="M3561" s="5">
        <v>627636000</v>
      </c>
      <c r="N3561" s="5">
        <v>581191000</v>
      </c>
    </row>
    <row r="3562" spans="1:14" x14ac:dyDescent="0.25">
      <c r="A3562" s="3" t="s">
        <v>3573</v>
      </c>
      <c r="B3562" s="4">
        <v>16.87</v>
      </c>
      <c r="C3562" s="4">
        <v>0.7</v>
      </c>
      <c r="D3562" s="4">
        <v>0.44</v>
      </c>
      <c r="E3562" s="4">
        <v>-1.8752682821714519E-2</v>
      </c>
      <c r="F3562" s="3">
        <v>3560</v>
      </c>
      <c r="G3562" s="3">
        <v>3</v>
      </c>
      <c r="H3562" s="5">
        <v>1029480771.11</v>
      </c>
      <c r="I3562" s="5">
        <v>1053091771.11</v>
      </c>
      <c r="J3562" s="5">
        <v>73313000</v>
      </c>
      <c r="K3562" s="5">
        <v>49702000</v>
      </c>
      <c r="L3562" s="5">
        <v>366488000</v>
      </c>
      <c r="M3562" s="5">
        <v>62406000</v>
      </c>
      <c r="N3562" s="5">
        <v>368544000</v>
      </c>
    </row>
    <row r="3563" spans="1:14" x14ac:dyDescent="0.25">
      <c r="A3563" s="3" t="s">
        <v>3574</v>
      </c>
      <c r="B3563" s="4">
        <v>13.69</v>
      </c>
      <c r="C3563" s="4">
        <v>0.04</v>
      </c>
      <c r="D3563" s="4">
        <v>0.02</v>
      </c>
      <c r="E3563" s="4">
        <v>-1.877251258925336E-2</v>
      </c>
      <c r="F3563" s="3">
        <v>3561</v>
      </c>
      <c r="G3563" s="3">
        <v>3</v>
      </c>
      <c r="H3563" s="5">
        <v>5026809277.9799995</v>
      </c>
      <c r="I3563" s="5">
        <v>9458884277.9799995</v>
      </c>
      <c r="J3563" s="5">
        <v>4597765000</v>
      </c>
      <c r="K3563" s="5">
        <v>165690000</v>
      </c>
      <c r="L3563" s="5">
        <v>1135629000</v>
      </c>
      <c r="M3563" s="5">
        <v>690692000</v>
      </c>
      <c r="N3563" s="5">
        <v>210969000</v>
      </c>
    </row>
    <row r="3564" spans="1:14" x14ac:dyDescent="0.25">
      <c r="A3564" s="3" t="s">
        <v>3575</v>
      </c>
      <c r="B3564" s="4">
        <v>13.55</v>
      </c>
      <c r="C3564" s="4">
        <v>0.01</v>
      </c>
      <c r="D3564" s="4">
        <v>0</v>
      </c>
      <c r="E3564" s="4">
        <v>-1.8776402583692651E-2</v>
      </c>
      <c r="F3564" s="3">
        <v>3562</v>
      </c>
      <c r="G3564" s="3">
        <v>3</v>
      </c>
      <c r="H3564" s="5">
        <v>1037825728.8099999</v>
      </c>
      <c r="I3564" s="5">
        <v>1065325728.8099999</v>
      </c>
      <c r="J3564" s="5">
        <v>118300000</v>
      </c>
      <c r="K3564" s="5">
        <v>90800000</v>
      </c>
      <c r="L3564" s="5">
        <v>1305100000</v>
      </c>
      <c r="M3564" s="5">
        <v>78600000</v>
      </c>
      <c r="N3564" s="5">
        <v>4300000</v>
      </c>
    </row>
    <row r="3565" spans="1:14" x14ac:dyDescent="0.25">
      <c r="A3565" s="3" t="s">
        <v>3576</v>
      </c>
      <c r="B3565" s="4">
        <v>14.04</v>
      </c>
      <c r="C3565" s="4">
        <v>0.11</v>
      </c>
      <c r="D3565" s="4">
        <v>0.03</v>
      </c>
      <c r="E3565" s="4">
        <v>-1.878495051297235E-2</v>
      </c>
      <c r="F3565" s="3">
        <v>3563</v>
      </c>
      <c r="G3565" s="3">
        <v>3</v>
      </c>
      <c r="H3565" s="5">
        <v>540653529.50999999</v>
      </c>
      <c r="I3565" s="5">
        <v>901805529.50999999</v>
      </c>
      <c r="J3565" s="5">
        <v>368249000</v>
      </c>
      <c r="K3565" s="5">
        <v>7097000</v>
      </c>
      <c r="L3565" s="5">
        <v>99011000</v>
      </c>
      <c r="M3565" s="5">
        <v>64227000</v>
      </c>
      <c r="N3565" s="5">
        <v>19234000</v>
      </c>
    </row>
    <row r="3566" spans="1:14" x14ac:dyDescent="0.25">
      <c r="A3566" s="3" t="s">
        <v>3577</v>
      </c>
      <c r="B3566" s="4">
        <v>13.72</v>
      </c>
      <c r="C3566" s="4">
        <v>0.04</v>
      </c>
      <c r="D3566" s="4">
        <v>0.01</v>
      </c>
      <c r="E3566" s="4">
        <v>-1.8793009232922101E-2</v>
      </c>
      <c r="F3566" s="3">
        <v>3564</v>
      </c>
      <c r="G3566" s="3">
        <v>3</v>
      </c>
      <c r="H3566" s="5">
        <v>6846426490.2299995</v>
      </c>
      <c r="I3566" s="5">
        <v>13694426490.23</v>
      </c>
      <c r="J3566" s="5">
        <v>7180000000</v>
      </c>
      <c r="K3566" s="5">
        <v>332000000</v>
      </c>
      <c r="L3566" s="5">
        <v>1371000000</v>
      </c>
      <c r="M3566" s="5">
        <v>998000000</v>
      </c>
      <c r="N3566" s="5">
        <v>88000000</v>
      </c>
    </row>
    <row r="3567" spans="1:14" x14ac:dyDescent="0.25">
      <c r="A3567" s="3" t="s">
        <v>3578</v>
      </c>
      <c r="B3567" s="4">
        <v>14.16</v>
      </c>
      <c r="C3567" s="4">
        <v>0.13</v>
      </c>
      <c r="D3567" s="4">
        <v>0.06</v>
      </c>
      <c r="E3567" s="4">
        <v>-1.879564668757585E-2</v>
      </c>
      <c r="F3567" s="3">
        <v>3565</v>
      </c>
      <c r="G3567" s="3">
        <v>3</v>
      </c>
      <c r="H3567" s="5">
        <v>9341329625.8799992</v>
      </c>
      <c r="I3567" s="5">
        <v>10394274625.879999</v>
      </c>
      <c r="J3567" s="5">
        <v>1334222000</v>
      </c>
      <c r="K3567" s="5">
        <v>281277000</v>
      </c>
      <c r="L3567" s="5">
        <v>4295834000</v>
      </c>
      <c r="M3567" s="5">
        <v>734047000</v>
      </c>
      <c r="N3567" s="5">
        <v>316315000</v>
      </c>
    </row>
    <row r="3568" spans="1:14" x14ac:dyDescent="0.25">
      <c r="A3568" s="3" t="s">
        <v>3579</v>
      </c>
      <c r="B3568" s="4">
        <v>14.6</v>
      </c>
      <c r="C3568" s="4">
        <v>0.22</v>
      </c>
      <c r="D3568" s="4">
        <v>0.1</v>
      </c>
      <c r="E3568" s="4">
        <v>-1.8800213168807121E-2</v>
      </c>
      <c r="F3568" s="3">
        <v>3566</v>
      </c>
      <c r="G3568" s="3">
        <v>3</v>
      </c>
      <c r="H3568" s="5">
        <v>52869842718.400002</v>
      </c>
      <c r="I3568" s="5">
        <v>64118042718.400002</v>
      </c>
      <c r="J3568" s="5">
        <v>14227900000</v>
      </c>
      <c r="K3568" s="5">
        <v>2979700000</v>
      </c>
      <c r="L3568" s="5">
        <v>12100600000</v>
      </c>
      <c r="M3568" s="5">
        <v>4390900000</v>
      </c>
      <c r="N3568" s="5">
        <v>3828200000</v>
      </c>
    </row>
    <row r="3569" spans="1:14" x14ac:dyDescent="0.25">
      <c r="A3569" s="3" t="s">
        <v>3580</v>
      </c>
      <c r="B3569" s="4">
        <v>13.74</v>
      </c>
      <c r="C3569" s="4">
        <v>0.04</v>
      </c>
      <c r="D3569" s="4">
        <v>0.02</v>
      </c>
      <c r="E3569" s="4">
        <v>-1.8803458617738741E-2</v>
      </c>
      <c r="F3569" s="3">
        <v>3567</v>
      </c>
      <c r="G3569" s="3">
        <v>3</v>
      </c>
      <c r="H3569" s="5">
        <v>170836696.80000001</v>
      </c>
      <c r="I3569" s="5">
        <v>511529696.80000001</v>
      </c>
      <c r="J3569" s="5">
        <v>353117000</v>
      </c>
      <c r="K3569" s="5">
        <v>12424000</v>
      </c>
      <c r="L3569" s="5">
        <v>92817000</v>
      </c>
      <c r="M3569" s="5">
        <v>37238000</v>
      </c>
      <c r="N3569" s="5">
        <v>10851000</v>
      </c>
    </row>
    <row r="3570" spans="1:14" x14ac:dyDescent="0.25">
      <c r="A3570" s="3" t="s">
        <v>3581</v>
      </c>
      <c r="B3570" s="4">
        <v>14.7</v>
      </c>
      <c r="C3570" s="4">
        <v>0.24</v>
      </c>
      <c r="D3570" s="4">
        <v>7.0000000000000007E-2</v>
      </c>
      <c r="E3570" s="4">
        <v>-1.88101050914815E-2</v>
      </c>
      <c r="F3570" s="3">
        <v>3568</v>
      </c>
      <c r="G3570" s="3">
        <v>3</v>
      </c>
      <c r="H3570" s="5">
        <v>1046079005.36</v>
      </c>
      <c r="I3570" s="5">
        <v>990712005.36000001</v>
      </c>
      <c r="J3570" s="5">
        <v>0</v>
      </c>
      <c r="K3570" s="5">
        <v>55367000</v>
      </c>
      <c r="L3570" s="5">
        <v>1144531000</v>
      </c>
      <c r="M3570" s="5">
        <v>67382000</v>
      </c>
      <c r="N3570" s="5">
        <v>52993000</v>
      </c>
    </row>
    <row r="3571" spans="1:14" x14ac:dyDescent="0.25">
      <c r="A3571" s="3" t="s">
        <v>3582</v>
      </c>
      <c r="B3571" s="4">
        <v>13.49</v>
      </c>
      <c r="C3571" s="4">
        <v>-0.02</v>
      </c>
      <c r="D3571" s="4">
        <v>-0.02</v>
      </c>
      <c r="E3571" s="4">
        <v>-1.882980622370858E-2</v>
      </c>
      <c r="F3571" s="3">
        <v>3569</v>
      </c>
      <c r="G3571" s="3">
        <v>3</v>
      </c>
      <c r="H3571" s="5">
        <v>99450852.719999999</v>
      </c>
      <c r="I3571" s="5">
        <v>72368852.719999999</v>
      </c>
      <c r="J3571" s="5">
        <v>0</v>
      </c>
      <c r="K3571" s="5">
        <v>27082000</v>
      </c>
      <c r="L3571" s="5">
        <v>37334000</v>
      </c>
      <c r="M3571" s="5">
        <v>5364000</v>
      </c>
      <c r="N3571" s="5">
        <v>-2042000</v>
      </c>
    </row>
    <row r="3572" spans="1:14" x14ac:dyDescent="0.25">
      <c r="A3572" s="3" t="s">
        <v>3583</v>
      </c>
      <c r="B3572" s="4">
        <v>13.43</v>
      </c>
      <c r="C3572" s="4">
        <v>-0.04</v>
      </c>
      <c r="D3572" s="4">
        <v>-0.02</v>
      </c>
      <c r="E3572" s="4">
        <v>-1.8850458203555031E-2</v>
      </c>
      <c r="F3572" s="3">
        <v>3570</v>
      </c>
      <c r="G3572" s="3">
        <v>3</v>
      </c>
      <c r="H3572" s="5">
        <v>603614346.61000001</v>
      </c>
      <c r="I3572" s="5">
        <v>1080809346.6099999</v>
      </c>
      <c r="J3572" s="5">
        <v>497425000</v>
      </c>
      <c r="K3572" s="5">
        <v>20230000</v>
      </c>
      <c r="L3572" s="5">
        <v>522400000</v>
      </c>
      <c r="M3572" s="5">
        <v>80472000</v>
      </c>
      <c r="N3572" s="5">
        <v>-19353000</v>
      </c>
    </row>
    <row r="3573" spans="1:14" x14ac:dyDescent="0.25">
      <c r="A3573" s="3" t="s">
        <v>3584</v>
      </c>
      <c r="B3573" s="4">
        <v>11.37</v>
      </c>
      <c r="C3573" s="4">
        <v>-0.48</v>
      </c>
      <c r="D3573" s="4">
        <v>-0.06</v>
      </c>
      <c r="E3573" s="4">
        <v>-1.8854516644903251E-2</v>
      </c>
      <c r="F3573" s="3">
        <v>3571</v>
      </c>
      <c r="G3573" s="3">
        <v>3</v>
      </c>
      <c r="H3573" s="5">
        <v>2379595090.2350001</v>
      </c>
      <c r="I3573" s="5">
        <v>4903185090.2350006</v>
      </c>
      <c r="J3573" s="5">
        <v>2693544000</v>
      </c>
      <c r="K3573" s="5">
        <v>169954000</v>
      </c>
      <c r="L3573" s="5">
        <v>2339588000</v>
      </c>
      <c r="M3573" s="5">
        <v>431336000</v>
      </c>
      <c r="N3573" s="5">
        <v>-292496000</v>
      </c>
    </row>
    <row r="3574" spans="1:14" x14ac:dyDescent="0.25">
      <c r="A3574" s="3" t="s">
        <v>3585</v>
      </c>
      <c r="B3574" s="4">
        <v>14.49</v>
      </c>
      <c r="C3574" s="4">
        <v>0.18</v>
      </c>
      <c r="D3574" s="4">
        <v>0.06</v>
      </c>
      <c r="E3574" s="4">
        <v>-1.8855422440507121E-2</v>
      </c>
      <c r="F3574" s="3">
        <v>3572</v>
      </c>
      <c r="G3574" s="3">
        <v>3</v>
      </c>
      <c r="H3574" s="5">
        <v>12763676224.200001</v>
      </c>
      <c r="I3574" s="5">
        <v>20097709224.200001</v>
      </c>
      <c r="J3574" s="5">
        <v>7796665000</v>
      </c>
      <c r="K3574" s="5">
        <v>462632000</v>
      </c>
      <c r="L3574" s="5">
        <v>1531546000</v>
      </c>
      <c r="M3574" s="5">
        <v>1387047000</v>
      </c>
      <c r="N3574" s="5">
        <v>784620000</v>
      </c>
    </row>
    <row r="3575" spans="1:14" x14ac:dyDescent="0.25">
      <c r="A3575" s="3" t="s">
        <v>3586</v>
      </c>
      <c r="B3575" s="4">
        <v>14.78</v>
      </c>
      <c r="C3575" s="4">
        <v>0.24</v>
      </c>
      <c r="D3575" s="4">
        <v>0.09</v>
      </c>
      <c r="E3575" s="4">
        <v>-1.88557606839031E-2</v>
      </c>
      <c r="F3575" s="3">
        <v>3573</v>
      </c>
      <c r="G3575" s="3">
        <v>3</v>
      </c>
      <c r="H3575" s="5">
        <v>13792517830</v>
      </c>
      <c r="I3575" s="5">
        <v>16136993830</v>
      </c>
      <c r="J3575" s="5">
        <v>2646613000</v>
      </c>
      <c r="K3575" s="5">
        <v>302137000</v>
      </c>
      <c r="L3575" s="5">
        <v>7372644000</v>
      </c>
      <c r="M3575" s="5">
        <v>1091741000</v>
      </c>
      <c r="N3575" s="5">
        <v>688688000</v>
      </c>
    </row>
    <row r="3576" spans="1:14" x14ac:dyDescent="0.25">
      <c r="A3576" s="3" t="s">
        <v>3587</v>
      </c>
      <c r="B3576" s="4">
        <v>13.93</v>
      </c>
      <c r="C3576" s="4">
        <v>0.06</v>
      </c>
      <c r="D3576" s="4">
        <v>0.04</v>
      </c>
      <c r="E3576" s="4">
        <v>-1.8859408258799289E-2</v>
      </c>
      <c r="F3576" s="3">
        <v>3574</v>
      </c>
      <c r="G3576" s="3">
        <v>3</v>
      </c>
      <c r="H3576" s="5">
        <v>1145218160.4000001</v>
      </c>
      <c r="I3576" s="5">
        <v>1586619160.4000001</v>
      </c>
      <c r="J3576" s="5">
        <v>474837000</v>
      </c>
      <c r="K3576" s="5">
        <v>33436000</v>
      </c>
      <c r="L3576" s="5">
        <v>236641000</v>
      </c>
      <c r="M3576" s="5">
        <v>113917000</v>
      </c>
      <c r="N3576" s="5">
        <v>60537000</v>
      </c>
    </row>
    <row r="3577" spans="1:14" x14ac:dyDescent="0.25">
      <c r="A3577" s="3" t="s">
        <v>3588</v>
      </c>
      <c r="B3577" s="4">
        <v>15.12</v>
      </c>
      <c r="C3577" s="4">
        <v>0.31</v>
      </c>
      <c r="D3577" s="4">
        <v>0.08</v>
      </c>
      <c r="E3577" s="4">
        <v>-1.8865867455080031E-2</v>
      </c>
      <c r="F3577" s="3">
        <v>3575</v>
      </c>
      <c r="G3577" s="3">
        <v>3</v>
      </c>
      <c r="H3577" s="5">
        <v>125104524336.39999</v>
      </c>
      <c r="I3577" s="5">
        <v>145636524336.39999</v>
      </c>
      <c r="J3577" s="5">
        <v>31099000000</v>
      </c>
      <c r="K3577" s="5">
        <v>10567000000</v>
      </c>
      <c r="L3577" s="5">
        <v>38498000000</v>
      </c>
      <c r="M3577" s="5">
        <v>9634000000</v>
      </c>
      <c r="N3577" s="5">
        <v>5705000000</v>
      </c>
    </row>
    <row r="3578" spans="1:14" x14ac:dyDescent="0.25">
      <c r="A3578" s="3" t="s">
        <v>3589</v>
      </c>
      <c r="B3578" s="4">
        <v>13.65</v>
      </c>
      <c r="C3578" s="4">
        <v>0</v>
      </c>
      <c r="D3578" s="4">
        <v>0</v>
      </c>
      <c r="E3578" s="4">
        <v>-1.8867188247677889E-2</v>
      </c>
      <c r="F3578" s="3">
        <v>3576</v>
      </c>
      <c r="G3578" s="3">
        <v>3</v>
      </c>
      <c r="H3578" s="5">
        <v>4769626585.1899996</v>
      </c>
      <c r="I3578" s="5">
        <v>7868500585.1899996</v>
      </c>
      <c r="J3578" s="5">
        <v>3226930000</v>
      </c>
      <c r="K3578" s="5">
        <v>128056000</v>
      </c>
      <c r="L3578" s="5">
        <v>841842000</v>
      </c>
      <c r="M3578" s="5">
        <v>576440000</v>
      </c>
      <c r="N3578" s="5">
        <v>4071000</v>
      </c>
    </row>
    <row r="3579" spans="1:14" x14ac:dyDescent="0.25">
      <c r="A3579" s="3" t="s">
        <v>3590</v>
      </c>
      <c r="B3579" s="4">
        <v>13.63</v>
      </c>
      <c r="C3579" s="4">
        <v>-0.01</v>
      </c>
      <c r="D3579" s="4">
        <v>0</v>
      </c>
      <c r="E3579" s="4">
        <v>-1.8883703443298198E-2</v>
      </c>
      <c r="F3579" s="3">
        <v>3577</v>
      </c>
      <c r="G3579" s="3">
        <v>3</v>
      </c>
      <c r="H3579" s="5">
        <v>379264526.19</v>
      </c>
      <c r="I3579" s="5">
        <v>351473526.19</v>
      </c>
      <c r="J3579" s="5">
        <v>0</v>
      </c>
      <c r="K3579" s="5">
        <v>27791000</v>
      </c>
      <c r="L3579" s="5">
        <v>889202000</v>
      </c>
      <c r="M3579" s="5">
        <v>25790000</v>
      </c>
      <c r="N3579" s="5">
        <v>-1713000</v>
      </c>
    </row>
    <row r="3580" spans="1:14" x14ac:dyDescent="0.25">
      <c r="A3580" s="3" t="s">
        <v>3591</v>
      </c>
      <c r="B3580" s="4">
        <v>14.41</v>
      </c>
      <c r="C3580" s="4">
        <v>0.15</v>
      </c>
      <c r="D3580" s="4">
        <v>7.0000000000000007E-2</v>
      </c>
      <c r="E3580" s="4">
        <v>-1.8890660589396362E-2</v>
      </c>
      <c r="F3580" s="3">
        <v>3578</v>
      </c>
      <c r="G3580" s="3">
        <v>3</v>
      </c>
      <c r="H3580" s="5">
        <v>6828769455.6800003</v>
      </c>
      <c r="I3580" s="5">
        <v>7655150455.6800003</v>
      </c>
      <c r="J3580" s="5">
        <v>1075739000</v>
      </c>
      <c r="K3580" s="5">
        <v>249358000</v>
      </c>
      <c r="L3580" s="5">
        <v>2740803000</v>
      </c>
      <c r="M3580" s="5">
        <v>531413000</v>
      </c>
      <c r="N3580" s="5">
        <v>264842000</v>
      </c>
    </row>
    <row r="3581" spans="1:14" x14ac:dyDescent="0.25">
      <c r="A3581" s="3" t="s">
        <v>3592</v>
      </c>
      <c r="B3581" s="4">
        <v>14.82</v>
      </c>
      <c r="C3581" s="4">
        <v>0.23</v>
      </c>
      <c r="D3581" s="4">
        <v>0.18</v>
      </c>
      <c r="E3581" s="4">
        <v>-1.8892049874508311E-2</v>
      </c>
      <c r="F3581" s="3">
        <v>3579</v>
      </c>
      <c r="G3581" s="3">
        <v>3</v>
      </c>
      <c r="H3581" s="5">
        <v>10867705772.77</v>
      </c>
      <c r="I3581" s="5">
        <v>10650331772.77</v>
      </c>
      <c r="J3581" s="5">
        <v>0</v>
      </c>
      <c r="K3581" s="5">
        <v>217374000</v>
      </c>
      <c r="L3581" s="5">
        <v>2168701000</v>
      </c>
      <c r="M3581" s="5">
        <v>718752000</v>
      </c>
      <c r="N3581" s="5">
        <v>521267000</v>
      </c>
    </row>
    <row r="3582" spans="1:14" x14ac:dyDescent="0.25">
      <c r="A3582" s="3" t="s">
        <v>3593</v>
      </c>
      <c r="B3582" s="4">
        <v>13.93</v>
      </c>
      <c r="C3582" s="4">
        <v>0.05</v>
      </c>
      <c r="D3582" s="4">
        <v>0.02</v>
      </c>
      <c r="E3582" s="4">
        <v>-1.8892159918968761E-2</v>
      </c>
      <c r="F3582" s="3">
        <v>3580</v>
      </c>
      <c r="G3582" s="3">
        <v>3</v>
      </c>
      <c r="H3582" s="5">
        <v>114272062.5</v>
      </c>
      <c r="I3582" s="5">
        <v>173013662.5</v>
      </c>
      <c r="J3582" s="5">
        <v>79137950</v>
      </c>
      <c r="K3582" s="5">
        <v>20396350</v>
      </c>
      <c r="L3582" s="5">
        <v>378169750</v>
      </c>
      <c r="M3582" s="5">
        <v>12422940</v>
      </c>
      <c r="N3582" s="5">
        <v>7869530</v>
      </c>
    </row>
    <row r="3583" spans="1:14" x14ac:dyDescent="0.25">
      <c r="A3583" s="3" t="s">
        <v>3594</v>
      </c>
      <c r="B3583" s="4">
        <v>15.34</v>
      </c>
      <c r="C3583" s="4">
        <v>0.35</v>
      </c>
      <c r="D3583" s="4">
        <v>0.05</v>
      </c>
      <c r="E3583" s="4">
        <v>-1.8892242632090429E-2</v>
      </c>
      <c r="F3583" s="3">
        <v>3581</v>
      </c>
      <c r="G3583" s="3">
        <v>3</v>
      </c>
      <c r="H3583" s="5">
        <v>11993402459.610001</v>
      </c>
      <c r="I3583" s="5">
        <v>15169419459.610001</v>
      </c>
      <c r="J3583" s="5">
        <v>3225478000</v>
      </c>
      <c r="K3583" s="5">
        <v>49461000</v>
      </c>
      <c r="L3583" s="5">
        <v>2207103000</v>
      </c>
      <c r="M3583" s="5">
        <v>988950000</v>
      </c>
      <c r="N3583" s="5">
        <v>361867000</v>
      </c>
    </row>
    <row r="3584" spans="1:14" x14ac:dyDescent="0.25">
      <c r="A3584" s="3" t="s">
        <v>3595</v>
      </c>
      <c r="B3584" s="4">
        <v>9.27</v>
      </c>
      <c r="C3584" s="4">
        <v>-0.94</v>
      </c>
      <c r="D3584" s="4">
        <v>-0.16</v>
      </c>
      <c r="E3584" s="4">
        <v>-1.8903179636957111E-2</v>
      </c>
      <c r="F3584" s="3">
        <v>3582</v>
      </c>
      <c r="G3584" s="3">
        <v>3</v>
      </c>
      <c r="H3584" s="5">
        <v>2005749731.8599999</v>
      </c>
      <c r="I3584" s="5">
        <v>4529993731.8599997</v>
      </c>
      <c r="J3584" s="5">
        <v>3274779000</v>
      </c>
      <c r="K3584" s="5">
        <v>750535000</v>
      </c>
      <c r="L3584" s="5">
        <v>3219850000</v>
      </c>
      <c r="M3584" s="5">
        <v>488478000</v>
      </c>
      <c r="N3584" s="5">
        <v>-1424119000</v>
      </c>
    </row>
    <row r="3585" spans="1:14" x14ac:dyDescent="0.25">
      <c r="A3585" s="3" t="s">
        <v>3596</v>
      </c>
      <c r="B3585" s="4">
        <v>16.440000000000001</v>
      </c>
      <c r="C3585" s="4">
        <v>0.56999999999999995</v>
      </c>
      <c r="D3585" s="4">
        <v>0.22</v>
      </c>
      <c r="E3585" s="4">
        <v>-1.890460245263326E-2</v>
      </c>
      <c r="F3585" s="3">
        <v>3583</v>
      </c>
      <c r="G3585" s="3">
        <v>3</v>
      </c>
      <c r="H3585" s="5">
        <v>45761006435.43</v>
      </c>
      <c r="I3585" s="5">
        <v>47503006435.43</v>
      </c>
      <c r="J3585" s="5">
        <v>2778000000</v>
      </c>
      <c r="K3585" s="5">
        <v>1036000000</v>
      </c>
      <c r="L3585" s="5">
        <v>17168000000</v>
      </c>
      <c r="M3585" s="5">
        <v>2890000000</v>
      </c>
      <c r="N3585" s="5">
        <v>1909000000</v>
      </c>
    </row>
    <row r="3586" spans="1:14" x14ac:dyDescent="0.25">
      <c r="A3586" s="3" t="s">
        <v>3597</v>
      </c>
      <c r="B3586" s="4">
        <v>14.45</v>
      </c>
      <c r="C3586" s="4">
        <v>0.15</v>
      </c>
      <c r="D3586" s="4">
        <v>0.12</v>
      </c>
      <c r="E3586" s="4">
        <v>-1.8905772279297149E-2</v>
      </c>
      <c r="F3586" s="3">
        <v>3584</v>
      </c>
      <c r="G3586" s="3">
        <v>3</v>
      </c>
      <c r="H3586" s="5">
        <v>67704023714.160004</v>
      </c>
      <c r="I3586" s="5">
        <v>67920223714.160004</v>
      </c>
      <c r="J3586" s="5">
        <v>2704400000</v>
      </c>
      <c r="K3586" s="5">
        <v>2488200000</v>
      </c>
      <c r="L3586" s="5">
        <v>14202000000</v>
      </c>
      <c r="M3586" s="5">
        <v>4701000000</v>
      </c>
      <c r="N3586" s="5">
        <v>4412600000</v>
      </c>
    </row>
    <row r="3587" spans="1:14" x14ac:dyDescent="0.25">
      <c r="A3587" s="3" t="s">
        <v>3598</v>
      </c>
      <c r="B3587" s="4">
        <v>13.83</v>
      </c>
      <c r="C3587" s="4">
        <v>0.02</v>
      </c>
      <c r="D3587" s="4">
        <v>0.01</v>
      </c>
      <c r="E3587" s="4">
        <v>-1.8918877709618861E-2</v>
      </c>
      <c r="F3587" s="3">
        <v>3585</v>
      </c>
      <c r="G3587" s="3">
        <v>3</v>
      </c>
      <c r="H3587" s="5">
        <v>9749256349</v>
      </c>
      <c r="I3587" s="5">
        <v>11669256349</v>
      </c>
      <c r="J3587" s="5">
        <v>2720000000</v>
      </c>
      <c r="K3587" s="5">
        <v>800000000</v>
      </c>
      <c r="L3587" s="5">
        <v>28580000000</v>
      </c>
      <c r="M3587" s="5">
        <v>844000000</v>
      </c>
      <c r="N3587" s="5">
        <v>177000000</v>
      </c>
    </row>
    <row r="3588" spans="1:14" x14ac:dyDescent="0.25">
      <c r="A3588" s="3" t="s">
        <v>3599</v>
      </c>
      <c r="B3588" s="4">
        <v>14.49</v>
      </c>
      <c r="C3588" s="4">
        <v>0.16</v>
      </c>
      <c r="D3588" s="4">
        <v>0.03</v>
      </c>
      <c r="E3588" s="4">
        <v>-1.8918996734268549E-2</v>
      </c>
      <c r="F3588" s="3">
        <v>3586</v>
      </c>
      <c r="G3588" s="3">
        <v>3</v>
      </c>
      <c r="H3588" s="5">
        <v>1358572748.72</v>
      </c>
      <c r="I3588" s="5">
        <v>1854472748.72</v>
      </c>
      <c r="J3588" s="5">
        <v>648000000</v>
      </c>
      <c r="K3588" s="5">
        <v>152100000</v>
      </c>
      <c r="L3588" s="5">
        <v>1755000000</v>
      </c>
      <c r="M3588" s="5">
        <v>128000000</v>
      </c>
      <c r="N3588" s="5">
        <v>47900000</v>
      </c>
    </row>
    <row r="3589" spans="1:14" x14ac:dyDescent="0.25">
      <c r="A3589" s="3" t="s">
        <v>3600</v>
      </c>
      <c r="B3589" s="4">
        <v>14.31</v>
      </c>
      <c r="C3589" s="4">
        <v>0.12</v>
      </c>
      <c r="D3589" s="4">
        <v>0.05</v>
      </c>
      <c r="E3589" s="4">
        <v>-1.8919307406623981E-2</v>
      </c>
      <c r="F3589" s="3">
        <v>3587</v>
      </c>
      <c r="G3589" s="3">
        <v>3</v>
      </c>
      <c r="H3589" s="5">
        <v>702284064.29999995</v>
      </c>
      <c r="I3589" s="5">
        <v>1767291064.3</v>
      </c>
      <c r="J3589" s="5">
        <v>1108261000</v>
      </c>
      <c r="K3589" s="5">
        <v>43254000</v>
      </c>
      <c r="L3589" s="5">
        <v>224040000</v>
      </c>
      <c r="M3589" s="5">
        <v>123526000</v>
      </c>
      <c r="N3589" s="5">
        <v>116323000</v>
      </c>
    </row>
    <row r="3590" spans="1:14" x14ac:dyDescent="0.25">
      <c r="A3590" s="3" t="s">
        <v>3601</v>
      </c>
      <c r="B3590" s="4">
        <v>15.16</v>
      </c>
      <c r="C3590" s="4">
        <v>0.3</v>
      </c>
      <c r="D3590" s="4">
        <v>7.0000000000000007E-2</v>
      </c>
      <c r="E3590" s="4">
        <v>-1.8921446911460301E-2</v>
      </c>
      <c r="F3590" s="3">
        <v>3588</v>
      </c>
      <c r="G3590" s="3">
        <v>3</v>
      </c>
      <c r="H3590" s="5">
        <v>87399887447.199997</v>
      </c>
      <c r="I3590" s="5">
        <v>104948887447.2</v>
      </c>
      <c r="J3590" s="5">
        <v>19947000000</v>
      </c>
      <c r="K3590" s="5">
        <v>2398000000</v>
      </c>
      <c r="L3590" s="5">
        <v>24458000000</v>
      </c>
      <c r="M3590" s="5">
        <v>6921000000</v>
      </c>
      <c r="N3590" s="5">
        <v>4060000000</v>
      </c>
    </row>
    <row r="3591" spans="1:14" x14ac:dyDescent="0.25">
      <c r="A3591" s="3" t="s">
        <v>3602</v>
      </c>
      <c r="B3591" s="4">
        <v>14.03</v>
      </c>
      <c r="C3591" s="4">
        <v>0.06</v>
      </c>
      <c r="D3591" s="4">
        <v>0.02</v>
      </c>
      <c r="E3591" s="4">
        <v>-1.8925158368925079E-2</v>
      </c>
      <c r="F3591" s="3">
        <v>3589</v>
      </c>
      <c r="G3591" s="3">
        <v>3</v>
      </c>
      <c r="H3591" s="5">
        <v>6099118473</v>
      </c>
      <c r="I3591" s="5">
        <v>8010018473</v>
      </c>
      <c r="J3591" s="5">
        <v>2094300000</v>
      </c>
      <c r="K3591" s="5">
        <v>183400000</v>
      </c>
      <c r="L3591" s="5">
        <v>3366400000</v>
      </c>
      <c r="M3591" s="5">
        <v>570800000</v>
      </c>
      <c r="N3591" s="5">
        <v>113100000</v>
      </c>
    </row>
    <row r="3592" spans="1:14" x14ac:dyDescent="0.25">
      <c r="A3592" s="3" t="s">
        <v>3603</v>
      </c>
      <c r="B3592" s="4">
        <v>14.8</v>
      </c>
      <c r="C3592" s="4">
        <v>0.22</v>
      </c>
      <c r="D3592" s="4">
        <v>0.08</v>
      </c>
      <c r="E3592" s="4">
        <v>-1.892785533590367E-2</v>
      </c>
      <c r="F3592" s="3">
        <v>3590</v>
      </c>
      <c r="G3592" s="3">
        <v>3</v>
      </c>
      <c r="H3592" s="5">
        <v>1246436044.28</v>
      </c>
      <c r="I3592" s="5">
        <v>1219725044.28</v>
      </c>
      <c r="J3592" s="5">
        <v>0</v>
      </c>
      <c r="K3592" s="5">
        <v>26711000</v>
      </c>
      <c r="L3592" s="5">
        <v>687414000</v>
      </c>
      <c r="M3592" s="5">
        <v>82428000</v>
      </c>
      <c r="N3592" s="5">
        <v>46653000</v>
      </c>
    </row>
    <row r="3593" spans="1:14" x14ac:dyDescent="0.25">
      <c r="A3593" s="3" t="s">
        <v>3604</v>
      </c>
      <c r="B3593" s="4">
        <v>14.56</v>
      </c>
      <c r="C3593" s="4">
        <v>0.17</v>
      </c>
      <c r="D3593" s="4">
        <v>0.05</v>
      </c>
      <c r="E3593" s="4">
        <v>-1.8929569513978631E-2</v>
      </c>
      <c r="F3593" s="3">
        <v>3591</v>
      </c>
      <c r="G3593" s="3">
        <v>3</v>
      </c>
      <c r="H3593" s="5">
        <v>24132516805.279999</v>
      </c>
      <c r="I3593" s="5">
        <v>26289516805.279999</v>
      </c>
      <c r="J3593" s="5">
        <v>3692000000</v>
      </c>
      <c r="K3593" s="5">
        <v>1535000000</v>
      </c>
      <c r="L3593" s="5">
        <v>25813000000</v>
      </c>
      <c r="M3593" s="5">
        <v>1805000000</v>
      </c>
      <c r="N3593" s="5">
        <v>838000000</v>
      </c>
    </row>
    <row r="3594" spans="1:14" x14ac:dyDescent="0.25">
      <c r="A3594" s="3" t="s">
        <v>3605</v>
      </c>
      <c r="B3594" s="4">
        <v>14.45</v>
      </c>
      <c r="C3594" s="4">
        <v>0.14000000000000001</v>
      </c>
      <c r="D3594" s="4">
        <v>0.11</v>
      </c>
      <c r="E3594" s="4">
        <v>-1.8936594912889109E-2</v>
      </c>
      <c r="F3594" s="3">
        <v>3592</v>
      </c>
      <c r="G3594" s="3">
        <v>3</v>
      </c>
      <c r="H3594" s="5">
        <v>9586518790.8600006</v>
      </c>
      <c r="I3594" s="5">
        <v>8308518790.8600006</v>
      </c>
      <c r="J3594" s="5">
        <v>0</v>
      </c>
      <c r="K3594" s="5">
        <v>1278000000</v>
      </c>
      <c r="L3594" s="5">
        <v>3378000000</v>
      </c>
      <c r="M3594" s="5">
        <v>575000000</v>
      </c>
      <c r="N3594" s="5">
        <v>457000000</v>
      </c>
    </row>
    <row r="3595" spans="1:14" x14ac:dyDescent="0.25">
      <c r="A3595" s="3" t="s">
        <v>3606</v>
      </c>
      <c r="B3595" s="4">
        <v>13.81</v>
      </c>
      <c r="C3595" s="4">
        <v>0.01</v>
      </c>
      <c r="D3595" s="4">
        <v>0</v>
      </c>
      <c r="E3595" s="4">
        <v>-1.8937321931816669E-2</v>
      </c>
      <c r="F3595" s="3">
        <v>3593</v>
      </c>
      <c r="G3595" s="3">
        <v>3</v>
      </c>
      <c r="H3595" s="5">
        <v>212044990.13999999</v>
      </c>
      <c r="I3595" s="5">
        <v>523335990.13999999</v>
      </c>
      <c r="J3595" s="5">
        <v>312869000</v>
      </c>
      <c r="K3595" s="5">
        <v>1578000</v>
      </c>
      <c r="L3595" s="5">
        <v>52227000</v>
      </c>
      <c r="M3595" s="5">
        <v>37892000</v>
      </c>
      <c r="N3595" s="5">
        <v>2066000</v>
      </c>
    </row>
    <row r="3596" spans="1:14" x14ac:dyDescent="0.25">
      <c r="A3596" s="3" t="s">
        <v>3607</v>
      </c>
      <c r="B3596" s="4">
        <v>14.34</v>
      </c>
      <c r="C3596" s="4">
        <v>0.12</v>
      </c>
      <c r="D3596" s="4">
        <v>0.04</v>
      </c>
      <c r="E3596" s="4">
        <v>-1.8939804050292719E-2</v>
      </c>
      <c r="F3596" s="3">
        <v>3594</v>
      </c>
      <c r="G3596" s="3">
        <v>3</v>
      </c>
      <c r="H3596" s="5">
        <v>4499465390.5600004</v>
      </c>
      <c r="I3596" s="5">
        <v>4660183390.5600004</v>
      </c>
      <c r="J3596" s="5">
        <v>739048000</v>
      </c>
      <c r="K3596" s="5">
        <v>578330000</v>
      </c>
      <c r="L3596" s="5">
        <v>4007574000</v>
      </c>
      <c r="M3596" s="5">
        <v>324930000</v>
      </c>
      <c r="N3596" s="5">
        <v>126346000</v>
      </c>
    </row>
    <row r="3597" spans="1:14" x14ac:dyDescent="0.25">
      <c r="A3597" s="3" t="s">
        <v>3608</v>
      </c>
      <c r="B3597" s="4">
        <v>13.99</v>
      </c>
      <c r="C3597" s="4">
        <v>0.05</v>
      </c>
      <c r="D3597" s="4">
        <v>-0.04</v>
      </c>
      <c r="E3597" s="4">
        <v>-1.8940869312616258E-2</v>
      </c>
      <c r="F3597" s="3">
        <v>3595</v>
      </c>
      <c r="G3597" s="3">
        <v>3</v>
      </c>
      <c r="H3597" s="5">
        <v>899593177.04999995</v>
      </c>
      <c r="I3597" s="5">
        <v>6450191177.0500002</v>
      </c>
      <c r="J3597" s="5">
        <v>5660305000</v>
      </c>
      <c r="K3597" s="5">
        <v>109707000</v>
      </c>
      <c r="L3597" s="5">
        <v>1505230000</v>
      </c>
      <c r="M3597" s="5">
        <v>461024000</v>
      </c>
      <c r="N3597" s="5">
        <v>-179254000</v>
      </c>
    </row>
    <row r="3598" spans="1:14" x14ac:dyDescent="0.25">
      <c r="A3598" s="3" t="s">
        <v>3609</v>
      </c>
      <c r="B3598" s="4">
        <v>13.79</v>
      </c>
      <c r="C3598" s="4">
        <v>0</v>
      </c>
      <c r="D3598" s="4">
        <v>0</v>
      </c>
      <c r="E3598" s="4">
        <v>-1.8953837127436979E-2</v>
      </c>
      <c r="F3598" s="3">
        <v>3596</v>
      </c>
      <c r="G3598" s="3">
        <v>3</v>
      </c>
      <c r="H3598" s="5">
        <v>10988236719.18</v>
      </c>
      <c r="I3598" s="5">
        <v>26324738719.18</v>
      </c>
      <c r="J3598" s="5">
        <v>16591384000</v>
      </c>
      <c r="K3598" s="5">
        <v>1254882000</v>
      </c>
      <c r="L3598" s="5">
        <v>3407719000</v>
      </c>
      <c r="M3598" s="5">
        <v>1909122000</v>
      </c>
      <c r="N3598" s="5">
        <v>14272000</v>
      </c>
    </row>
    <row r="3599" spans="1:14" x14ac:dyDescent="0.25">
      <c r="A3599" s="3" t="s">
        <v>3610</v>
      </c>
      <c r="B3599" s="4">
        <v>14.33</v>
      </c>
      <c r="C3599" s="4">
        <v>0.11</v>
      </c>
      <c r="D3599" s="4">
        <v>0.06</v>
      </c>
      <c r="E3599" s="4">
        <v>-1.8958650398455078E-2</v>
      </c>
      <c r="F3599" s="3">
        <v>3597</v>
      </c>
      <c r="G3599" s="3">
        <v>3</v>
      </c>
      <c r="H3599" s="5">
        <v>1017014224.16</v>
      </c>
      <c r="I3599" s="5">
        <v>1852639224.1600001</v>
      </c>
      <c r="J3599" s="5">
        <v>858000000</v>
      </c>
      <c r="K3599" s="5">
        <v>22375000</v>
      </c>
      <c r="L3599" s="5">
        <v>213106000</v>
      </c>
      <c r="M3599" s="5">
        <v>129272000</v>
      </c>
      <c r="N3599" s="5">
        <v>131940000</v>
      </c>
    </row>
    <row r="3600" spans="1:14" x14ac:dyDescent="0.25">
      <c r="A3600" s="3" t="s">
        <v>3611</v>
      </c>
      <c r="B3600" s="4">
        <v>13.85</v>
      </c>
      <c r="C3600" s="4">
        <v>0.01</v>
      </c>
      <c r="D3600" s="4">
        <v>0.01</v>
      </c>
      <c r="E3600" s="4">
        <v>-1.8960149728027481E-2</v>
      </c>
      <c r="F3600" s="3">
        <v>3598</v>
      </c>
      <c r="G3600" s="3">
        <v>3</v>
      </c>
      <c r="H3600" s="5">
        <v>4346947114.1199999</v>
      </c>
      <c r="I3600" s="5">
        <v>7435264114.1199999</v>
      </c>
      <c r="J3600" s="5">
        <v>3095666000</v>
      </c>
      <c r="K3600" s="5">
        <v>7349000</v>
      </c>
      <c r="L3600" s="5">
        <v>856758000</v>
      </c>
      <c r="M3600" s="5">
        <v>536800000</v>
      </c>
      <c r="N3600" s="5">
        <v>45962000</v>
      </c>
    </row>
    <row r="3601" spans="1:14" x14ac:dyDescent="0.25">
      <c r="A3601" s="3" t="s">
        <v>3612</v>
      </c>
      <c r="B3601" s="4">
        <v>13.56</v>
      </c>
      <c r="C3601" s="4">
        <v>-0.05</v>
      </c>
      <c r="D3601" s="4">
        <v>-0.03</v>
      </c>
      <c r="E3601" s="4">
        <v>-1.8961740511209E-2</v>
      </c>
      <c r="F3601" s="3">
        <v>3599</v>
      </c>
      <c r="G3601" s="3">
        <v>3</v>
      </c>
      <c r="H3601" s="5">
        <v>2093769608.7</v>
      </c>
      <c r="I3601" s="5">
        <v>2485929608.6999998</v>
      </c>
      <c r="J3601" s="5">
        <v>527942000</v>
      </c>
      <c r="K3601" s="5">
        <v>135782000</v>
      </c>
      <c r="L3601" s="5">
        <v>698765000</v>
      </c>
      <c r="M3601" s="5">
        <v>183292000</v>
      </c>
      <c r="N3601" s="5">
        <v>-41089000</v>
      </c>
    </row>
    <row r="3602" spans="1:14" x14ac:dyDescent="0.25">
      <c r="A3602" s="3" t="s">
        <v>3613</v>
      </c>
      <c r="B3602" s="4">
        <v>13.18</v>
      </c>
      <c r="C3602" s="4">
        <v>-0.13</v>
      </c>
      <c r="D3602" s="4">
        <v>-0.06</v>
      </c>
      <c r="E3602" s="4">
        <v>-1.8963486630568242E-2</v>
      </c>
      <c r="F3602" s="3">
        <v>3600</v>
      </c>
      <c r="G3602" s="3">
        <v>3</v>
      </c>
      <c r="H3602" s="5">
        <v>36266522.509999998</v>
      </c>
      <c r="I3602" s="5">
        <v>136747082.50999999</v>
      </c>
      <c r="J3602" s="5">
        <v>107191890</v>
      </c>
      <c r="K3602" s="5">
        <v>6711330</v>
      </c>
      <c r="L3602" s="5">
        <v>61083230</v>
      </c>
      <c r="M3602" s="5">
        <v>10378290</v>
      </c>
      <c r="N3602" s="5">
        <v>-12605870</v>
      </c>
    </row>
    <row r="3603" spans="1:14" x14ac:dyDescent="0.25">
      <c r="A3603" s="3" t="s">
        <v>3614</v>
      </c>
      <c r="B3603" s="4">
        <v>14.54</v>
      </c>
      <c r="C3603" s="4">
        <v>0.15</v>
      </c>
      <c r="D3603" s="4">
        <v>7.0000000000000007E-2</v>
      </c>
      <c r="E3603" s="4">
        <v>-1.8971120263458371E-2</v>
      </c>
      <c r="F3603" s="3">
        <v>3601</v>
      </c>
      <c r="G3603" s="3">
        <v>3</v>
      </c>
      <c r="H3603" s="5">
        <v>30687377.850000001</v>
      </c>
      <c r="I3603" s="5">
        <v>24012907.850000001</v>
      </c>
      <c r="J3603" s="5">
        <v>0</v>
      </c>
      <c r="K3603" s="5">
        <v>6674470</v>
      </c>
      <c r="L3603" s="5">
        <v>19809880</v>
      </c>
      <c r="M3603" s="5">
        <v>1651540</v>
      </c>
      <c r="N3603" s="5">
        <v>1674900</v>
      </c>
    </row>
    <row r="3604" spans="1:14" x14ac:dyDescent="0.25">
      <c r="A3604" s="3" t="s">
        <v>3615</v>
      </c>
      <c r="B3604" s="4">
        <v>14.3</v>
      </c>
      <c r="C3604" s="4">
        <v>0.1</v>
      </c>
      <c r="D3604" s="4">
        <v>0.04</v>
      </c>
      <c r="E3604" s="4">
        <v>-1.8972834441533321E-2</v>
      </c>
      <c r="F3604" s="3">
        <v>3602</v>
      </c>
      <c r="G3604" s="3">
        <v>3</v>
      </c>
      <c r="H3604" s="5">
        <v>440856653.12</v>
      </c>
      <c r="I3604" s="5">
        <v>819096653.12</v>
      </c>
      <c r="J3604" s="5">
        <v>420555000</v>
      </c>
      <c r="K3604" s="5">
        <v>42315000</v>
      </c>
      <c r="L3604" s="5">
        <v>90563000</v>
      </c>
      <c r="M3604" s="5">
        <v>57270000</v>
      </c>
      <c r="N3604" s="5">
        <v>30417000</v>
      </c>
    </row>
    <row r="3605" spans="1:14" x14ac:dyDescent="0.25">
      <c r="A3605" s="3" t="s">
        <v>3616</v>
      </c>
      <c r="B3605" s="4">
        <v>15.75</v>
      </c>
      <c r="C3605" s="4">
        <v>0.4</v>
      </c>
      <c r="D3605" s="4">
        <v>0.15</v>
      </c>
      <c r="E3605" s="4">
        <v>-1.898224176482325E-2</v>
      </c>
      <c r="F3605" s="3">
        <v>3603</v>
      </c>
      <c r="G3605" s="3">
        <v>3</v>
      </c>
      <c r="H3605" s="5">
        <v>47879626049.849998</v>
      </c>
      <c r="I3605" s="5">
        <v>56188626049.849998</v>
      </c>
      <c r="J3605" s="5">
        <v>12278000000</v>
      </c>
      <c r="K3605" s="5">
        <v>3969000000</v>
      </c>
      <c r="L3605" s="5">
        <v>22486000000</v>
      </c>
      <c r="M3605" s="5">
        <v>3568000000</v>
      </c>
      <c r="N3605" s="5">
        <v>5604000000</v>
      </c>
    </row>
    <row r="3606" spans="1:14" x14ac:dyDescent="0.25">
      <c r="A3606" s="3" t="s">
        <v>3617</v>
      </c>
      <c r="B3606" s="4">
        <v>15.65</v>
      </c>
      <c r="C3606" s="4">
        <v>0.38</v>
      </c>
      <c r="D3606" s="4">
        <v>0.08</v>
      </c>
      <c r="E3606" s="4">
        <v>-1.8991640107923931E-2</v>
      </c>
      <c r="F3606" s="3">
        <v>3604</v>
      </c>
      <c r="G3606" s="3">
        <v>3</v>
      </c>
      <c r="H3606" s="5">
        <v>69986330004.360001</v>
      </c>
      <c r="I3606" s="5">
        <v>89674330004.360001</v>
      </c>
      <c r="J3606" s="5">
        <v>20076000000</v>
      </c>
      <c r="K3606" s="5">
        <v>388000000</v>
      </c>
      <c r="L3606" s="5">
        <v>16484000000</v>
      </c>
      <c r="M3606" s="5">
        <v>5731000000</v>
      </c>
      <c r="N3606" s="5">
        <v>2878000000</v>
      </c>
    </row>
    <row r="3607" spans="1:14" x14ac:dyDescent="0.25">
      <c r="A3607" s="3" t="s">
        <v>3618</v>
      </c>
      <c r="B3607" s="4">
        <v>14.88</v>
      </c>
      <c r="C3607" s="4">
        <v>0.21</v>
      </c>
      <c r="D3607" s="4">
        <v>0.15</v>
      </c>
      <c r="E3607" s="4">
        <v>-1.8992759402452219E-2</v>
      </c>
      <c r="F3607" s="3">
        <v>3605</v>
      </c>
      <c r="G3607" s="3">
        <v>3</v>
      </c>
      <c r="H3607" s="5">
        <v>11614078596.34</v>
      </c>
      <c r="I3607" s="5">
        <v>11512125596.34</v>
      </c>
      <c r="J3607" s="5">
        <v>0</v>
      </c>
      <c r="K3607" s="5">
        <v>101953000</v>
      </c>
      <c r="L3607" s="5">
        <v>2375288000</v>
      </c>
      <c r="M3607" s="5">
        <v>773466000</v>
      </c>
      <c r="N3607" s="5">
        <v>455748000</v>
      </c>
    </row>
    <row r="3608" spans="1:14" x14ac:dyDescent="0.25">
      <c r="A3608" s="3" t="s">
        <v>3619</v>
      </c>
      <c r="B3608" s="4">
        <v>13.76</v>
      </c>
      <c r="C3608" s="4">
        <v>-0.02</v>
      </c>
      <c r="D3608" s="4">
        <v>-0.01</v>
      </c>
      <c r="E3608" s="4">
        <v>-1.8994985750952171E-2</v>
      </c>
      <c r="F3608" s="3">
        <v>3606</v>
      </c>
      <c r="G3608" s="3">
        <v>3</v>
      </c>
      <c r="H3608" s="5">
        <v>2899622.7</v>
      </c>
      <c r="I3608" s="5">
        <v>17884622.699999999</v>
      </c>
      <c r="J3608" s="5">
        <v>15931000</v>
      </c>
      <c r="K3608" s="5">
        <v>946000</v>
      </c>
      <c r="L3608" s="5">
        <v>5309000</v>
      </c>
      <c r="M3608" s="5">
        <v>1300000</v>
      </c>
      <c r="N3608" s="5">
        <v>-210000</v>
      </c>
    </row>
    <row r="3609" spans="1:14" x14ac:dyDescent="0.25">
      <c r="A3609" s="3" t="s">
        <v>3620</v>
      </c>
      <c r="B3609" s="4">
        <v>14.2</v>
      </c>
      <c r="C3609" s="4">
        <v>7.0000000000000007E-2</v>
      </c>
      <c r="D3609" s="4">
        <v>0.04</v>
      </c>
      <c r="E3609" s="4">
        <v>-1.8997623205605919E-2</v>
      </c>
      <c r="F3609" s="3">
        <v>3607</v>
      </c>
      <c r="G3609" s="3">
        <v>3</v>
      </c>
      <c r="H3609" s="5">
        <v>7214634576.8800001</v>
      </c>
      <c r="I3609" s="5">
        <v>8208861576.8800001</v>
      </c>
      <c r="J3609" s="5">
        <v>1350070000</v>
      </c>
      <c r="K3609" s="5">
        <v>355843000</v>
      </c>
      <c r="L3609" s="5">
        <v>1804690000</v>
      </c>
      <c r="M3609" s="5">
        <v>578222000</v>
      </c>
      <c r="N3609" s="5">
        <v>191602000</v>
      </c>
    </row>
    <row r="3610" spans="1:14" x14ac:dyDescent="0.25">
      <c r="A3610" s="3" t="s">
        <v>3621</v>
      </c>
      <c r="B3610" s="4">
        <v>14.25</v>
      </c>
      <c r="C3610" s="4">
        <v>0.08</v>
      </c>
      <c r="D3610" s="4">
        <v>0.02</v>
      </c>
      <c r="E3610" s="4">
        <v>-1.900353368023186E-2</v>
      </c>
      <c r="F3610" s="3">
        <v>3608</v>
      </c>
      <c r="G3610" s="3">
        <v>3</v>
      </c>
      <c r="H3610" s="5">
        <v>50970083504.129997</v>
      </c>
      <c r="I3610" s="5">
        <v>92410083504.130005</v>
      </c>
      <c r="J3610" s="5">
        <v>41750000000</v>
      </c>
      <c r="K3610" s="5">
        <v>310000000</v>
      </c>
      <c r="L3610" s="5">
        <v>14459000000</v>
      </c>
      <c r="M3610" s="5">
        <v>6485000000</v>
      </c>
      <c r="N3610" s="5">
        <v>2124000000</v>
      </c>
    </row>
    <row r="3611" spans="1:14" x14ac:dyDescent="0.25">
      <c r="A3611" s="3" t="s">
        <v>3622</v>
      </c>
      <c r="B3611" s="4">
        <v>14.17</v>
      </c>
      <c r="C3611" s="4">
        <v>0.06</v>
      </c>
      <c r="D3611" s="4">
        <v>0.02</v>
      </c>
      <c r="E3611" s="4">
        <v>-1.9011807248684159E-2</v>
      </c>
      <c r="F3611" s="3">
        <v>3609</v>
      </c>
      <c r="G3611" s="3">
        <v>3</v>
      </c>
      <c r="H3611" s="5">
        <v>2371083218.1599998</v>
      </c>
      <c r="I3611" s="5">
        <v>3952503218.1599998</v>
      </c>
      <c r="J3611" s="5">
        <v>1622793000</v>
      </c>
      <c r="K3611" s="5">
        <v>41373000</v>
      </c>
      <c r="L3611" s="5">
        <v>444966000</v>
      </c>
      <c r="M3611" s="5">
        <v>278854000</v>
      </c>
      <c r="N3611" s="5">
        <v>72563000</v>
      </c>
    </row>
    <row r="3612" spans="1:14" x14ac:dyDescent="0.25">
      <c r="A3612" s="3" t="s">
        <v>3623</v>
      </c>
      <c r="B3612" s="4">
        <v>13.55</v>
      </c>
      <c r="C3612" s="4">
        <v>-7.0000000000000007E-2</v>
      </c>
      <c r="D3612" s="4">
        <v>-0.03</v>
      </c>
      <c r="E3612" s="4">
        <v>-1.9013338519540839E-2</v>
      </c>
      <c r="F3612" s="3">
        <v>3610</v>
      </c>
      <c r="G3612" s="3">
        <v>3</v>
      </c>
      <c r="H3612" s="5">
        <v>31890371.039999999</v>
      </c>
      <c r="I3612" s="5">
        <v>137657371.03999999</v>
      </c>
      <c r="J3612" s="5">
        <v>107151000</v>
      </c>
      <c r="K3612" s="5">
        <v>1384000</v>
      </c>
      <c r="L3612" s="5">
        <v>467871000</v>
      </c>
      <c r="M3612" s="5">
        <v>10161000</v>
      </c>
      <c r="N3612" s="5">
        <v>-8318000</v>
      </c>
    </row>
    <row r="3613" spans="1:14" x14ac:dyDescent="0.25">
      <c r="A3613" s="3" t="s">
        <v>3624</v>
      </c>
      <c r="B3613" s="4">
        <v>13.99</v>
      </c>
      <c r="C3613" s="4">
        <v>0.02</v>
      </c>
      <c r="D3613" s="4">
        <v>0.01</v>
      </c>
      <c r="E3613" s="4">
        <v>-1.901790500077211E-2</v>
      </c>
      <c r="F3613" s="3">
        <v>3611</v>
      </c>
      <c r="G3613" s="3">
        <v>3</v>
      </c>
      <c r="H3613" s="5">
        <v>491692672.5</v>
      </c>
      <c r="I3613" s="5">
        <v>858441282.5</v>
      </c>
      <c r="J3613" s="5">
        <v>388134750</v>
      </c>
      <c r="K3613" s="5">
        <v>21386140</v>
      </c>
      <c r="L3613" s="5">
        <v>158705740</v>
      </c>
      <c r="M3613" s="5">
        <v>61360270</v>
      </c>
      <c r="N3613" s="5">
        <v>7749910</v>
      </c>
    </row>
    <row r="3614" spans="1:14" x14ac:dyDescent="0.25">
      <c r="A3614" s="3" t="s">
        <v>3625</v>
      </c>
      <c r="B3614" s="4">
        <v>14.14</v>
      </c>
      <c r="C3614" s="4">
        <v>0.05</v>
      </c>
      <c r="D3614" s="4">
        <v>0.03</v>
      </c>
      <c r="E3614" s="4">
        <v>-1.9020204212029879E-2</v>
      </c>
      <c r="F3614" s="3">
        <v>3612</v>
      </c>
      <c r="G3614" s="3">
        <v>3</v>
      </c>
      <c r="H3614" s="5">
        <v>13693958478.48</v>
      </c>
      <c r="I3614" s="5">
        <v>16170058478.48</v>
      </c>
      <c r="J3614" s="5">
        <v>2583700000</v>
      </c>
      <c r="K3614" s="5">
        <v>107600000</v>
      </c>
      <c r="L3614" s="5">
        <v>3895400000</v>
      </c>
      <c r="M3614" s="5">
        <v>1143500000</v>
      </c>
      <c r="N3614" s="5">
        <v>392300000</v>
      </c>
    </row>
    <row r="3615" spans="1:14" x14ac:dyDescent="0.25">
      <c r="A3615" s="3" t="s">
        <v>3626</v>
      </c>
      <c r="B3615" s="4">
        <v>13.62</v>
      </c>
      <c r="C3615" s="4">
        <v>-0.06</v>
      </c>
      <c r="D3615" s="4">
        <v>0</v>
      </c>
      <c r="E3615" s="4">
        <v>-1.9021982272673401E-2</v>
      </c>
      <c r="F3615" s="3">
        <v>3613</v>
      </c>
      <c r="G3615" s="3">
        <v>3</v>
      </c>
      <c r="H3615" s="5">
        <v>111577600</v>
      </c>
      <c r="I3615" s="5">
        <v>52188577600</v>
      </c>
      <c r="J3615" s="5">
        <v>54285000000</v>
      </c>
      <c r="K3615" s="5">
        <v>2208000000</v>
      </c>
      <c r="L3615" s="5">
        <v>9111000000</v>
      </c>
      <c r="M3615" s="5">
        <v>3832000000</v>
      </c>
      <c r="N3615" s="5">
        <v>-510000000</v>
      </c>
    </row>
    <row r="3616" spans="1:14" x14ac:dyDescent="0.25">
      <c r="A3616" s="3" t="s">
        <v>3627</v>
      </c>
      <c r="B3616" s="4">
        <v>15.8</v>
      </c>
      <c r="C3616" s="4">
        <v>0.39</v>
      </c>
      <c r="D3616" s="4">
        <v>0.22</v>
      </c>
      <c r="E3616" s="4">
        <v>-1.9028578214280549E-2</v>
      </c>
      <c r="F3616" s="3">
        <v>3614</v>
      </c>
      <c r="G3616" s="3">
        <v>3</v>
      </c>
      <c r="H3616" s="5">
        <v>24639576511.950001</v>
      </c>
      <c r="I3616" s="5">
        <v>25733247511.950001</v>
      </c>
      <c r="J3616" s="5">
        <v>2938548000</v>
      </c>
      <c r="K3616" s="5">
        <v>1844877000</v>
      </c>
      <c r="L3616" s="5">
        <v>7745909000</v>
      </c>
      <c r="M3616" s="5">
        <v>1629180000</v>
      </c>
      <c r="N3616" s="5">
        <v>2697126000</v>
      </c>
    </row>
    <row r="3617" spans="1:14" x14ac:dyDescent="0.25">
      <c r="A3617" s="3" t="s">
        <v>3628</v>
      </c>
      <c r="B3617" s="4">
        <v>15.54</v>
      </c>
      <c r="C3617" s="4">
        <v>0.34</v>
      </c>
      <c r="D3617" s="4">
        <v>0.13</v>
      </c>
      <c r="E3617" s="4">
        <v>-1.902948814042638E-2</v>
      </c>
      <c r="F3617" s="3">
        <v>3615</v>
      </c>
      <c r="G3617" s="3">
        <v>3</v>
      </c>
      <c r="H3617" s="5">
        <v>9425236936.5200005</v>
      </c>
      <c r="I3617" s="5">
        <v>10297730936.52</v>
      </c>
      <c r="J3617" s="5">
        <v>950356000</v>
      </c>
      <c r="K3617" s="5">
        <v>77862000</v>
      </c>
      <c r="L3617" s="5">
        <v>5310953000</v>
      </c>
      <c r="M3617" s="5">
        <v>662685000</v>
      </c>
      <c r="N3617" s="5">
        <v>434325000</v>
      </c>
    </row>
    <row r="3618" spans="1:14" x14ac:dyDescent="0.25">
      <c r="A3618" s="3" t="s">
        <v>3629</v>
      </c>
      <c r="B3618" s="4">
        <v>14.03</v>
      </c>
      <c r="C3618" s="4">
        <v>0.02</v>
      </c>
      <c r="D3618" s="4">
        <v>0.02</v>
      </c>
      <c r="E3618" s="4">
        <v>-1.9040732796982911E-2</v>
      </c>
      <c r="F3618" s="3">
        <v>3616</v>
      </c>
      <c r="G3618" s="3">
        <v>3</v>
      </c>
      <c r="H3618" s="5">
        <v>1540911874.3199999</v>
      </c>
      <c r="I3618" s="5">
        <v>1382311874.3199999</v>
      </c>
      <c r="J3618" s="5">
        <v>1200000</v>
      </c>
      <c r="K3618" s="5">
        <v>159800000</v>
      </c>
      <c r="L3618" s="5">
        <v>830100000</v>
      </c>
      <c r="M3618" s="5">
        <v>98500000</v>
      </c>
      <c r="N3618" s="5">
        <v>26100000</v>
      </c>
    </row>
    <row r="3619" spans="1:14" x14ac:dyDescent="0.25">
      <c r="A3619" s="3" t="s">
        <v>3630</v>
      </c>
      <c r="B3619" s="4">
        <v>14.68</v>
      </c>
      <c r="C3619" s="4">
        <v>0.15</v>
      </c>
      <c r="D3619" s="4">
        <v>0.15</v>
      </c>
      <c r="E3619" s="4">
        <v>-1.9042336930597412E-2</v>
      </c>
      <c r="F3619" s="3">
        <v>3617</v>
      </c>
      <c r="G3619" s="3">
        <v>3</v>
      </c>
      <c r="H3619" s="5">
        <v>8363605.5609999998</v>
      </c>
      <c r="I3619" s="5">
        <v>6433475.5609999998</v>
      </c>
      <c r="J3619" s="5">
        <v>0</v>
      </c>
      <c r="K3619" s="5">
        <v>1930130</v>
      </c>
      <c r="L3619" s="5">
        <v>649160</v>
      </c>
      <c r="M3619" s="5">
        <v>438100</v>
      </c>
      <c r="N3619" s="5">
        <v>462960</v>
      </c>
    </row>
    <row r="3620" spans="1:14" x14ac:dyDescent="0.25">
      <c r="A3620" s="3" t="s">
        <v>3631</v>
      </c>
      <c r="B3620" s="4">
        <v>14.18</v>
      </c>
      <c r="C3620" s="4">
        <v>0.05</v>
      </c>
      <c r="D3620" s="4">
        <v>0.03</v>
      </c>
      <c r="E3620" s="4">
        <v>-1.9044961034818189E-2</v>
      </c>
      <c r="F3620" s="3">
        <v>3618</v>
      </c>
      <c r="G3620" s="3">
        <v>3</v>
      </c>
      <c r="H3620" s="5">
        <v>200217911642.88</v>
      </c>
      <c r="I3620" s="5">
        <v>240220911642.88</v>
      </c>
      <c r="J3620" s="5">
        <v>46005000000</v>
      </c>
      <c r="K3620" s="5">
        <v>6002000000</v>
      </c>
      <c r="L3620" s="5">
        <v>91361000000</v>
      </c>
      <c r="M3620" s="5">
        <v>16940000000</v>
      </c>
      <c r="N3620" s="5">
        <v>4972000000</v>
      </c>
    </row>
    <row r="3621" spans="1:14" x14ac:dyDescent="0.25">
      <c r="A3621" s="3" t="s">
        <v>3632</v>
      </c>
      <c r="B3621" s="4">
        <v>15.48</v>
      </c>
      <c r="C3621" s="4">
        <v>0.32</v>
      </c>
      <c r="D3621" s="4">
        <v>0.14000000000000001</v>
      </c>
      <c r="E3621" s="4">
        <v>-1.9048211093695332E-2</v>
      </c>
      <c r="F3621" s="3">
        <v>3619</v>
      </c>
      <c r="G3621" s="3">
        <v>3</v>
      </c>
      <c r="H3621" s="5">
        <v>11014853445.120001</v>
      </c>
      <c r="I3621" s="5">
        <v>10772428445.120001</v>
      </c>
      <c r="J3621" s="5">
        <v>2800000</v>
      </c>
      <c r="K3621" s="5">
        <v>245225000</v>
      </c>
      <c r="L3621" s="5">
        <v>5373332000</v>
      </c>
      <c r="M3621" s="5">
        <v>695902000</v>
      </c>
      <c r="N3621" s="5">
        <v>433592000</v>
      </c>
    </row>
    <row r="3622" spans="1:14" x14ac:dyDescent="0.25">
      <c r="A3622" s="3" t="s">
        <v>3633</v>
      </c>
      <c r="B3622" s="4">
        <v>14</v>
      </c>
      <c r="C3622" s="4">
        <v>0.01</v>
      </c>
      <c r="D3622" s="4">
        <v>0.01</v>
      </c>
      <c r="E3622" s="4">
        <v>-1.9052987813483638E-2</v>
      </c>
      <c r="F3622" s="3">
        <v>3620</v>
      </c>
      <c r="G3622" s="3">
        <v>3</v>
      </c>
      <c r="H3622" s="5">
        <v>58348638.347999997</v>
      </c>
      <c r="I3622" s="5">
        <v>-321001361.65200001</v>
      </c>
      <c r="J3622" s="5">
        <v>0</v>
      </c>
      <c r="K3622" s="5">
        <v>379350000</v>
      </c>
      <c r="L3622" s="5">
        <v>310153000</v>
      </c>
      <c r="M3622" s="5">
        <v>-22934000</v>
      </c>
      <c r="N3622" s="5">
        <v>49984000</v>
      </c>
    </row>
    <row r="3623" spans="1:14" x14ac:dyDescent="0.25">
      <c r="A3623" s="3" t="s">
        <v>3634</v>
      </c>
      <c r="B3623" s="4">
        <v>13.67</v>
      </c>
      <c r="C3623" s="4">
        <v>-0.06</v>
      </c>
      <c r="D3623" s="4">
        <v>-0.03</v>
      </c>
      <c r="E3623" s="4">
        <v>-1.9058715380891319E-2</v>
      </c>
      <c r="F3623" s="3">
        <v>3621</v>
      </c>
      <c r="G3623" s="3">
        <v>3</v>
      </c>
      <c r="H3623" s="5">
        <v>3144466249.3200002</v>
      </c>
      <c r="I3623" s="5">
        <v>4422156249.3199997</v>
      </c>
      <c r="J3623" s="5">
        <v>1586256000</v>
      </c>
      <c r="K3623" s="5">
        <v>308566000</v>
      </c>
      <c r="L3623" s="5">
        <v>2382046000</v>
      </c>
      <c r="M3623" s="5">
        <v>323462000</v>
      </c>
      <c r="N3623" s="5">
        <v>-117688000</v>
      </c>
    </row>
    <row r="3624" spans="1:14" x14ac:dyDescent="0.25">
      <c r="A3624" s="3" t="s">
        <v>3635</v>
      </c>
      <c r="B3624" s="4">
        <v>13.8</v>
      </c>
      <c r="C3624" s="4">
        <v>-0.04</v>
      </c>
      <c r="D3624" s="4">
        <v>0.05</v>
      </c>
      <c r="E3624" s="4">
        <v>-1.9065955628304359E-2</v>
      </c>
      <c r="F3624" s="3">
        <v>3622</v>
      </c>
      <c r="G3624" s="3">
        <v>3</v>
      </c>
      <c r="H3624" s="5">
        <v>1255477114.5</v>
      </c>
      <c r="I3624" s="5">
        <v>2453756114.5</v>
      </c>
      <c r="J3624" s="5">
        <v>1791000000</v>
      </c>
      <c r="K3624" s="5">
        <v>592721000</v>
      </c>
      <c r="L3624" s="5">
        <v>5625919000</v>
      </c>
      <c r="M3624" s="5">
        <v>177773000</v>
      </c>
      <c r="N3624" s="5">
        <v>82213000</v>
      </c>
    </row>
    <row r="3625" spans="1:14" x14ac:dyDescent="0.25">
      <c r="A3625" s="3" t="s">
        <v>3636</v>
      </c>
      <c r="B3625" s="4">
        <v>14.61</v>
      </c>
      <c r="C3625" s="4">
        <v>0.15</v>
      </c>
      <c r="D3625" s="4">
        <v>-0.2</v>
      </c>
      <c r="E3625" s="4">
        <v>-1.9066528420930571E-2</v>
      </c>
      <c r="F3625" s="3">
        <v>3623</v>
      </c>
      <c r="G3625" s="3">
        <v>3</v>
      </c>
      <c r="H3625" s="5">
        <v>55502.114000000001</v>
      </c>
      <c r="I3625" s="5">
        <v>1048132502.114</v>
      </c>
      <c r="J3625" s="5">
        <v>1071418000</v>
      </c>
      <c r="K3625" s="5">
        <v>23341000</v>
      </c>
      <c r="L3625" s="5">
        <v>1064124000</v>
      </c>
      <c r="M3625" s="5">
        <v>71733000</v>
      </c>
      <c r="N3625" s="5">
        <v>-125156000</v>
      </c>
    </row>
    <row r="3626" spans="1:14" x14ac:dyDescent="0.25">
      <c r="A3626" s="3" t="s">
        <v>3637</v>
      </c>
      <c r="B3626" s="4">
        <v>-0.96</v>
      </c>
      <c r="C3626" s="4">
        <v>-3.1</v>
      </c>
      <c r="D3626" s="4">
        <v>-1.49</v>
      </c>
      <c r="E3626" s="4">
        <v>-1.9069201858778091E-2</v>
      </c>
      <c r="F3626" s="3">
        <v>3624</v>
      </c>
      <c r="G3626" s="3">
        <v>3</v>
      </c>
      <c r="H3626" s="5">
        <v>9549820.9800000004</v>
      </c>
      <c r="I3626" s="5">
        <v>6205820.9800000004</v>
      </c>
      <c r="J3626" s="5">
        <v>0</v>
      </c>
      <c r="K3626" s="5">
        <v>3344000</v>
      </c>
      <c r="L3626" s="5">
        <v>14573000</v>
      </c>
      <c r="M3626" s="5">
        <v>-6461000</v>
      </c>
      <c r="N3626" s="5">
        <v>-10728000</v>
      </c>
    </row>
    <row r="3627" spans="1:14" x14ac:dyDescent="0.25">
      <c r="A3627" s="3" t="s">
        <v>3638</v>
      </c>
      <c r="B3627" s="4">
        <v>14.41</v>
      </c>
      <c r="C3627" s="4">
        <v>0.09</v>
      </c>
      <c r="D3627" s="4">
        <v>0.04</v>
      </c>
      <c r="E3627" s="4">
        <v>-1.906980931121563E-2</v>
      </c>
      <c r="F3627" s="3">
        <v>3625</v>
      </c>
      <c r="G3627" s="3">
        <v>3</v>
      </c>
      <c r="H3627" s="5">
        <v>20782201000</v>
      </c>
      <c r="I3627" s="5">
        <v>25675401000</v>
      </c>
      <c r="J3627" s="5">
        <v>6411900000</v>
      </c>
      <c r="K3627" s="5">
        <v>1518700000</v>
      </c>
      <c r="L3627" s="5">
        <v>13008900000</v>
      </c>
      <c r="M3627" s="5">
        <v>1781500000</v>
      </c>
      <c r="N3627" s="5">
        <v>746000000</v>
      </c>
    </row>
    <row r="3628" spans="1:14" x14ac:dyDescent="0.25">
      <c r="A3628" s="3" t="s">
        <v>3639</v>
      </c>
      <c r="B3628" s="4">
        <v>15.48</v>
      </c>
      <c r="C3628" s="4">
        <v>0.31</v>
      </c>
      <c r="D3628" s="4">
        <v>0.13</v>
      </c>
      <c r="E3628" s="4">
        <v>-1.9079033727287292E-2</v>
      </c>
      <c r="F3628" s="3">
        <v>3626</v>
      </c>
      <c r="G3628" s="3">
        <v>3</v>
      </c>
      <c r="H3628" s="5">
        <v>340672384108.71002</v>
      </c>
      <c r="I3628" s="5">
        <v>365624384108.71002</v>
      </c>
      <c r="J3628" s="5">
        <v>34508000000</v>
      </c>
      <c r="K3628" s="5">
        <v>9556000000</v>
      </c>
      <c r="L3628" s="5">
        <v>84284000000</v>
      </c>
      <c r="M3628" s="5">
        <v>23619000000</v>
      </c>
      <c r="N3628" s="5">
        <v>15974000000</v>
      </c>
    </row>
    <row r="3629" spans="1:14" x14ac:dyDescent="0.25">
      <c r="A3629" s="3" t="s">
        <v>3640</v>
      </c>
      <c r="B3629" s="4">
        <v>14.66</v>
      </c>
      <c r="C3629" s="4">
        <v>0.14000000000000001</v>
      </c>
      <c r="D3629" s="4">
        <v>0.04</v>
      </c>
      <c r="E3629" s="4">
        <v>-1.908007141857028E-2</v>
      </c>
      <c r="F3629" s="3">
        <v>3627</v>
      </c>
      <c r="G3629" s="3">
        <v>3</v>
      </c>
      <c r="H3629" s="5">
        <v>3091088644.9099998</v>
      </c>
      <c r="I3629" s="5">
        <v>8461862644.9099998</v>
      </c>
      <c r="J3629" s="5">
        <v>6960382000</v>
      </c>
      <c r="K3629" s="5">
        <v>1589608000</v>
      </c>
      <c r="L3629" s="5">
        <v>5186802000</v>
      </c>
      <c r="M3629" s="5">
        <v>577300000</v>
      </c>
      <c r="N3629" s="5">
        <v>455357000</v>
      </c>
    </row>
    <row r="3630" spans="1:14" x14ac:dyDescent="0.25">
      <c r="A3630" s="3" t="s">
        <v>3641</v>
      </c>
      <c r="B3630" s="4">
        <v>15.73</v>
      </c>
      <c r="C3630" s="4">
        <v>0.36</v>
      </c>
      <c r="D3630" s="4">
        <v>0.17</v>
      </c>
      <c r="E3630" s="4">
        <v>-1.908157972833192E-2</v>
      </c>
      <c r="F3630" s="3">
        <v>3628</v>
      </c>
      <c r="G3630" s="3">
        <v>3</v>
      </c>
      <c r="H3630" s="5">
        <v>18483900480</v>
      </c>
      <c r="I3630" s="5">
        <v>17335580480</v>
      </c>
      <c r="J3630" s="5">
        <v>0</v>
      </c>
      <c r="K3630" s="5">
        <v>1148320000</v>
      </c>
      <c r="L3630" s="5">
        <v>10600515000</v>
      </c>
      <c r="M3630" s="5">
        <v>1102413000</v>
      </c>
      <c r="N3630" s="5">
        <v>810073000</v>
      </c>
    </row>
    <row r="3631" spans="1:14" x14ac:dyDescent="0.25">
      <c r="A3631" s="3" t="s">
        <v>3642</v>
      </c>
      <c r="B3631" s="4">
        <v>14.24</v>
      </c>
      <c r="C3631" s="4">
        <v>0.05</v>
      </c>
      <c r="D3631" s="4">
        <v>0.03</v>
      </c>
      <c r="E3631" s="4">
        <v>-1.9082096269000651E-2</v>
      </c>
      <c r="F3631" s="3">
        <v>3629</v>
      </c>
      <c r="G3631" s="3">
        <v>3</v>
      </c>
      <c r="H3631" s="5">
        <v>10401821073</v>
      </c>
      <c r="I3631" s="5">
        <v>16506821073</v>
      </c>
      <c r="J3631" s="5">
        <v>7091500000</v>
      </c>
      <c r="K3631" s="5">
        <v>986500000</v>
      </c>
      <c r="L3631" s="5">
        <v>6067000000</v>
      </c>
      <c r="M3631" s="5">
        <v>1159300000</v>
      </c>
      <c r="N3631" s="5">
        <v>774800000</v>
      </c>
    </row>
    <row r="3632" spans="1:14" x14ac:dyDescent="0.25">
      <c r="A3632" s="3" t="s">
        <v>3643</v>
      </c>
      <c r="B3632" s="4">
        <v>14.8</v>
      </c>
      <c r="C3632" s="4">
        <v>0.17</v>
      </c>
      <c r="D3632" s="4">
        <v>0.02</v>
      </c>
      <c r="E3632" s="4">
        <v>-1.9083897530440999E-2</v>
      </c>
      <c r="F3632" s="3">
        <v>3630</v>
      </c>
      <c r="G3632" s="3">
        <v>3</v>
      </c>
      <c r="H3632" s="5">
        <v>324239446</v>
      </c>
      <c r="I3632" s="5">
        <v>1659125446</v>
      </c>
      <c r="J3632" s="5">
        <v>1681093000</v>
      </c>
      <c r="K3632" s="5">
        <v>346207000</v>
      </c>
      <c r="L3632" s="5">
        <v>273038000</v>
      </c>
      <c r="M3632" s="5">
        <v>112113000</v>
      </c>
      <c r="N3632" s="5">
        <v>50853000</v>
      </c>
    </row>
    <row r="3633" spans="1:14" x14ac:dyDescent="0.25">
      <c r="A3633" s="3" t="s">
        <v>3644</v>
      </c>
      <c r="B3633" s="4">
        <v>14.05</v>
      </c>
      <c r="C3633" s="4">
        <v>0.01</v>
      </c>
      <c r="D3633" s="4">
        <v>0</v>
      </c>
      <c r="E3633" s="4">
        <v>-1.9085862868546528E-2</v>
      </c>
      <c r="F3633" s="3">
        <v>3631</v>
      </c>
      <c r="G3633" s="3">
        <v>3</v>
      </c>
      <c r="H3633" s="5">
        <v>2404168646.3600001</v>
      </c>
      <c r="I3633" s="5">
        <v>2842419646.3600001</v>
      </c>
      <c r="J3633" s="5">
        <v>454964000</v>
      </c>
      <c r="K3633" s="5">
        <v>16713000</v>
      </c>
      <c r="L3633" s="5">
        <v>1684739000</v>
      </c>
      <c r="M3633" s="5">
        <v>202334000</v>
      </c>
      <c r="N3633" s="5">
        <v>5888000</v>
      </c>
    </row>
    <row r="3634" spans="1:14" x14ac:dyDescent="0.25">
      <c r="A3634" s="3" t="s">
        <v>3645</v>
      </c>
      <c r="B3634" s="4">
        <v>12.92</v>
      </c>
      <c r="C3634" s="4">
        <v>-0.23</v>
      </c>
      <c r="D3634" s="4">
        <v>-0.08</v>
      </c>
      <c r="E3634" s="4">
        <v>-1.9095361405743819E-2</v>
      </c>
      <c r="F3634" s="3">
        <v>3632</v>
      </c>
      <c r="G3634" s="3">
        <v>3</v>
      </c>
      <c r="H3634" s="5">
        <v>89850499.900000006</v>
      </c>
      <c r="I3634" s="5">
        <v>229386499.90000001</v>
      </c>
      <c r="J3634" s="5">
        <v>157664000</v>
      </c>
      <c r="K3634" s="5">
        <v>18128000</v>
      </c>
      <c r="L3634" s="5">
        <v>464290000</v>
      </c>
      <c r="M3634" s="5">
        <v>17754000</v>
      </c>
      <c r="N3634" s="5">
        <v>-38273000</v>
      </c>
    </row>
    <row r="3635" spans="1:14" x14ac:dyDescent="0.25">
      <c r="A3635" s="3" t="s">
        <v>3646</v>
      </c>
      <c r="B3635" s="4">
        <v>14.36</v>
      </c>
      <c r="C3635" s="4">
        <v>7.0000000000000007E-2</v>
      </c>
      <c r="D3635" s="4">
        <v>0.04</v>
      </c>
      <c r="E3635" s="4">
        <v>-1.9096650496759161E-2</v>
      </c>
      <c r="F3635" s="3">
        <v>3633</v>
      </c>
      <c r="G3635" s="3">
        <v>3</v>
      </c>
      <c r="H3635" s="5">
        <v>8783210587.9099998</v>
      </c>
      <c r="I3635" s="5">
        <v>10176603587.91</v>
      </c>
      <c r="J3635" s="5">
        <v>1697883000</v>
      </c>
      <c r="K3635" s="5">
        <v>304490000</v>
      </c>
      <c r="L3635" s="5">
        <v>2360358000</v>
      </c>
      <c r="M3635" s="5">
        <v>708908000</v>
      </c>
      <c r="N3635" s="5">
        <v>266340000</v>
      </c>
    </row>
    <row r="3636" spans="1:14" x14ac:dyDescent="0.25">
      <c r="A3636" s="3" t="s">
        <v>3647</v>
      </c>
      <c r="B3636" s="4">
        <v>14.46</v>
      </c>
      <c r="C3636" s="4">
        <v>0.09</v>
      </c>
      <c r="D3636" s="4">
        <v>0.02</v>
      </c>
      <c r="E3636" s="4">
        <v>-1.9104613392856028E-2</v>
      </c>
      <c r="F3636" s="3">
        <v>3634</v>
      </c>
      <c r="G3636" s="3">
        <v>3</v>
      </c>
      <c r="H3636" s="5">
        <v>20457372328.23</v>
      </c>
      <c r="I3636" s="5">
        <v>34261072328.23</v>
      </c>
      <c r="J3636" s="5">
        <v>13960300000</v>
      </c>
      <c r="K3636" s="5">
        <v>156600000</v>
      </c>
      <c r="L3636" s="5">
        <v>5455100000</v>
      </c>
      <c r="M3636" s="5">
        <v>2370100000</v>
      </c>
      <c r="N3636" s="5">
        <v>760400000</v>
      </c>
    </row>
    <row r="3637" spans="1:14" x14ac:dyDescent="0.25">
      <c r="A3637" s="3" t="s">
        <v>3648</v>
      </c>
      <c r="B3637" s="4">
        <v>14.19</v>
      </c>
      <c r="C3637" s="4">
        <v>0.03</v>
      </c>
      <c r="D3637" s="4">
        <v>0.03</v>
      </c>
      <c r="E3637" s="4">
        <v>-1.910893745454418E-2</v>
      </c>
      <c r="F3637" s="3">
        <v>3635</v>
      </c>
      <c r="G3637" s="3">
        <v>3</v>
      </c>
      <c r="H3637" s="5">
        <v>233911047.5</v>
      </c>
      <c r="I3637" s="5">
        <v>209978637.5</v>
      </c>
      <c r="J3637" s="5">
        <v>0</v>
      </c>
      <c r="K3637" s="5">
        <v>23932410</v>
      </c>
      <c r="L3637" s="5">
        <v>21665750</v>
      </c>
      <c r="M3637" s="5">
        <v>14792790</v>
      </c>
      <c r="N3637" s="5">
        <v>9622540</v>
      </c>
    </row>
    <row r="3638" spans="1:14" x14ac:dyDescent="0.25">
      <c r="A3638" s="3" t="s">
        <v>3649</v>
      </c>
      <c r="B3638" s="4">
        <v>13.43</v>
      </c>
      <c r="C3638" s="4">
        <v>-0.13</v>
      </c>
      <c r="D3638" s="4">
        <v>-0.04</v>
      </c>
      <c r="E3638" s="4">
        <v>-1.9114358719840161E-2</v>
      </c>
      <c r="F3638" s="3">
        <v>3636</v>
      </c>
      <c r="G3638" s="3">
        <v>3</v>
      </c>
      <c r="H3638" s="5">
        <v>4187347082.3099999</v>
      </c>
      <c r="I3638" s="5">
        <v>5035347082.3099995</v>
      </c>
      <c r="J3638" s="5">
        <v>1384000000</v>
      </c>
      <c r="K3638" s="5">
        <v>536000000</v>
      </c>
      <c r="L3638" s="5">
        <v>2423000000</v>
      </c>
      <c r="M3638" s="5">
        <v>375000000</v>
      </c>
      <c r="N3638" s="5">
        <v>-141000000</v>
      </c>
    </row>
    <row r="3639" spans="1:14" x14ac:dyDescent="0.25">
      <c r="A3639" s="3" t="s">
        <v>3650</v>
      </c>
      <c r="B3639" s="4">
        <v>15.44</v>
      </c>
      <c r="C3639" s="4">
        <v>0.28999999999999998</v>
      </c>
      <c r="D3639" s="4">
        <v>0.11</v>
      </c>
      <c r="E3639" s="4">
        <v>-1.9115922171682901E-2</v>
      </c>
      <c r="F3639" s="3">
        <v>3637</v>
      </c>
      <c r="G3639" s="3">
        <v>3</v>
      </c>
      <c r="H3639" s="5">
        <v>19195989965.799999</v>
      </c>
      <c r="I3639" s="5">
        <v>18671489965.799999</v>
      </c>
      <c r="J3639" s="5">
        <v>1398000000</v>
      </c>
      <c r="K3639" s="5">
        <v>1922500000</v>
      </c>
      <c r="L3639" s="5">
        <v>7079000000</v>
      </c>
      <c r="M3639" s="5">
        <v>1209500000</v>
      </c>
      <c r="N3639" s="5">
        <v>742900000</v>
      </c>
    </row>
    <row r="3640" spans="1:14" x14ac:dyDescent="0.25">
      <c r="A3640" s="3" t="s">
        <v>3651</v>
      </c>
      <c r="B3640" s="4">
        <v>13.15</v>
      </c>
      <c r="C3640" s="4">
        <v>-0.19</v>
      </c>
      <c r="D3640" s="4">
        <v>-0.05</v>
      </c>
      <c r="E3640" s="4">
        <v>-1.9116351628986249E-2</v>
      </c>
      <c r="F3640" s="3">
        <v>3638</v>
      </c>
      <c r="G3640" s="3">
        <v>3</v>
      </c>
      <c r="H3640" s="5">
        <v>2804443.0805000002</v>
      </c>
      <c r="I3640" s="5">
        <v>4722443.0805000002</v>
      </c>
      <c r="J3640" s="5">
        <v>2653000</v>
      </c>
      <c r="K3640" s="5">
        <v>735000</v>
      </c>
      <c r="L3640" s="5">
        <v>24691000</v>
      </c>
      <c r="M3640" s="5">
        <v>359150</v>
      </c>
      <c r="N3640" s="5">
        <v>-448000</v>
      </c>
    </row>
    <row r="3641" spans="1:14" x14ac:dyDescent="0.25">
      <c r="A3641" s="3" t="s">
        <v>3652</v>
      </c>
      <c r="B3641" s="4">
        <v>0.25</v>
      </c>
      <c r="C3641" s="4">
        <v>-2.84</v>
      </c>
      <c r="D3641" s="4">
        <v>-1.75</v>
      </c>
      <c r="E3641" s="4">
        <v>-1.911701665676371E-2</v>
      </c>
      <c r="F3641" s="3">
        <v>3639</v>
      </c>
      <c r="G3641" s="3">
        <v>3</v>
      </c>
      <c r="H3641" s="5">
        <v>10661413.6</v>
      </c>
      <c r="I3641" s="5">
        <v>-12627196.4</v>
      </c>
      <c r="J3641" s="5">
        <v>0</v>
      </c>
      <c r="K3641" s="5">
        <v>23288610</v>
      </c>
      <c r="L3641" s="5">
        <v>0</v>
      </c>
      <c r="M3641" s="5">
        <v>-51485700</v>
      </c>
      <c r="N3641" s="5">
        <v>-44581450</v>
      </c>
    </row>
    <row r="3642" spans="1:14" x14ac:dyDescent="0.25">
      <c r="A3642" s="3" t="s">
        <v>3653</v>
      </c>
      <c r="B3642" s="4">
        <v>-7.48</v>
      </c>
      <c r="C3642" s="4">
        <v>-4.57</v>
      </c>
      <c r="D3642" s="4">
        <v>-0.64</v>
      </c>
      <c r="E3642" s="4">
        <v>-1.9117232716320921E-2</v>
      </c>
      <c r="F3642" s="3">
        <v>3640</v>
      </c>
      <c r="G3642" s="3">
        <v>3</v>
      </c>
      <c r="H3642" s="5">
        <v>22.557153</v>
      </c>
      <c r="I3642" s="5">
        <v>43821972.557153001</v>
      </c>
      <c r="J3642" s="5">
        <v>46182300</v>
      </c>
      <c r="K3642" s="5">
        <v>2360350</v>
      </c>
      <c r="L3642" s="5">
        <v>89622540</v>
      </c>
      <c r="M3642" s="5">
        <v>-5857300</v>
      </c>
      <c r="N3642" s="5">
        <v>-51675570</v>
      </c>
    </row>
    <row r="3643" spans="1:14" x14ac:dyDescent="0.25">
      <c r="A3643" s="3" t="s">
        <v>3654</v>
      </c>
      <c r="B3643" s="4">
        <v>-1.23</v>
      </c>
      <c r="C3643" s="4">
        <v>0.74</v>
      </c>
      <c r="D3643" s="4">
        <v>-60.21</v>
      </c>
      <c r="E3643" s="4">
        <v>-1.9134192274519589E-2</v>
      </c>
      <c r="F3643" s="3">
        <v>3641</v>
      </c>
      <c r="G3643" s="3">
        <v>3</v>
      </c>
      <c r="H3643" s="5">
        <v>709.84749199999999</v>
      </c>
      <c r="I3643" s="5">
        <v>3556709.8474920001</v>
      </c>
      <c r="J3643" s="5">
        <v>3588000</v>
      </c>
      <c r="K3643" s="5">
        <v>32000</v>
      </c>
      <c r="L3643" s="5">
        <v>2000</v>
      </c>
      <c r="M3643" s="5">
        <v>-2902000</v>
      </c>
      <c r="N3643" s="5">
        <v>-5961000</v>
      </c>
    </row>
    <row r="3644" spans="1:14" x14ac:dyDescent="0.25">
      <c r="A3644" s="3" t="s">
        <v>3655</v>
      </c>
      <c r="B3644" s="4">
        <v>15.01</v>
      </c>
      <c r="C3644" s="4">
        <v>0.2</v>
      </c>
      <c r="D3644" s="4">
        <v>-0.04</v>
      </c>
      <c r="E3644" s="4">
        <v>-1.913876418850129E-2</v>
      </c>
      <c r="F3644" s="3">
        <v>3642</v>
      </c>
      <c r="G3644" s="3">
        <v>3</v>
      </c>
      <c r="H3644" s="5">
        <v>1282358902.5</v>
      </c>
      <c r="I3644" s="5">
        <v>4774458902.5</v>
      </c>
      <c r="J3644" s="5">
        <v>4124400000</v>
      </c>
      <c r="K3644" s="5">
        <v>632300000</v>
      </c>
      <c r="L3644" s="5">
        <v>4637200000</v>
      </c>
      <c r="M3644" s="5">
        <v>318000000</v>
      </c>
      <c r="N3644" s="5">
        <v>-352600000</v>
      </c>
    </row>
    <row r="3645" spans="1:14" x14ac:dyDescent="0.25">
      <c r="A3645" s="3" t="s">
        <v>3656</v>
      </c>
      <c r="B3645" s="4">
        <v>14.87</v>
      </c>
      <c r="C3645" s="4">
        <v>0.16</v>
      </c>
      <c r="D3645" s="4">
        <v>0.1</v>
      </c>
      <c r="E3645" s="4">
        <v>-1.9140683364714951E-2</v>
      </c>
      <c r="F3645" s="3">
        <v>3643</v>
      </c>
      <c r="G3645" s="3">
        <v>3</v>
      </c>
      <c r="H3645" s="5">
        <v>266585683312.5</v>
      </c>
      <c r="I3645" s="5">
        <v>271520683312.5</v>
      </c>
      <c r="J3645" s="5">
        <v>14577000000</v>
      </c>
      <c r="K3645" s="5">
        <v>9642000000</v>
      </c>
      <c r="L3645" s="5">
        <v>37378000000</v>
      </c>
      <c r="M3645" s="5">
        <v>18258000000</v>
      </c>
      <c r="N3645" s="5">
        <v>8539000000</v>
      </c>
    </row>
    <row r="3646" spans="1:14" x14ac:dyDescent="0.25">
      <c r="A3646" s="3" t="s">
        <v>3657</v>
      </c>
      <c r="B3646" s="4">
        <v>12.63</v>
      </c>
      <c r="C3646" s="4">
        <v>-0.31</v>
      </c>
      <c r="D3646" s="4">
        <v>-0.05</v>
      </c>
      <c r="E3646" s="4">
        <v>-1.914123621691172E-2</v>
      </c>
      <c r="F3646" s="3">
        <v>3644</v>
      </c>
      <c r="G3646" s="3">
        <v>3</v>
      </c>
      <c r="H3646" s="5">
        <v>305092000</v>
      </c>
      <c r="I3646" s="5">
        <v>1115145000</v>
      </c>
      <c r="J3646" s="5">
        <v>860318000</v>
      </c>
      <c r="K3646" s="5">
        <v>50265000</v>
      </c>
      <c r="L3646" s="5">
        <v>1385516000</v>
      </c>
      <c r="M3646" s="5">
        <v>88283000</v>
      </c>
      <c r="N3646" s="5">
        <v>-79053000</v>
      </c>
    </row>
    <row r="3647" spans="1:14" x14ac:dyDescent="0.25">
      <c r="A3647" s="3" t="s">
        <v>3658</v>
      </c>
      <c r="B3647" s="4">
        <v>-2.61</v>
      </c>
      <c r="C3647" s="4">
        <v>-3.5</v>
      </c>
      <c r="D3647" s="4">
        <v>-1.23</v>
      </c>
      <c r="E3647" s="4">
        <v>-1.9153572508323481E-2</v>
      </c>
      <c r="F3647" s="3">
        <v>3645</v>
      </c>
      <c r="G3647" s="3">
        <v>3</v>
      </c>
      <c r="H3647" s="5">
        <v>21253251.096000001</v>
      </c>
      <c r="I3647" s="5">
        <v>22478041.096000001</v>
      </c>
      <c r="J3647" s="5">
        <v>4008110</v>
      </c>
      <c r="K3647" s="5">
        <v>2783320</v>
      </c>
      <c r="L3647" s="5">
        <v>3082350</v>
      </c>
      <c r="M3647" s="5">
        <v>-8609830</v>
      </c>
      <c r="N3647" s="5">
        <v>-10605150</v>
      </c>
    </row>
    <row r="3648" spans="1:14" x14ac:dyDescent="0.25">
      <c r="A3648" s="3" t="s">
        <v>3659</v>
      </c>
      <c r="B3648" s="4">
        <v>14.37</v>
      </c>
      <c r="C3648" s="4">
        <v>0.05</v>
      </c>
      <c r="D3648" s="4">
        <v>0.03</v>
      </c>
      <c r="E3648" s="4">
        <v>-1.916255594306266E-2</v>
      </c>
      <c r="F3648" s="3">
        <v>3646</v>
      </c>
      <c r="G3648" s="3">
        <v>3</v>
      </c>
      <c r="H3648" s="5">
        <v>3411564480</v>
      </c>
      <c r="I3648" s="5">
        <v>5309844480</v>
      </c>
      <c r="J3648" s="5">
        <v>1913125000</v>
      </c>
      <c r="K3648" s="5">
        <v>14845000</v>
      </c>
      <c r="L3648" s="5">
        <v>431800000</v>
      </c>
      <c r="M3648" s="5">
        <v>369458000</v>
      </c>
      <c r="N3648" s="5">
        <v>162441000</v>
      </c>
    </row>
    <row r="3649" spans="1:14" x14ac:dyDescent="0.25">
      <c r="A3649" s="3" t="s">
        <v>3660</v>
      </c>
      <c r="B3649" s="4">
        <v>-3.52</v>
      </c>
      <c r="C3649" s="4">
        <v>-3.73</v>
      </c>
      <c r="D3649" s="4">
        <v>-0.78</v>
      </c>
      <c r="E3649" s="4">
        <v>-1.9168101555234199E-2</v>
      </c>
      <c r="F3649" s="3">
        <v>3647</v>
      </c>
      <c r="G3649" s="3">
        <v>3</v>
      </c>
      <c r="H3649" s="5">
        <v>274140122.85000002</v>
      </c>
      <c r="I3649" s="5">
        <v>258368122.84999999</v>
      </c>
      <c r="J3649" s="5">
        <v>54841000</v>
      </c>
      <c r="K3649" s="5">
        <v>70613000</v>
      </c>
      <c r="L3649" s="5">
        <v>22472000</v>
      </c>
      <c r="M3649" s="5">
        <v>-73367000</v>
      </c>
      <c r="N3649" s="5">
        <v>-78616000</v>
      </c>
    </row>
    <row r="3650" spans="1:14" x14ac:dyDescent="0.25">
      <c r="A3650" s="3" t="s">
        <v>3661</v>
      </c>
      <c r="B3650" s="4">
        <v>13.95</v>
      </c>
      <c r="C3650" s="4">
        <v>-0.04</v>
      </c>
      <c r="D3650" s="4">
        <v>-0.03</v>
      </c>
      <c r="E3650" s="4">
        <v>-1.9174225926380569E-2</v>
      </c>
      <c r="F3650" s="3">
        <v>3648</v>
      </c>
      <c r="G3650" s="3">
        <v>3</v>
      </c>
      <c r="H3650" s="5">
        <v>95971433.140000001</v>
      </c>
      <c r="I3650" s="5">
        <v>89436433.139999986</v>
      </c>
      <c r="J3650" s="5">
        <v>43477000</v>
      </c>
      <c r="K3650" s="5">
        <v>50012000</v>
      </c>
      <c r="L3650" s="5">
        <v>92067000</v>
      </c>
      <c r="M3650" s="5">
        <v>6411000</v>
      </c>
      <c r="N3650" s="5">
        <v>-12477000</v>
      </c>
    </row>
    <row r="3651" spans="1:14" x14ac:dyDescent="0.25">
      <c r="A3651" s="3" t="s">
        <v>3662</v>
      </c>
      <c r="B3651" s="4">
        <v>14.64</v>
      </c>
      <c r="C3651" s="4">
        <v>0.1</v>
      </c>
      <c r="D3651" s="4">
        <v>0.03</v>
      </c>
      <c r="E3651" s="4">
        <v>-1.9185196461811459E-2</v>
      </c>
      <c r="F3651" s="3">
        <v>3649</v>
      </c>
      <c r="G3651" s="3">
        <v>3</v>
      </c>
      <c r="H3651" s="5">
        <v>48027114169.870003</v>
      </c>
      <c r="I3651" s="5">
        <v>77024114169.869995</v>
      </c>
      <c r="J3651" s="5">
        <v>29176000000</v>
      </c>
      <c r="K3651" s="5">
        <v>179000000</v>
      </c>
      <c r="L3651" s="5">
        <v>13441000000</v>
      </c>
      <c r="M3651" s="5">
        <v>5261000000</v>
      </c>
      <c r="N3651" s="5">
        <v>1936000000</v>
      </c>
    </row>
    <row r="3652" spans="1:14" x14ac:dyDescent="0.25">
      <c r="A3652" s="3" t="s">
        <v>3663</v>
      </c>
      <c r="B3652" s="4">
        <v>14.36</v>
      </c>
      <c r="C3652" s="4">
        <v>0.04</v>
      </c>
      <c r="D3652" s="4">
        <v>0.03</v>
      </c>
      <c r="E3652" s="4">
        <v>-1.9185260344380041E-2</v>
      </c>
      <c r="F3652" s="3">
        <v>3650</v>
      </c>
      <c r="G3652" s="3">
        <v>3</v>
      </c>
      <c r="H3652" s="5">
        <v>55897528.130000003</v>
      </c>
      <c r="I3652" s="5">
        <v>65073248.130000003</v>
      </c>
      <c r="J3652" s="5">
        <v>16356580</v>
      </c>
      <c r="K3652" s="5">
        <v>7180860</v>
      </c>
      <c r="L3652" s="5">
        <v>12530280</v>
      </c>
      <c r="M3652" s="5">
        <v>4531520</v>
      </c>
      <c r="N3652" s="5">
        <v>2123740</v>
      </c>
    </row>
    <row r="3653" spans="1:14" x14ac:dyDescent="0.25">
      <c r="A3653" s="3" t="s">
        <v>3664</v>
      </c>
      <c r="B3653" s="4">
        <v>15.06</v>
      </c>
      <c r="C3653" s="4">
        <v>0.18</v>
      </c>
      <c r="D3653" s="4">
        <v>0.04</v>
      </c>
      <c r="E3653" s="4">
        <v>-1.9212065218395549E-2</v>
      </c>
      <c r="F3653" s="3">
        <v>3651</v>
      </c>
      <c r="G3653" s="3">
        <v>3</v>
      </c>
      <c r="H3653" s="5">
        <v>18826740409.349998</v>
      </c>
      <c r="I3653" s="5">
        <v>25738040409.349998</v>
      </c>
      <c r="J3653" s="5">
        <v>9007700000</v>
      </c>
      <c r="K3653" s="5">
        <v>2096400000</v>
      </c>
      <c r="L3653" s="5">
        <v>5425800000</v>
      </c>
      <c r="M3653" s="5">
        <v>1708800000</v>
      </c>
      <c r="N3653" s="5">
        <v>1020400000</v>
      </c>
    </row>
    <row r="3654" spans="1:14" x14ac:dyDescent="0.25">
      <c r="A3654" s="3" t="s">
        <v>3665</v>
      </c>
      <c r="B3654" s="4">
        <v>14.79</v>
      </c>
      <c r="C3654" s="4">
        <v>0.12</v>
      </c>
      <c r="D3654" s="4">
        <v>0.02</v>
      </c>
      <c r="E3654" s="4">
        <v>-1.9222176359816209E-2</v>
      </c>
      <c r="F3654" s="3">
        <v>3652</v>
      </c>
      <c r="G3654" s="3">
        <v>3</v>
      </c>
      <c r="H3654" s="5">
        <v>5457102000</v>
      </c>
      <c r="I3654" s="5">
        <v>13281202000</v>
      </c>
      <c r="J3654" s="5">
        <v>8225700000</v>
      </c>
      <c r="K3654" s="5">
        <v>401600000</v>
      </c>
      <c r="L3654" s="5">
        <v>1585500000</v>
      </c>
      <c r="M3654" s="5">
        <v>897700000</v>
      </c>
      <c r="N3654" s="5">
        <v>284200000</v>
      </c>
    </row>
    <row r="3655" spans="1:14" x14ac:dyDescent="0.25">
      <c r="A3655" s="3" t="s">
        <v>3666</v>
      </c>
      <c r="B3655" s="4">
        <v>10.31</v>
      </c>
      <c r="C3655" s="4">
        <v>-0.83</v>
      </c>
      <c r="D3655" s="4">
        <v>-0.17</v>
      </c>
      <c r="E3655" s="4">
        <v>-1.9230956378871639E-2</v>
      </c>
      <c r="F3655" s="3">
        <v>3653</v>
      </c>
      <c r="G3655" s="3">
        <v>3</v>
      </c>
      <c r="H3655" s="5">
        <v>1270670119.6800001</v>
      </c>
      <c r="I3655" s="5">
        <v>1584962119.6800001</v>
      </c>
      <c r="J3655" s="5">
        <v>677284000</v>
      </c>
      <c r="K3655" s="5">
        <v>362992000</v>
      </c>
      <c r="L3655" s="5">
        <v>915807000</v>
      </c>
      <c r="M3655" s="5">
        <v>153678000</v>
      </c>
      <c r="N3655" s="5">
        <v>-240394000</v>
      </c>
    </row>
    <row r="3656" spans="1:14" x14ac:dyDescent="0.25">
      <c r="A3656" s="3" t="s">
        <v>3667</v>
      </c>
      <c r="B3656" s="4">
        <v>14.63</v>
      </c>
      <c r="C3656" s="4">
        <v>0.08</v>
      </c>
      <c r="D3656" s="4">
        <v>0.06</v>
      </c>
      <c r="E3656" s="4">
        <v>-1.9231007390410781E-2</v>
      </c>
      <c r="F3656" s="3">
        <v>3654</v>
      </c>
      <c r="G3656" s="3">
        <v>3</v>
      </c>
      <c r="H3656" s="5">
        <v>76837083.930000007</v>
      </c>
      <c r="I3656" s="5">
        <v>78997343.930000007</v>
      </c>
      <c r="J3656" s="5">
        <v>7112440</v>
      </c>
      <c r="K3656" s="5">
        <v>4952180</v>
      </c>
      <c r="L3656" s="5">
        <v>85059520</v>
      </c>
      <c r="M3656" s="5">
        <v>5398250</v>
      </c>
      <c r="N3656" s="5">
        <v>5409080</v>
      </c>
    </row>
    <row r="3657" spans="1:14" x14ac:dyDescent="0.25">
      <c r="A3657" s="3" t="s">
        <v>3668</v>
      </c>
      <c r="B3657" s="4">
        <v>14.24</v>
      </c>
      <c r="C3657" s="4">
        <v>0</v>
      </c>
      <c r="D3657" s="4">
        <v>0</v>
      </c>
      <c r="E3657" s="4">
        <v>-1.9232351383805461E-2</v>
      </c>
      <c r="F3657" s="3">
        <v>3655</v>
      </c>
      <c r="G3657" s="3">
        <v>3</v>
      </c>
      <c r="H3657" s="5">
        <v>8463984976.2600002</v>
      </c>
      <c r="I3657" s="5">
        <v>12877684976.26</v>
      </c>
      <c r="J3657" s="5">
        <v>5028100000</v>
      </c>
      <c r="K3657" s="5">
        <v>614400000</v>
      </c>
      <c r="L3657" s="5">
        <v>5152500000</v>
      </c>
      <c r="M3657" s="5">
        <v>904300000</v>
      </c>
      <c r="N3657" s="5">
        <v>-16400000</v>
      </c>
    </row>
    <row r="3658" spans="1:14" x14ac:dyDescent="0.25">
      <c r="A3658" s="3" t="s">
        <v>3669</v>
      </c>
      <c r="B3658" s="4">
        <v>15.23</v>
      </c>
      <c r="C3658" s="4">
        <v>0.21</v>
      </c>
      <c r="D3658" s="4">
        <v>0.03</v>
      </c>
      <c r="E3658" s="4">
        <v>-1.9232529920779999E-2</v>
      </c>
      <c r="F3658" s="3">
        <v>3656</v>
      </c>
      <c r="G3658" s="3">
        <v>3</v>
      </c>
      <c r="H3658" s="5">
        <v>22627772079.48</v>
      </c>
      <c r="I3658" s="5">
        <v>23922372079.48</v>
      </c>
      <c r="J3658" s="5">
        <v>2394600000</v>
      </c>
      <c r="K3658" s="5">
        <v>1100000000</v>
      </c>
      <c r="L3658" s="5">
        <v>7010700000</v>
      </c>
      <c r="M3658" s="5">
        <v>1571200000</v>
      </c>
      <c r="N3658" s="5">
        <v>183200000</v>
      </c>
    </row>
    <row r="3659" spans="1:14" x14ac:dyDescent="0.25">
      <c r="A3659" s="3" t="s">
        <v>3670</v>
      </c>
      <c r="B3659" s="4">
        <v>14.73</v>
      </c>
      <c r="C3659" s="4">
        <v>0.1</v>
      </c>
      <c r="D3659" s="4">
        <v>0.05</v>
      </c>
      <c r="E3659" s="4">
        <v>-1.923704125993015E-2</v>
      </c>
      <c r="F3659" s="3">
        <v>3657</v>
      </c>
      <c r="G3659" s="3">
        <v>3</v>
      </c>
      <c r="H3659" s="5">
        <v>115948487394.39999</v>
      </c>
      <c r="I3659" s="5">
        <v>142246487394.39999</v>
      </c>
      <c r="J3659" s="5">
        <v>28516000000</v>
      </c>
      <c r="K3659" s="5">
        <v>2218000000</v>
      </c>
      <c r="L3659" s="5">
        <v>33537000000</v>
      </c>
      <c r="M3659" s="5">
        <v>9658000000</v>
      </c>
      <c r="N3659" s="5">
        <v>4663000000</v>
      </c>
    </row>
    <row r="3660" spans="1:14" x14ac:dyDescent="0.25">
      <c r="A3660" s="3" t="s">
        <v>3671</v>
      </c>
      <c r="B3660" s="4">
        <v>15.64</v>
      </c>
      <c r="C3660" s="4">
        <v>0.28000000000000003</v>
      </c>
      <c r="D3660" s="4">
        <v>0.22</v>
      </c>
      <c r="E3660" s="4">
        <v>-1.924738060028635E-2</v>
      </c>
      <c r="F3660" s="3">
        <v>3658</v>
      </c>
      <c r="G3660" s="3">
        <v>3</v>
      </c>
      <c r="H3660" s="5">
        <v>29587470326.860001</v>
      </c>
      <c r="I3660" s="5">
        <v>29538781326.860001</v>
      </c>
      <c r="J3660" s="5">
        <v>59987000</v>
      </c>
      <c r="K3660" s="5">
        <v>108676000</v>
      </c>
      <c r="L3660" s="5">
        <v>5814810000</v>
      </c>
      <c r="M3660" s="5">
        <v>1888576000</v>
      </c>
      <c r="N3660" s="5">
        <v>1186073000</v>
      </c>
    </row>
    <row r="3661" spans="1:14" x14ac:dyDescent="0.25">
      <c r="A3661" s="3" t="s">
        <v>3672</v>
      </c>
      <c r="B3661" s="4">
        <v>14.54</v>
      </c>
      <c r="C3661" s="4">
        <v>0.05</v>
      </c>
      <c r="D3661" s="4">
        <v>0.03</v>
      </c>
      <c r="E3661" s="4">
        <v>-1.926777243991298E-2</v>
      </c>
      <c r="F3661" s="3">
        <v>3659</v>
      </c>
      <c r="G3661" s="3">
        <v>3</v>
      </c>
      <c r="H3661" s="5">
        <v>2774280519.1300001</v>
      </c>
      <c r="I3661" s="5">
        <v>2973050519.1300001</v>
      </c>
      <c r="J3661" s="5">
        <v>627628000</v>
      </c>
      <c r="K3661" s="5">
        <v>428858000</v>
      </c>
      <c r="L3661" s="5">
        <v>1253437000</v>
      </c>
      <c r="M3661" s="5">
        <v>204410000</v>
      </c>
      <c r="N3661" s="5">
        <v>63234000</v>
      </c>
    </row>
    <row r="3662" spans="1:14" x14ac:dyDescent="0.25">
      <c r="A3662" s="3" t="s">
        <v>3673</v>
      </c>
      <c r="B3662" s="4">
        <v>15.51</v>
      </c>
      <c r="C3662" s="4">
        <v>0.25</v>
      </c>
      <c r="D3662" s="4">
        <v>0.14000000000000001</v>
      </c>
      <c r="E3662" s="4">
        <v>-1.9269033959887761E-2</v>
      </c>
      <c r="F3662" s="3">
        <v>3660</v>
      </c>
      <c r="G3662" s="3">
        <v>3</v>
      </c>
      <c r="H3662" s="5">
        <v>149760000</v>
      </c>
      <c r="I3662" s="5">
        <v>135298750</v>
      </c>
      <c r="J3662" s="5">
        <v>0</v>
      </c>
      <c r="K3662" s="5">
        <v>14461250</v>
      </c>
      <c r="L3662" s="5">
        <v>68424580</v>
      </c>
      <c r="M3662" s="5">
        <v>8723990</v>
      </c>
      <c r="N3662" s="5">
        <v>5977640</v>
      </c>
    </row>
    <row r="3663" spans="1:14" x14ac:dyDescent="0.25">
      <c r="A3663" s="3" t="s">
        <v>3674</v>
      </c>
      <c r="B3663" s="4">
        <v>16.2</v>
      </c>
      <c r="C3663" s="4">
        <v>0.39</v>
      </c>
      <c r="D3663" s="4">
        <v>0.18</v>
      </c>
      <c r="E3663" s="4">
        <v>-1.9283862548473679E-2</v>
      </c>
      <c r="F3663" s="3">
        <v>3661</v>
      </c>
      <c r="G3663" s="3">
        <v>3</v>
      </c>
      <c r="H3663" s="5">
        <v>140452858000</v>
      </c>
      <c r="I3663" s="5">
        <v>139254858000</v>
      </c>
      <c r="J3663" s="5">
        <v>5628000000</v>
      </c>
      <c r="K3663" s="5">
        <v>6826000000</v>
      </c>
      <c r="L3663" s="5">
        <v>21505000000</v>
      </c>
      <c r="M3663" s="5">
        <v>8598000000</v>
      </c>
      <c r="N3663" s="5">
        <v>5560000000</v>
      </c>
    </row>
    <row r="3664" spans="1:14" x14ac:dyDescent="0.25">
      <c r="A3664" s="3" t="s">
        <v>3675</v>
      </c>
      <c r="B3664" s="4">
        <v>14.34</v>
      </c>
      <c r="C3664" s="4">
        <v>0</v>
      </c>
      <c r="D3664" s="4">
        <v>0</v>
      </c>
      <c r="E3664" s="4">
        <v>-1.9294243440776241E-2</v>
      </c>
      <c r="F3664" s="3">
        <v>3662</v>
      </c>
      <c r="G3664" s="3">
        <v>3</v>
      </c>
      <c r="H3664" s="5">
        <v>552918730.27999997</v>
      </c>
      <c r="I3664" s="5">
        <v>1062894730.28</v>
      </c>
      <c r="J3664" s="5">
        <v>518993000</v>
      </c>
      <c r="K3664" s="5">
        <v>9017000</v>
      </c>
      <c r="L3664" s="5">
        <v>124519000</v>
      </c>
      <c r="M3664" s="5">
        <v>74124000</v>
      </c>
      <c r="N3664" s="5">
        <v>-1965000</v>
      </c>
    </row>
    <row r="3665" spans="1:14" x14ac:dyDescent="0.25">
      <c r="A3665" s="3" t="s">
        <v>3676</v>
      </c>
      <c r="B3665" s="4">
        <v>15.02</v>
      </c>
      <c r="C3665" s="4">
        <v>0.14000000000000001</v>
      </c>
      <c r="D3665" s="4">
        <v>7.0000000000000007E-2</v>
      </c>
      <c r="E3665" s="4">
        <v>-1.9297095743932551E-2</v>
      </c>
      <c r="F3665" s="3">
        <v>3663</v>
      </c>
      <c r="G3665" s="3">
        <v>3</v>
      </c>
      <c r="H3665" s="5">
        <v>4073009000.9000001</v>
      </c>
      <c r="I3665" s="5">
        <v>4212609000.9000001</v>
      </c>
      <c r="J3665" s="5">
        <v>449500000</v>
      </c>
      <c r="K3665" s="5">
        <v>309900000</v>
      </c>
      <c r="L3665" s="5">
        <v>1314700000</v>
      </c>
      <c r="M3665" s="5">
        <v>280400000</v>
      </c>
      <c r="N3665" s="5">
        <v>115900000</v>
      </c>
    </row>
    <row r="3666" spans="1:14" x14ac:dyDescent="0.25">
      <c r="A3666" s="3" t="s">
        <v>3677</v>
      </c>
      <c r="B3666" s="4">
        <v>14.55</v>
      </c>
      <c r="C3666" s="4">
        <v>0.04</v>
      </c>
      <c r="D3666" s="4">
        <v>0.02</v>
      </c>
      <c r="E3666" s="4">
        <v>-1.9304784279202011E-2</v>
      </c>
      <c r="F3666" s="3">
        <v>3664</v>
      </c>
      <c r="G3666" s="3">
        <v>3</v>
      </c>
      <c r="H3666" s="5">
        <v>1455607611.3199999</v>
      </c>
      <c r="I3666" s="5">
        <v>1703517611.3199999</v>
      </c>
      <c r="J3666" s="5">
        <v>333106000</v>
      </c>
      <c r="K3666" s="5">
        <v>85196000</v>
      </c>
      <c r="L3666" s="5">
        <v>466147000</v>
      </c>
      <c r="M3666" s="5">
        <v>117053000</v>
      </c>
      <c r="N3666" s="5">
        <v>30958000</v>
      </c>
    </row>
    <row r="3667" spans="1:14" x14ac:dyDescent="0.25">
      <c r="A3667" s="3" t="s">
        <v>3678</v>
      </c>
      <c r="B3667" s="4">
        <v>15.32</v>
      </c>
      <c r="C3667" s="4">
        <v>0.2</v>
      </c>
      <c r="D3667" s="4">
        <v>0.08</v>
      </c>
      <c r="E3667" s="4">
        <v>-1.9307481246180619E-2</v>
      </c>
      <c r="F3667" s="3">
        <v>3665</v>
      </c>
      <c r="G3667" s="3">
        <v>3</v>
      </c>
      <c r="H3667" s="5">
        <v>448128888972</v>
      </c>
      <c r="I3667" s="5">
        <v>478639888972</v>
      </c>
      <c r="J3667" s="5">
        <v>36634000000</v>
      </c>
      <c r="K3667" s="5">
        <v>6123000000</v>
      </c>
      <c r="L3667" s="5">
        <v>88821000000</v>
      </c>
      <c r="M3667" s="5">
        <v>31243000000</v>
      </c>
      <c r="N3667" s="5">
        <v>14066000000</v>
      </c>
    </row>
    <row r="3668" spans="1:14" x14ac:dyDescent="0.25">
      <c r="A3668" s="3" t="s">
        <v>3679</v>
      </c>
      <c r="B3668" s="4">
        <v>14.84</v>
      </c>
      <c r="C3668" s="4">
        <v>0.1</v>
      </c>
      <c r="D3668" s="4">
        <v>0.03</v>
      </c>
      <c r="E3668" s="4">
        <v>-1.9308980575753011E-2</v>
      </c>
      <c r="F3668" s="3">
        <v>3666</v>
      </c>
      <c r="G3668" s="3">
        <v>3</v>
      </c>
      <c r="H3668" s="5">
        <v>27387116495.040001</v>
      </c>
      <c r="I3668" s="5">
        <v>46102116495.040001</v>
      </c>
      <c r="J3668" s="5">
        <v>18722000000</v>
      </c>
      <c r="K3668" s="5">
        <v>7000000</v>
      </c>
      <c r="L3668" s="5">
        <v>7623000000</v>
      </c>
      <c r="M3668" s="5">
        <v>3106000000</v>
      </c>
      <c r="N3668" s="5">
        <v>1182000000</v>
      </c>
    </row>
    <row r="3669" spans="1:14" x14ac:dyDescent="0.25">
      <c r="A3669" s="3" t="s">
        <v>3680</v>
      </c>
      <c r="B3669" s="4">
        <v>9.39</v>
      </c>
      <c r="C3669" s="4">
        <v>-1.05</v>
      </c>
      <c r="D3669" s="4">
        <v>-0.25</v>
      </c>
      <c r="E3669" s="4">
        <v>-1.931264102167864E-2</v>
      </c>
      <c r="F3669" s="3">
        <v>3667</v>
      </c>
      <c r="G3669" s="3">
        <v>3</v>
      </c>
      <c r="H3669" s="5">
        <v>3786.4384</v>
      </c>
      <c r="I3669" s="5">
        <v>148040786.4384</v>
      </c>
      <c r="J3669" s="5">
        <v>150585000</v>
      </c>
      <c r="K3669" s="5">
        <v>2548000</v>
      </c>
      <c r="L3669" s="5">
        <v>129998000</v>
      </c>
      <c r="M3669" s="5">
        <v>15762000</v>
      </c>
      <c r="N3669" s="5">
        <v>-57839000</v>
      </c>
    </row>
    <row r="3670" spans="1:14" x14ac:dyDescent="0.25">
      <c r="A3670" s="3" t="s">
        <v>3681</v>
      </c>
      <c r="B3670" s="4">
        <v>14.81</v>
      </c>
      <c r="C3670" s="4">
        <v>0.09</v>
      </c>
      <c r="D3670" s="4">
        <v>0.05</v>
      </c>
      <c r="E3670" s="4">
        <v>-1.9315448512521229E-2</v>
      </c>
      <c r="F3670" s="3">
        <v>3668</v>
      </c>
      <c r="G3670" s="3">
        <v>3</v>
      </c>
      <c r="H3670" s="5">
        <v>1694112951.3599999</v>
      </c>
      <c r="I3670" s="5">
        <v>2369298951.3600001</v>
      </c>
      <c r="J3670" s="5">
        <v>684600000</v>
      </c>
      <c r="K3670" s="5">
        <v>9414000</v>
      </c>
      <c r="L3670" s="5">
        <v>209847000</v>
      </c>
      <c r="M3670" s="5">
        <v>160026000</v>
      </c>
      <c r="N3670" s="5">
        <v>91040000</v>
      </c>
    </row>
    <row r="3671" spans="1:14" x14ac:dyDescent="0.25">
      <c r="A3671" s="3" t="s">
        <v>3682</v>
      </c>
      <c r="B3671" s="4">
        <v>15.1</v>
      </c>
      <c r="C3671" s="4">
        <v>0.15</v>
      </c>
      <c r="D3671" s="4">
        <v>0.08</v>
      </c>
      <c r="E3671" s="4">
        <v>-1.9315786755917209E-2</v>
      </c>
      <c r="F3671" s="3">
        <v>3669</v>
      </c>
      <c r="G3671" s="3">
        <v>3</v>
      </c>
      <c r="H3671" s="5">
        <v>33838066587.200001</v>
      </c>
      <c r="I3671" s="5">
        <v>35991066587.199997</v>
      </c>
      <c r="J3671" s="5">
        <v>2153000000</v>
      </c>
      <c r="K3671" s="5">
        <v>0</v>
      </c>
      <c r="L3671" s="5">
        <v>5793000000</v>
      </c>
      <c r="M3671" s="5">
        <v>2384000000</v>
      </c>
      <c r="N3671" s="5">
        <v>1004000000</v>
      </c>
    </row>
    <row r="3672" spans="1:14" x14ac:dyDescent="0.25">
      <c r="A3672" s="3" t="s">
        <v>3683</v>
      </c>
      <c r="B3672" s="4">
        <v>15.59</v>
      </c>
      <c r="C3672" s="4">
        <v>0.25</v>
      </c>
      <c r="D3672" s="4">
        <v>0.12</v>
      </c>
      <c r="E3672" s="4">
        <v>-1.9322405658619399E-2</v>
      </c>
      <c r="F3672" s="3">
        <v>3670</v>
      </c>
      <c r="G3672" s="3">
        <v>3</v>
      </c>
      <c r="H3672" s="5">
        <v>10018264013.280001</v>
      </c>
      <c r="I3672" s="5">
        <v>10506164013.280001</v>
      </c>
      <c r="J3672" s="5">
        <v>668300000</v>
      </c>
      <c r="K3672" s="5">
        <v>180400000</v>
      </c>
      <c r="L3672" s="5">
        <v>3690900000</v>
      </c>
      <c r="M3672" s="5">
        <v>673700000</v>
      </c>
      <c r="N3672" s="5">
        <v>367000000</v>
      </c>
    </row>
    <row r="3673" spans="1:14" x14ac:dyDescent="0.25">
      <c r="A3673" s="3" t="s">
        <v>3684</v>
      </c>
      <c r="B3673" s="4">
        <v>14.98</v>
      </c>
      <c r="C3673" s="4">
        <v>0.12</v>
      </c>
      <c r="D3673" s="4">
        <v>7.0000000000000007E-2</v>
      </c>
      <c r="E3673" s="4">
        <v>-1.933012613517315E-2</v>
      </c>
      <c r="F3673" s="3">
        <v>3671</v>
      </c>
      <c r="G3673" s="3">
        <v>3</v>
      </c>
      <c r="H3673" s="5">
        <v>736609518</v>
      </c>
      <c r="I3673" s="5">
        <v>1154339518</v>
      </c>
      <c r="J3673" s="5">
        <v>474889000</v>
      </c>
      <c r="K3673" s="5">
        <v>57159000</v>
      </c>
      <c r="L3673" s="5">
        <v>146154000</v>
      </c>
      <c r="M3673" s="5">
        <v>77076000</v>
      </c>
      <c r="N3673" s="5">
        <v>78292000</v>
      </c>
    </row>
    <row r="3674" spans="1:14" x14ac:dyDescent="0.25">
      <c r="A3674" s="3" t="s">
        <v>3685</v>
      </c>
      <c r="B3674" s="4">
        <v>15.05</v>
      </c>
      <c r="C3674" s="4">
        <v>0.13</v>
      </c>
      <c r="D3674" s="4">
        <v>0.09</v>
      </c>
      <c r="E3674" s="4">
        <v>-1.9340698914883221E-2</v>
      </c>
      <c r="F3674" s="3">
        <v>3672</v>
      </c>
      <c r="G3674" s="3">
        <v>3</v>
      </c>
      <c r="H3674" s="5">
        <v>328778547.60000002</v>
      </c>
      <c r="I3674" s="5">
        <v>452226717.60000002</v>
      </c>
      <c r="J3674" s="5">
        <v>131549940</v>
      </c>
      <c r="K3674" s="5">
        <v>8101770</v>
      </c>
      <c r="L3674" s="5">
        <v>46223040</v>
      </c>
      <c r="M3674" s="5">
        <v>30054240</v>
      </c>
      <c r="N3674" s="5">
        <v>41553530</v>
      </c>
    </row>
    <row r="3675" spans="1:14" x14ac:dyDescent="0.25">
      <c r="A3675" s="3" t="s">
        <v>3686</v>
      </c>
      <c r="B3675" s="4">
        <v>15.04</v>
      </c>
      <c r="C3675" s="4">
        <v>0.13</v>
      </c>
      <c r="D3675" s="4">
        <v>0.01</v>
      </c>
      <c r="E3675" s="4">
        <v>-1.93499419218062E-2</v>
      </c>
      <c r="F3675" s="3">
        <v>3673</v>
      </c>
      <c r="G3675" s="3">
        <v>3</v>
      </c>
      <c r="H3675" s="5">
        <v>723029670.99000001</v>
      </c>
      <c r="I3675" s="5">
        <v>5532507670.9899998</v>
      </c>
      <c r="J3675" s="5">
        <v>4859379000</v>
      </c>
      <c r="K3675" s="5">
        <v>49901000</v>
      </c>
      <c r="L3675" s="5">
        <v>416783000</v>
      </c>
      <c r="M3675" s="5">
        <v>367763000</v>
      </c>
      <c r="N3675" s="5">
        <v>68419000</v>
      </c>
    </row>
    <row r="3676" spans="1:14" x14ac:dyDescent="0.25">
      <c r="A3676" s="3" t="s">
        <v>3687</v>
      </c>
      <c r="B3676" s="4">
        <v>14.99</v>
      </c>
      <c r="C3676" s="4">
        <v>0.11</v>
      </c>
      <c r="D3676" s="4">
        <v>0.09</v>
      </c>
      <c r="E3676" s="4">
        <v>-1.9361350894729679E-2</v>
      </c>
      <c r="F3676" s="3">
        <v>3674</v>
      </c>
      <c r="G3676" s="3">
        <v>3</v>
      </c>
      <c r="H3676" s="5">
        <v>771148197.94000006</v>
      </c>
      <c r="I3676" s="5">
        <v>753485197.94000006</v>
      </c>
      <c r="J3676" s="5">
        <v>0</v>
      </c>
      <c r="K3676" s="5">
        <v>17663000</v>
      </c>
      <c r="L3676" s="5">
        <v>388228000</v>
      </c>
      <c r="M3676" s="5">
        <v>50259000</v>
      </c>
      <c r="N3676" s="5">
        <v>41460000</v>
      </c>
    </row>
    <row r="3677" spans="1:14" x14ac:dyDescent="0.25">
      <c r="A3677" s="3" t="s">
        <v>3688</v>
      </c>
      <c r="B3677" s="4">
        <v>15.03</v>
      </c>
      <c r="C3677" s="4">
        <v>0.12</v>
      </c>
      <c r="D3677" s="4">
        <v>0.05</v>
      </c>
      <c r="E3677" s="4">
        <v>-1.9364930216813559E-2</v>
      </c>
      <c r="F3677" s="3">
        <v>3675</v>
      </c>
      <c r="G3677" s="3">
        <v>3</v>
      </c>
      <c r="H3677" s="5">
        <v>2064692261.25</v>
      </c>
      <c r="I3677" s="5">
        <v>3938506261.25</v>
      </c>
      <c r="J3677" s="5">
        <v>1901142000</v>
      </c>
      <c r="K3677" s="5">
        <v>27328000</v>
      </c>
      <c r="L3677" s="5">
        <v>482526000</v>
      </c>
      <c r="M3677" s="5">
        <v>262042000</v>
      </c>
      <c r="N3677" s="5">
        <v>186566000</v>
      </c>
    </row>
    <row r="3678" spans="1:14" x14ac:dyDescent="0.25">
      <c r="A3678" s="3" t="s">
        <v>3689</v>
      </c>
      <c r="B3678" s="4">
        <v>17.75</v>
      </c>
      <c r="C3678" s="4">
        <v>0.71</v>
      </c>
      <c r="D3678" s="4">
        <v>-7.0000000000000007E-2</v>
      </c>
      <c r="E3678" s="4">
        <v>-1.9366819671495668E-2</v>
      </c>
      <c r="F3678" s="3">
        <v>3676</v>
      </c>
      <c r="G3678" s="3">
        <v>3</v>
      </c>
      <c r="H3678" s="5">
        <v>22141996.309999999</v>
      </c>
      <c r="I3678" s="5">
        <v>120496996.31</v>
      </c>
      <c r="J3678" s="5">
        <v>99864000</v>
      </c>
      <c r="K3678" s="5">
        <v>1509000</v>
      </c>
      <c r="L3678" s="5">
        <v>177807000</v>
      </c>
      <c r="M3678" s="5">
        <v>6790000</v>
      </c>
      <c r="N3678" s="5">
        <v>-12819000</v>
      </c>
    </row>
    <row r="3679" spans="1:14" x14ac:dyDescent="0.25">
      <c r="A3679" s="3" t="s">
        <v>3690</v>
      </c>
      <c r="B3679" s="4">
        <v>14.46</v>
      </c>
      <c r="C3679" s="4">
        <v>0</v>
      </c>
      <c r="D3679" s="4">
        <v>0</v>
      </c>
      <c r="E3679" s="4">
        <v>-1.9368513909141169E-2</v>
      </c>
      <c r="F3679" s="3">
        <v>3677</v>
      </c>
      <c r="G3679" s="3">
        <v>3</v>
      </c>
      <c r="H3679" s="5">
        <v>63897247.465325996</v>
      </c>
      <c r="I3679" s="5">
        <v>154746247.46532601</v>
      </c>
      <c r="J3679" s="5">
        <v>120713000</v>
      </c>
      <c r="K3679" s="5">
        <v>29864000</v>
      </c>
      <c r="L3679" s="5">
        <v>36080000</v>
      </c>
      <c r="M3679" s="5">
        <v>10699000</v>
      </c>
      <c r="N3679" s="5">
        <v>-1005000</v>
      </c>
    </row>
    <row r="3680" spans="1:14" x14ac:dyDescent="0.25">
      <c r="A3680" s="3" t="s">
        <v>3691</v>
      </c>
      <c r="B3680" s="4">
        <v>14.99</v>
      </c>
      <c r="C3680" s="4">
        <v>0.11</v>
      </c>
      <c r="D3680" s="4">
        <v>0.04</v>
      </c>
      <c r="E3680" s="4">
        <v>-1.9370996027617209E-2</v>
      </c>
      <c r="F3680" s="3">
        <v>3678</v>
      </c>
      <c r="G3680" s="3">
        <v>3</v>
      </c>
      <c r="H3680" s="5">
        <v>8022881262.1000004</v>
      </c>
      <c r="I3680" s="5">
        <v>12985016262.1</v>
      </c>
      <c r="J3680" s="5">
        <v>5339751000</v>
      </c>
      <c r="K3680" s="5">
        <v>377616000</v>
      </c>
      <c r="L3680" s="5">
        <v>1285054000</v>
      </c>
      <c r="M3680" s="5">
        <v>866275000</v>
      </c>
      <c r="N3680" s="5">
        <v>339274000</v>
      </c>
    </row>
    <row r="3681" spans="1:14" x14ac:dyDescent="0.25">
      <c r="A3681" s="3" t="s">
        <v>3692</v>
      </c>
      <c r="B3681" s="4">
        <v>14.95</v>
      </c>
      <c r="C3681" s="4">
        <v>0.1</v>
      </c>
      <c r="D3681" s="4">
        <v>0.05</v>
      </c>
      <c r="E3681" s="4">
        <v>-1.9373203785265851E-2</v>
      </c>
      <c r="F3681" s="3">
        <v>3679</v>
      </c>
      <c r="G3681" s="3">
        <v>3</v>
      </c>
      <c r="H3681" s="5">
        <v>6536417677.1400003</v>
      </c>
      <c r="I3681" s="5">
        <v>8001017677.1400003</v>
      </c>
      <c r="J3681" s="5">
        <v>1824000000</v>
      </c>
      <c r="K3681" s="5">
        <v>359400000</v>
      </c>
      <c r="L3681" s="5">
        <v>2456900000</v>
      </c>
      <c r="M3681" s="5">
        <v>535300000</v>
      </c>
      <c r="N3681" s="5">
        <v>244200000</v>
      </c>
    </row>
    <row r="3682" spans="1:14" x14ac:dyDescent="0.25">
      <c r="A3682" s="3" t="s">
        <v>3693</v>
      </c>
      <c r="B3682" s="4">
        <v>14.7</v>
      </c>
      <c r="C3682" s="4">
        <v>0.04</v>
      </c>
      <c r="D3682" s="4">
        <v>0.02</v>
      </c>
      <c r="E3682" s="4">
        <v>-1.9397622364658178E-2</v>
      </c>
      <c r="F3682" s="3">
        <v>3680</v>
      </c>
      <c r="G3682" s="3">
        <v>3</v>
      </c>
      <c r="H3682" s="5">
        <v>10495181235.969999</v>
      </c>
      <c r="I3682" s="5">
        <v>12482503235.969999</v>
      </c>
      <c r="J3682" s="5">
        <v>3150718000</v>
      </c>
      <c r="K3682" s="5">
        <v>1163396000</v>
      </c>
      <c r="L3682" s="5">
        <v>2755026000</v>
      </c>
      <c r="M3682" s="5">
        <v>848971000</v>
      </c>
      <c r="N3682" s="5">
        <v>270385000</v>
      </c>
    </row>
    <row r="3683" spans="1:14" x14ac:dyDescent="0.25">
      <c r="A3683" s="3" t="s">
        <v>3694</v>
      </c>
      <c r="B3683" s="4">
        <v>14.8</v>
      </c>
      <c r="C3683" s="4">
        <v>0.06</v>
      </c>
      <c r="D3683" s="4">
        <v>0.01</v>
      </c>
      <c r="E3683" s="4">
        <v>-1.940365623417754E-2</v>
      </c>
      <c r="F3683" s="3">
        <v>3681</v>
      </c>
      <c r="G3683" s="3">
        <v>3</v>
      </c>
      <c r="H3683" s="5">
        <v>48942637.700000003</v>
      </c>
      <c r="I3683" s="5">
        <v>75963637.700000003</v>
      </c>
      <c r="J3683" s="5">
        <v>30171000</v>
      </c>
      <c r="K3683" s="5">
        <v>3150000</v>
      </c>
      <c r="L3683" s="5">
        <v>27635000</v>
      </c>
      <c r="M3683" s="5">
        <v>5134000</v>
      </c>
      <c r="N3683" s="5">
        <v>661000</v>
      </c>
    </row>
    <row r="3684" spans="1:14" x14ac:dyDescent="0.25">
      <c r="A3684" s="3" t="s">
        <v>3695</v>
      </c>
      <c r="B3684" s="4">
        <v>15.16</v>
      </c>
      <c r="C3684" s="4">
        <v>0.13</v>
      </c>
      <c r="D3684" s="4">
        <v>0.08</v>
      </c>
      <c r="E3684" s="4">
        <v>-1.941070920412858E-2</v>
      </c>
      <c r="F3684" s="3">
        <v>3682</v>
      </c>
      <c r="G3684" s="3">
        <v>3</v>
      </c>
      <c r="H3684" s="5">
        <v>3211008602.8800001</v>
      </c>
      <c r="I3684" s="5">
        <v>3404875602.8800001</v>
      </c>
      <c r="J3684" s="5">
        <v>288527000</v>
      </c>
      <c r="K3684" s="5">
        <v>94660000</v>
      </c>
      <c r="L3684" s="5">
        <v>1053384000</v>
      </c>
      <c r="M3684" s="5">
        <v>224527000</v>
      </c>
      <c r="N3684" s="5">
        <v>111598000</v>
      </c>
    </row>
    <row r="3685" spans="1:14" x14ac:dyDescent="0.25">
      <c r="A3685" s="3" t="s">
        <v>3696</v>
      </c>
      <c r="B3685" s="4">
        <v>-1.3</v>
      </c>
      <c r="C3685" s="4">
        <v>-3.29</v>
      </c>
      <c r="D3685" s="4">
        <v>-1.6</v>
      </c>
      <c r="E3685" s="4">
        <v>-1.9428966690704721E-2</v>
      </c>
      <c r="F3685" s="3">
        <v>3683</v>
      </c>
      <c r="G3685" s="3">
        <v>3</v>
      </c>
      <c r="H3685" s="5">
        <v>46185.226199999997</v>
      </c>
      <c r="I3685" s="5">
        <v>1499095.2261999999</v>
      </c>
      <c r="J3685" s="5">
        <v>1475620</v>
      </c>
      <c r="K3685" s="5">
        <v>22710</v>
      </c>
      <c r="L3685" s="5">
        <v>401250</v>
      </c>
      <c r="M3685" s="5">
        <v>-1149090</v>
      </c>
      <c r="N3685" s="5">
        <v>-6450980</v>
      </c>
    </row>
    <row r="3686" spans="1:14" x14ac:dyDescent="0.25">
      <c r="A3686" s="3" t="s">
        <v>3697</v>
      </c>
      <c r="B3686" s="4">
        <v>4.25</v>
      </c>
      <c r="C3686" s="4">
        <v>-2.2200000000000002</v>
      </c>
      <c r="D3686" s="4">
        <v>0.16</v>
      </c>
      <c r="E3686" s="4">
        <v>-1.943285122439467E-2</v>
      </c>
      <c r="F3686" s="3">
        <v>3684</v>
      </c>
      <c r="G3686" s="3">
        <v>3</v>
      </c>
      <c r="H3686" s="5">
        <v>614.3297</v>
      </c>
      <c r="I3686" s="5">
        <v>111027614.32969999</v>
      </c>
      <c r="J3686" s="5">
        <v>311941000</v>
      </c>
      <c r="K3686" s="5">
        <v>200914000</v>
      </c>
      <c r="L3686" s="5">
        <v>284056000</v>
      </c>
      <c r="M3686" s="5">
        <v>26132000</v>
      </c>
      <c r="N3686" s="5">
        <v>162466000</v>
      </c>
    </row>
    <row r="3687" spans="1:14" x14ac:dyDescent="0.25">
      <c r="A3687" s="3" t="s">
        <v>3698</v>
      </c>
      <c r="B3687" s="4">
        <v>12.05</v>
      </c>
      <c r="C3687" s="4">
        <v>-0.53</v>
      </c>
      <c r="D3687" s="4">
        <v>-0.13</v>
      </c>
      <c r="E3687" s="4">
        <v>-1.943335385341935E-2</v>
      </c>
      <c r="F3687" s="3">
        <v>3685</v>
      </c>
      <c r="G3687" s="3">
        <v>3</v>
      </c>
      <c r="H3687" s="5">
        <v>353162875.80000001</v>
      </c>
      <c r="I3687" s="5">
        <v>501880875.80000001</v>
      </c>
      <c r="J3687" s="5">
        <v>225238000</v>
      </c>
      <c r="K3687" s="5">
        <v>76520000</v>
      </c>
      <c r="L3687" s="5">
        <v>659701000</v>
      </c>
      <c r="M3687" s="5">
        <v>41643000</v>
      </c>
      <c r="N3687" s="5">
        <v>-87764000</v>
      </c>
    </row>
    <row r="3688" spans="1:14" x14ac:dyDescent="0.25">
      <c r="A3688" s="3" t="s">
        <v>3699</v>
      </c>
      <c r="B3688" s="4">
        <v>14.52</v>
      </c>
      <c r="C3688" s="4">
        <v>-0.01</v>
      </c>
      <c r="D3688" s="4">
        <v>0</v>
      </c>
      <c r="E3688" s="4">
        <v>-1.9434542750338079E-2</v>
      </c>
      <c r="F3688" s="3">
        <v>3686</v>
      </c>
      <c r="G3688" s="3">
        <v>3</v>
      </c>
      <c r="H3688" s="5">
        <v>438910758</v>
      </c>
      <c r="I3688" s="5">
        <v>455697758</v>
      </c>
      <c r="J3688" s="5">
        <v>45103000</v>
      </c>
      <c r="K3688" s="5">
        <v>28316000</v>
      </c>
      <c r="L3688" s="5">
        <v>796394000</v>
      </c>
      <c r="M3688" s="5">
        <v>31388000</v>
      </c>
      <c r="N3688" s="5">
        <v>-1644000</v>
      </c>
    </row>
    <row r="3689" spans="1:14" x14ac:dyDescent="0.25">
      <c r="A3689" s="3" t="s">
        <v>3700</v>
      </c>
      <c r="B3689" s="4">
        <v>15.05</v>
      </c>
      <c r="C3689" s="4">
        <v>0.1</v>
      </c>
      <c r="D3689" s="4">
        <v>0.04</v>
      </c>
      <c r="E3689" s="4">
        <v>-1.9437024868814129E-2</v>
      </c>
      <c r="F3689" s="3">
        <v>3687</v>
      </c>
      <c r="G3689" s="3">
        <v>3</v>
      </c>
      <c r="H3689" s="5">
        <v>3086689985.0300002</v>
      </c>
      <c r="I3689" s="5">
        <v>3835666985.0300002</v>
      </c>
      <c r="J3689" s="5">
        <v>770279000</v>
      </c>
      <c r="K3689" s="5">
        <v>21302000</v>
      </c>
      <c r="L3689" s="5">
        <v>676944000</v>
      </c>
      <c r="M3689" s="5">
        <v>254843000</v>
      </c>
      <c r="N3689" s="5">
        <v>120569000</v>
      </c>
    </row>
    <row r="3690" spans="1:14" x14ac:dyDescent="0.25">
      <c r="A3690" s="3" t="s">
        <v>3701</v>
      </c>
      <c r="B3690" s="4">
        <v>18.47</v>
      </c>
      <c r="C3690" s="4">
        <v>0.85</v>
      </c>
      <c r="D3690" s="4">
        <v>-0.28000000000000003</v>
      </c>
      <c r="E3690" s="4">
        <v>-1.9448441541610451E-2</v>
      </c>
      <c r="F3690" s="3">
        <v>3688</v>
      </c>
      <c r="G3690" s="3">
        <v>3</v>
      </c>
      <c r="H3690" s="5">
        <v>371009049.35000002</v>
      </c>
      <c r="I3690" s="5">
        <v>3414409049.3499999</v>
      </c>
      <c r="J3690" s="5">
        <v>3187400000</v>
      </c>
      <c r="K3690" s="5">
        <v>144000000</v>
      </c>
      <c r="L3690" s="5">
        <v>2737100000</v>
      </c>
      <c r="M3690" s="5">
        <v>184900000</v>
      </c>
      <c r="N3690" s="5">
        <v>-858200000</v>
      </c>
    </row>
    <row r="3691" spans="1:14" x14ac:dyDescent="0.25">
      <c r="A3691" s="3" t="s">
        <v>3702</v>
      </c>
      <c r="B3691" s="4">
        <v>15.77</v>
      </c>
      <c r="C3691" s="4">
        <v>0.25</v>
      </c>
      <c r="D3691" s="4">
        <v>0.03</v>
      </c>
      <c r="E3691" s="4">
        <v>-1.9451172600364341E-2</v>
      </c>
      <c r="F3691" s="3">
        <v>3689</v>
      </c>
      <c r="G3691" s="3">
        <v>3</v>
      </c>
      <c r="H3691" s="5">
        <v>1189334622.3</v>
      </c>
      <c r="I3691" s="5">
        <v>1838821622.3</v>
      </c>
      <c r="J3691" s="5">
        <v>988019000</v>
      </c>
      <c r="K3691" s="5">
        <v>338532000</v>
      </c>
      <c r="L3691" s="5">
        <v>226374000</v>
      </c>
      <c r="M3691" s="5">
        <v>116615000</v>
      </c>
      <c r="N3691" s="5">
        <v>43444000</v>
      </c>
    </row>
    <row r="3692" spans="1:14" x14ac:dyDescent="0.25">
      <c r="A3692" s="3" t="s">
        <v>3703</v>
      </c>
      <c r="B3692" s="4">
        <v>15.49</v>
      </c>
      <c r="C3692" s="4">
        <v>0.18</v>
      </c>
      <c r="D3692" s="4">
        <v>0.11</v>
      </c>
      <c r="E3692" s="4">
        <v>-1.9464697877327339E-2</v>
      </c>
      <c r="F3692" s="3">
        <v>3690</v>
      </c>
      <c r="G3692" s="3">
        <v>3</v>
      </c>
      <c r="H3692" s="5">
        <v>488403431</v>
      </c>
      <c r="I3692" s="5">
        <v>609943431</v>
      </c>
      <c r="J3692" s="5">
        <v>148185000</v>
      </c>
      <c r="K3692" s="5">
        <v>26645000</v>
      </c>
      <c r="L3692" s="5">
        <v>58808000</v>
      </c>
      <c r="M3692" s="5">
        <v>39380000</v>
      </c>
      <c r="N3692" s="5">
        <v>65980000</v>
      </c>
    </row>
    <row r="3693" spans="1:14" x14ac:dyDescent="0.25">
      <c r="A3693" s="3" t="s">
        <v>3704</v>
      </c>
      <c r="B3693" s="4">
        <v>15.05</v>
      </c>
      <c r="C3693" s="4">
        <v>0.09</v>
      </c>
      <c r="D3693" s="4">
        <v>0.04</v>
      </c>
      <c r="E3693" s="4">
        <v>-1.9465918475828591E-2</v>
      </c>
      <c r="F3693" s="3">
        <v>3691</v>
      </c>
      <c r="G3693" s="3">
        <v>3</v>
      </c>
      <c r="H3693" s="5">
        <v>7564546061.4499998</v>
      </c>
      <c r="I3693" s="5">
        <v>11929618061.450001</v>
      </c>
      <c r="J3693" s="5">
        <v>4373803000</v>
      </c>
      <c r="K3693" s="5">
        <v>8731000</v>
      </c>
      <c r="L3693" s="5">
        <v>869266000</v>
      </c>
      <c r="M3693" s="5">
        <v>792662000</v>
      </c>
      <c r="N3693" s="5">
        <v>396835000</v>
      </c>
    </row>
    <row r="3694" spans="1:14" x14ac:dyDescent="0.25">
      <c r="A3694" s="3" t="s">
        <v>3705</v>
      </c>
      <c r="B3694" s="4">
        <v>14.67</v>
      </c>
      <c r="C3694" s="4">
        <v>0.01</v>
      </c>
      <c r="D3694" s="4">
        <v>0.01</v>
      </c>
      <c r="E3694" s="4">
        <v>-1.9467664595187829E-2</v>
      </c>
      <c r="F3694" s="3">
        <v>3692</v>
      </c>
      <c r="G3694" s="3">
        <v>3</v>
      </c>
      <c r="H3694" s="5">
        <v>342065998.25</v>
      </c>
      <c r="I3694" s="5">
        <v>378416998.25</v>
      </c>
      <c r="J3694" s="5">
        <v>41049000</v>
      </c>
      <c r="K3694" s="5">
        <v>4698000</v>
      </c>
      <c r="L3694" s="5">
        <v>345066000</v>
      </c>
      <c r="M3694" s="5">
        <v>25792000</v>
      </c>
      <c r="N3694" s="5">
        <v>5851000</v>
      </c>
    </row>
    <row r="3695" spans="1:14" x14ac:dyDescent="0.25">
      <c r="A3695" s="3" t="s">
        <v>3706</v>
      </c>
      <c r="B3695" s="4">
        <v>15.45</v>
      </c>
      <c r="C3695" s="4">
        <v>0.17</v>
      </c>
      <c r="D3695" s="4">
        <v>0.06</v>
      </c>
      <c r="E3695" s="4">
        <v>-1.9478479794441009E-2</v>
      </c>
      <c r="F3695" s="3">
        <v>3693</v>
      </c>
      <c r="G3695" s="3">
        <v>3</v>
      </c>
      <c r="H3695" s="5">
        <v>2379970976.0799999</v>
      </c>
      <c r="I3695" s="5">
        <v>2142746976.0799999</v>
      </c>
      <c r="J3695" s="5">
        <v>983477000</v>
      </c>
      <c r="K3695" s="5">
        <v>1220701000</v>
      </c>
      <c r="L3695" s="5">
        <v>939827000</v>
      </c>
      <c r="M3695" s="5">
        <v>138651000</v>
      </c>
      <c r="N3695" s="5">
        <v>124116000</v>
      </c>
    </row>
    <row r="3696" spans="1:14" x14ac:dyDescent="0.25">
      <c r="A3696" s="3" t="s">
        <v>3707</v>
      </c>
      <c r="B3696" s="4">
        <v>14.69</v>
      </c>
      <c r="C3696" s="4">
        <v>0.01</v>
      </c>
      <c r="D3696" s="4">
        <v>0.01</v>
      </c>
      <c r="E3696" s="4">
        <v>-1.948004300658198E-2</v>
      </c>
      <c r="F3696" s="3">
        <v>3694</v>
      </c>
      <c r="G3696" s="3">
        <v>3</v>
      </c>
      <c r="H3696" s="5">
        <v>991330148.5</v>
      </c>
      <c r="I3696" s="5">
        <v>2570798148.5</v>
      </c>
      <c r="J3696" s="5">
        <v>1598821000</v>
      </c>
      <c r="K3696" s="5">
        <v>19353000</v>
      </c>
      <c r="L3696" s="5">
        <v>302052000</v>
      </c>
      <c r="M3696" s="5">
        <v>175000000</v>
      </c>
      <c r="N3696" s="5">
        <v>19553000</v>
      </c>
    </row>
    <row r="3697" spans="1:14" x14ac:dyDescent="0.25">
      <c r="A3697" s="3" t="s">
        <v>3708</v>
      </c>
      <c r="B3697" s="4">
        <v>16.829999999999998</v>
      </c>
      <c r="C3697" s="4">
        <v>0.44</v>
      </c>
      <c r="D3697" s="4">
        <v>0.39</v>
      </c>
      <c r="E3697" s="4">
        <v>-1.9488804914189639E-2</v>
      </c>
      <c r="F3697" s="3">
        <v>3695</v>
      </c>
      <c r="G3697" s="3">
        <v>3</v>
      </c>
      <c r="H3697" s="5">
        <v>675576388.48000002</v>
      </c>
      <c r="I3697" s="5">
        <v>607203388.48000002</v>
      </c>
      <c r="J3697" s="5">
        <v>0</v>
      </c>
      <c r="K3697" s="5">
        <v>68373000</v>
      </c>
      <c r="L3697" s="5">
        <v>116272000</v>
      </c>
      <c r="M3697" s="5">
        <v>36068000</v>
      </c>
      <c r="N3697" s="5">
        <v>112958000</v>
      </c>
    </row>
    <row r="3698" spans="1:14" x14ac:dyDescent="0.25">
      <c r="A3698" s="3" t="s">
        <v>3709</v>
      </c>
      <c r="B3698" s="4">
        <v>0.1</v>
      </c>
      <c r="C3698" s="4">
        <v>-2.94</v>
      </c>
      <c r="D3698" s="4">
        <v>-2.68</v>
      </c>
      <c r="E3698" s="4">
        <v>-1.9492514113160171E-2</v>
      </c>
      <c r="F3698" s="3">
        <v>3696</v>
      </c>
      <c r="G3698" s="3">
        <v>3</v>
      </c>
      <c r="H3698" s="5">
        <v>10061.4442</v>
      </c>
      <c r="I3698" s="5">
        <v>-386818.55579999997</v>
      </c>
      <c r="J3698" s="5">
        <v>0</v>
      </c>
      <c r="K3698" s="5">
        <v>396880</v>
      </c>
      <c r="L3698" s="5">
        <v>0</v>
      </c>
      <c r="M3698" s="5">
        <v>-4011450</v>
      </c>
      <c r="N3698" s="5">
        <v>-4119780</v>
      </c>
    </row>
    <row r="3699" spans="1:14" x14ac:dyDescent="0.25">
      <c r="A3699" s="3" t="s">
        <v>3710</v>
      </c>
      <c r="B3699" s="4">
        <v>15.23</v>
      </c>
      <c r="C3699" s="4">
        <v>0.13</v>
      </c>
      <c r="D3699" s="4">
        <v>-0.15</v>
      </c>
      <c r="E3699" s="4">
        <v>-1.9498401255290759E-2</v>
      </c>
      <c r="F3699" s="3">
        <v>3697</v>
      </c>
      <c r="G3699" s="3">
        <v>3</v>
      </c>
      <c r="H3699" s="5">
        <v>682519424.15999997</v>
      </c>
      <c r="I3699" s="5">
        <v>830049424.15999997</v>
      </c>
      <c r="J3699" s="5">
        <v>292291000</v>
      </c>
      <c r="K3699" s="5">
        <v>144761000</v>
      </c>
      <c r="L3699" s="5">
        <v>332314000</v>
      </c>
      <c r="M3699" s="5">
        <v>54502000</v>
      </c>
      <c r="N3699" s="5">
        <v>-51745000</v>
      </c>
    </row>
    <row r="3700" spans="1:14" x14ac:dyDescent="0.25">
      <c r="A3700" s="3" t="s">
        <v>3711</v>
      </c>
      <c r="B3700" s="4">
        <v>15.35</v>
      </c>
      <c r="C3700" s="4">
        <v>0.14000000000000001</v>
      </c>
      <c r="D3700" s="4">
        <v>0.08</v>
      </c>
      <c r="E3700" s="4">
        <v>-1.94994105053586E-2</v>
      </c>
      <c r="F3700" s="3">
        <v>3698</v>
      </c>
      <c r="G3700" s="3">
        <v>3</v>
      </c>
      <c r="H3700" s="5">
        <v>1056007110839.03</v>
      </c>
      <c r="I3700" s="5">
        <v>1133040110839.03</v>
      </c>
      <c r="J3700" s="5">
        <v>124762000000</v>
      </c>
      <c r="K3700" s="5">
        <v>47729000000</v>
      </c>
      <c r="L3700" s="5">
        <v>371433000000</v>
      </c>
      <c r="M3700" s="5">
        <v>73796000000</v>
      </c>
      <c r="N3700" s="5">
        <v>88995000000</v>
      </c>
    </row>
    <row r="3701" spans="1:14" x14ac:dyDescent="0.25">
      <c r="A3701" s="3" t="s">
        <v>3712</v>
      </c>
      <c r="B3701" s="4">
        <v>16.25</v>
      </c>
      <c r="C3701" s="4">
        <v>0.33</v>
      </c>
      <c r="D3701" s="4">
        <v>0.06</v>
      </c>
      <c r="E3701" s="4">
        <v>-1.9511318537975879E-2</v>
      </c>
      <c r="F3701" s="3">
        <v>3699</v>
      </c>
      <c r="G3701" s="3">
        <v>3</v>
      </c>
      <c r="H3701" s="5">
        <v>80790958407.539993</v>
      </c>
      <c r="I3701" s="5">
        <v>104276958407.53999</v>
      </c>
      <c r="J3701" s="5">
        <v>23900000000</v>
      </c>
      <c r="K3701" s="5">
        <v>414000000</v>
      </c>
      <c r="L3701" s="5">
        <v>22063000000</v>
      </c>
      <c r="M3701" s="5">
        <v>6416000000</v>
      </c>
      <c r="N3701" s="5">
        <v>2746000000</v>
      </c>
    </row>
    <row r="3702" spans="1:14" x14ac:dyDescent="0.25">
      <c r="A3702" s="3" t="s">
        <v>3713</v>
      </c>
      <c r="B3702" s="4">
        <v>-5.97</v>
      </c>
      <c r="C3702" s="4">
        <v>0.96</v>
      </c>
      <c r="D3702" s="4">
        <v>-80.72</v>
      </c>
      <c r="E3702" s="4">
        <v>-1.9521282930251339E-2</v>
      </c>
      <c r="F3702" s="3">
        <v>3700</v>
      </c>
      <c r="G3702" s="3">
        <v>3</v>
      </c>
      <c r="H3702" s="5">
        <v>5659509.8660000004</v>
      </c>
      <c r="I3702" s="5">
        <v>7135299.8660000004</v>
      </c>
      <c r="J3702" s="5">
        <v>1476470</v>
      </c>
      <c r="K3702" s="5">
        <v>680</v>
      </c>
      <c r="L3702" s="5">
        <v>0</v>
      </c>
      <c r="M3702" s="5">
        <v>-1194310</v>
      </c>
      <c r="N3702" s="5">
        <v>-2880150</v>
      </c>
    </row>
    <row r="3703" spans="1:14" x14ac:dyDescent="0.25">
      <c r="A3703" s="3" t="s">
        <v>3714</v>
      </c>
      <c r="B3703" s="4">
        <v>14.92</v>
      </c>
      <c r="C3703" s="4">
        <v>0.04</v>
      </c>
      <c r="D3703" s="4">
        <v>0.03</v>
      </c>
      <c r="E3703" s="4">
        <v>-1.9531855863416381E-2</v>
      </c>
      <c r="F3703" s="3">
        <v>3701</v>
      </c>
      <c r="G3703" s="3">
        <v>3</v>
      </c>
      <c r="H3703" s="5">
        <v>349664046.68000001</v>
      </c>
      <c r="I3703" s="5">
        <v>320738046.68000001</v>
      </c>
      <c r="J3703" s="5">
        <v>0</v>
      </c>
      <c r="K3703" s="5">
        <v>28926000</v>
      </c>
      <c r="L3703" s="5">
        <v>284203000</v>
      </c>
      <c r="M3703" s="5">
        <v>21491000</v>
      </c>
      <c r="N3703" s="5">
        <v>7043000</v>
      </c>
    </row>
    <row r="3704" spans="1:14" x14ac:dyDescent="0.25">
      <c r="A3704" s="3" t="s">
        <v>3715</v>
      </c>
      <c r="B3704" s="4">
        <v>11.13</v>
      </c>
      <c r="C3704" s="4">
        <v>-0.76</v>
      </c>
      <c r="D3704" s="4">
        <v>-0.16</v>
      </c>
      <c r="E3704" s="4">
        <v>-1.9534286970353278E-2</v>
      </c>
      <c r="F3704" s="3">
        <v>3702</v>
      </c>
      <c r="G3704" s="3">
        <v>3</v>
      </c>
      <c r="H3704" s="5">
        <v>21400305982.639999</v>
      </c>
      <c r="I3704" s="5">
        <v>23575005982.639999</v>
      </c>
      <c r="J3704" s="5">
        <v>3431200000</v>
      </c>
      <c r="K3704" s="5">
        <v>1256500000</v>
      </c>
      <c r="L3704" s="5">
        <v>17578500000</v>
      </c>
      <c r="M3704" s="5">
        <v>2118400000</v>
      </c>
      <c r="N3704" s="5">
        <v>-3030100000</v>
      </c>
    </row>
    <row r="3705" spans="1:14" x14ac:dyDescent="0.25">
      <c r="A3705" s="3" t="s">
        <v>3716</v>
      </c>
      <c r="B3705" s="4">
        <v>15.36</v>
      </c>
      <c r="C3705" s="4">
        <v>0.13</v>
      </c>
      <c r="D3705" s="4">
        <v>7.0000000000000007E-2</v>
      </c>
      <c r="E3705" s="4">
        <v>-1.9536422344647641E-2</v>
      </c>
      <c r="F3705" s="3">
        <v>3703</v>
      </c>
      <c r="G3705" s="3">
        <v>3</v>
      </c>
      <c r="H3705" s="5">
        <v>3285462796</v>
      </c>
      <c r="I3705" s="5">
        <v>5011738796</v>
      </c>
      <c r="J3705" s="5">
        <v>1768955000</v>
      </c>
      <c r="K3705" s="5">
        <v>42679000</v>
      </c>
      <c r="L3705" s="5">
        <v>493591000</v>
      </c>
      <c r="M3705" s="5">
        <v>326298000</v>
      </c>
      <c r="N3705" s="5">
        <v>262966000</v>
      </c>
    </row>
    <row r="3706" spans="1:14" x14ac:dyDescent="0.25">
      <c r="A3706" s="3" t="s">
        <v>3717</v>
      </c>
      <c r="B3706" s="4">
        <v>15.46</v>
      </c>
      <c r="C3706" s="4">
        <v>0.15</v>
      </c>
      <c r="D3706" s="4">
        <v>0.08</v>
      </c>
      <c r="E3706" s="4">
        <v>-1.9538598161012E-2</v>
      </c>
      <c r="F3706" s="3">
        <v>3704</v>
      </c>
      <c r="G3706" s="3">
        <v>3</v>
      </c>
      <c r="H3706" s="5">
        <v>11129651373.200001</v>
      </c>
      <c r="I3706" s="5">
        <v>11603951373.200001</v>
      </c>
      <c r="J3706" s="5">
        <v>896800000</v>
      </c>
      <c r="K3706" s="5">
        <v>422500000</v>
      </c>
      <c r="L3706" s="5">
        <v>4345600000</v>
      </c>
      <c r="M3706" s="5">
        <v>750500000</v>
      </c>
      <c r="N3706" s="5">
        <v>396600000</v>
      </c>
    </row>
    <row r="3707" spans="1:14" x14ac:dyDescent="0.25">
      <c r="A3707" s="3" t="s">
        <v>3718</v>
      </c>
      <c r="B3707" s="4">
        <v>16.57</v>
      </c>
      <c r="C3707" s="4">
        <v>0.38</v>
      </c>
      <c r="D3707" s="4">
        <v>0.14000000000000001</v>
      </c>
      <c r="E3707" s="4">
        <v>-1.9549472872590019E-2</v>
      </c>
      <c r="F3707" s="3">
        <v>3705</v>
      </c>
      <c r="G3707" s="3">
        <v>3</v>
      </c>
      <c r="H3707" s="5">
        <v>52761457133.18</v>
      </c>
      <c r="I3707" s="5">
        <v>50245524133.18</v>
      </c>
      <c r="J3707" s="5">
        <v>2214811000</v>
      </c>
      <c r="K3707" s="5">
        <v>4730744000</v>
      </c>
      <c r="L3707" s="5">
        <v>21129219000</v>
      </c>
      <c r="M3707" s="5">
        <v>3032386000</v>
      </c>
      <c r="N3707" s="5">
        <v>2090730000</v>
      </c>
    </row>
    <row r="3708" spans="1:14" x14ac:dyDescent="0.25">
      <c r="A3708" s="3" t="s">
        <v>3719</v>
      </c>
      <c r="B3708" s="4">
        <v>14.57</v>
      </c>
      <c r="C3708" s="4">
        <v>-0.04</v>
      </c>
      <c r="D3708" s="4">
        <v>-0.01</v>
      </c>
      <c r="E3708" s="4">
        <v>-1.955409862644435E-2</v>
      </c>
      <c r="F3708" s="3">
        <v>3706</v>
      </c>
      <c r="G3708" s="3">
        <v>3</v>
      </c>
      <c r="H3708" s="5">
        <v>435213248.10000002</v>
      </c>
      <c r="I3708" s="5">
        <v>1264543248.0999999</v>
      </c>
      <c r="J3708" s="5">
        <v>835746000</v>
      </c>
      <c r="K3708" s="5">
        <v>6416000</v>
      </c>
      <c r="L3708" s="5">
        <v>150205000</v>
      </c>
      <c r="M3708" s="5">
        <v>86781000</v>
      </c>
      <c r="N3708" s="5">
        <v>-14978000</v>
      </c>
    </row>
    <row r="3709" spans="1:14" x14ac:dyDescent="0.25">
      <c r="A3709" s="3" t="s">
        <v>3720</v>
      </c>
      <c r="B3709" s="4">
        <v>0.82</v>
      </c>
      <c r="C3709" s="4">
        <v>-3.02</v>
      </c>
      <c r="D3709" s="4">
        <v>0.45</v>
      </c>
      <c r="E3709" s="4">
        <v>-1.956550046070607E-2</v>
      </c>
      <c r="F3709" s="3">
        <v>3707</v>
      </c>
      <c r="G3709" s="3">
        <v>3</v>
      </c>
      <c r="H3709" s="5">
        <v>4423093</v>
      </c>
      <c r="I3709" s="5">
        <v>7252093</v>
      </c>
      <c r="J3709" s="5">
        <v>4290000</v>
      </c>
      <c r="K3709" s="5">
        <v>1461000</v>
      </c>
      <c r="L3709" s="5">
        <v>46926000</v>
      </c>
      <c r="M3709" s="5">
        <v>8856000</v>
      </c>
      <c r="N3709" s="5">
        <v>6702000</v>
      </c>
    </row>
    <row r="3710" spans="1:14" x14ac:dyDescent="0.25">
      <c r="A3710" s="3" t="s">
        <v>3721</v>
      </c>
      <c r="B3710" s="4">
        <v>14.64</v>
      </c>
      <c r="C3710" s="4">
        <v>-0.03</v>
      </c>
      <c r="D3710" s="4">
        <v>-0.01</v>
      </c>
      <c r="E3710" s="4">
        <v>-1.9568529459309439E-2</v>
      </c>
      <c r="F3710" s="3">
        <v>3708</v>
      </c>
      <c r="G3710" s="3">
        <v>3</v>
      </c>
      <c r="H3710" s="5">
        <v>1912156671.8099999</v>
      </c>
      <c r="I3710" s="5">
        <v>2847144671.8099999</v>
      </c>
      <c r="J3710" s="5">
        <v>1126909000</v>
      </c>
      <c r="K3710" s="5">
        <v>191921000</v>
      </c>
      <c r="L3710" s="5">
        <v>7974457000</v>
      </c>
      <c r="M3710" s="5">
        <v>194495000</v>
      </c>
      <c r="N3710" s="5">
        <v>-33322000</v>
      </c>
    </row>
    <row r="3711" spans="1:14" x14ac:dyDescent="0.25">
      <c r="A3711" s="3" t="s">
        <v>3722</v>
      </c>
      <c r="B3711" s="4">
        <v>14.88</v>
      </c>
      <c r="C3711" s="4">
        <v>0.02</v>
      </c>
      <c r="D3711" s="4">
        <v>0</v>
      </c>
      <c r="E3711" s="4">
        <v>-1.9570673334389509E-2</v>
      </c>
      <c r="F3711" s="3">
        <v>3709</v>
      </c>
      <c r="G3711" s="3">
        <v>3</v>
      </c>
      <c r="H3711" s="5">
        <v>3496068231.48</v>
      </c>
      <c r="I3711" s="5">
        <v>4709368231.4799995</v>
      </c>
      <c r="J3711" s="5">
        <v>1227700000</v>
      </c>
      <c r="K3711" s="5">
        <v>14400000</v>
      </c>
      <c r="L3711" s="5">
        <v>1214300000</v>
      </c>
      <c r="M3711" s="5">
        <v>316400000</v>
      </c>
      <c r="N3711" s="5">
        <v>29100000</v>
      </c>
    </row>
    <row r="3712" spans="1:14" x14ac:dyDescent="0.25">
      <c r="A3712" s="3" t="s">
        <v>3723</v>
      </c>
      <c r="B3712" s="4">
        <v>15.19</v>
      </c>
      <c r="C3712" s="4">
        <v>0.08</v>
      </c>
      <c r="D3712" s="4">
        <v>0.06</v>
      </c>
      <c r="E3712" s="4">
        <v>-1.9577602909447111E-2</v>
      </c>
      <c r="F3712" s="3">
        <v>3710</v>
      </c>
      <c r="G3712" s="3">
        <v>3</v>
      </c>
      <c r="H3712" s="5">
        <v>10143637363.200001</v>
      </c>
      <c r="I3712" s="5">
        <v>10126649363.200001</v>
      </c>
      <c r="J3712" s="5">
        <v>596235000</v>
      </c>
      <c r="K3712" s="5">
        <v>613223000</v>
      </c>
      <c r="L3712" s="5">
        <v>2853915000</v>
      </c>
      <c r="M3712" s="5">
        <v>666468000</v>
      </c>
      <c r="N3712" s="5">
        <v>426859000</v>
      </c>
    </row>
    <row r="3713" spans="1:14" x14ac:dyDescent="0.25">
      <c r="A3713" s="3" t="s">
        <v>3724</v>
      </c>
      <c r="B3713" s="4">
        <v>13.95</v>
      </c>
      <c r="C3713" s="4">
        <v>-0.18</v>
      </c>
      <c r="D3713" s="4">
        <v>-0.03</v>
      </c>
      <c r="E3713" s="4">
        <v>-1.9578736424582979E-2</v>
      </c>
      <c r="F3713" s="3">
        <v>3711</v>
      </c>
      <c r="G3713" s="3">
        <v>3</v>
      </c>
      <c r="H3713" s="5">
        <v>983753295.75</v>
      </c>
      <c r="I3713" s="5">
        <v>4456650295.75</v>
      </c>
      <c r="J3713" s="5">
        <v>3672762000</v>
      </c>
      <c r="K3713" s="5">
        <v>199865000</v>
      </c>
      <c r="L3713" s="5">
        <v>1316361000</v>
      </c>
      <c r="M3713" s="5">
        <v>319359000</v>
      </c>
      <c r="N3713" s="5">
        <v>-139244000</v>
      </c>
    </row>
    <row r="3714" spans="1:14" x14ac:dyDescent="0.25">
      <c r="A3714" s="3" t="s">
        <v>3725</v>
      </c>
      <c r="B3714" s="4">
        <v>14.71</v>
      </c>
      <c r="C3714" s="4">
        <v>-0.02</v>
      </c>
      <c r="D3714" s="4">
        <v>-0.01</v>
      </c>
      <c r="E3714" s="4">
        <v>-1.9582960292174521E-2</v>
      </c>
      <c r="F3714" s="3">
        <v>3712</v>
      </c>
      <c r="G3714" s="3">
        <v>3</v>
      </c>
      <c r="H3714" s="5">
        <v>999535525.12</v>
      </c>
      <c r="I3714" s="5">
        <v>1942890525.1199999</v>
      </c>
      <c r="J3714" s="5">
        <v>955385000</v>
      </c>
      <c r="K3714" s="5">
        <v>12030000</v>
      </c>
      <c r="L3714" s="5">
        <v>260983000</v>
      </c>
      <c r="M3714" s="5">
        <v>132044000</v>
      </c>
      <c r="N3714" s="5">
        <v>-10688000</v>
      </c>
    </row>
    <row r="3715" spans="1:14" x14ac:dyDescent="0.25">
      <c r="A3715" s="3" t="s">
        <v>3726</v>
      </c>
      <c r="B3715" s="4">
        <v>14.43</v>
      </c>
      <c r="C3715" s="4">
        <v>-0.08</v>
      </c>
      <c r="D3715" s="4">
        <v>-0.05</v>
      </c>
      <c r="E3715" s="4">
        <v>-1.9590740281053121E-2</v>
      </c>
      <c r="F3715" s="3">
        <v>3713</v>
      </c>
      <c r="G3715" s="3">
        <v>3</v>
      </c>
      <c r="H3715" s="5">
        <v>2080769866.45</v>
      </c>
      <c r="I3715" s="5">
        <v>1081055866.45</v>
      </c>
      <c r="J3715" s="5">
        <v>6822000</v>
      </c>
      <c r="K3715" s="5">
        <v>1006536000</v>
      </c>
      <c r="L3715" s="5">
        <v>1029080000</v>
      </c>
      <c r="M3715" s="5">
        <v>74935000</v>
      </c>
      <c r="N3715" s="5">
        <v>-345215000</v>
      </c>
    </row>
    <row r="3716" spans="1:14" x14ac:dyDescent="0.25">
      <c r="A3716" s="3" t="s">
        <v>3727</v>
      </c>
      <c r="B3716" s="4">
        <v>15.25</v>
      </c>
      <c r="C3716" s="4">
        <v>0.09</v>
      </c>
      <c r="D3716" s="4">
        <v>0.03</v>
      </c>
      <c r="E3716" s="4">
        <v>-1.9591631616347641E-2</v>
      </c>
      <c r="F3716" s="3">
        <v>3714</v>
      </c>
      <c r="G3716" s="3">
        <v>3</v>
      </c>
      <c r="H3716" s="5">
        <v>3068551948.0700002</v>
      </c>
      <c r="I3716" s="5">
        <v>4544351948.0699997</v>
      </c>
      <c r="J3716" s="5">
        <v>1483700000</v>
      </c>
      <c r="K3716" s="5">
        <v>7900000</v>
      </c>
      <c r="L3716" s="5">
        <v>787200000</v>
      </c>
      <c r="M3716" s="5">
        <v>297900000</v>
      </c>
      <c r="N3716" s="5">
        <v>118600000</v>
      </c>
    </row>
    <row r="3717" spans="1:14" x14ac:dyDescent="0.25">
      <c r="A3717" s="3" t="s">
        <v>3728</v>
      </c>
      <c r="B3717" s="4">
        <v>15.25</v>
      </c>
      <c r="C3717" s="4">
        <v>0.09</v>
      </c>
      <c r="D3717" s="4">
        <v>0.03</v>
      </c>
      <c r="E3717" s="4">
        <v>-1.9591631616347641E-2</v>
      </c>
      <c r="F3717" s="3">
        <v>3714</v>
      </c>
      <c r="G3717" s="3">
        <v>3</v>
      </c>
      <c r="H3717" s="5">
        <v>6942649475.04</v>
      </c>
      <c r="I3717" s="5">
        <v>9647446475.0400009</v>
      </c>
      <c r="J3717" s="5">
        <v>3073662000</v>
      </c>
      <c r="K3717" s="5">
        <v>368865000</v>
      </c>
      <c r="L3717" s="5">
        <v>1826633000</v>
      </c>
      <c r="M3717" s="5">
        <v>632663000</v>
      </c>
      <c r="N3717" s="5">
        <v>289174000</v>
      </c>
    </row>
    <row r="3718" spans="1:14" x14ac:dyDescent="0.25">
      <c r="A3718" s="3" t="s">
        <v>3729</v>
      </c>
      <c r="B3718" s="4">
        <v>15.21</v>
      </c>
      <c r="C3718" s="4">
        <v>0.08</v>
      </c>
      <c r="D3718" s="4">
        <v>0.03</v>
      </c>
      <c r="E3718" s="4">
        <v>-1.9595768400573789E-2</v>
      </c>
      <c r="F3718" s="3">
        <v>3716</v>
      </c>
      <c r="G3718" s="3">
        <v>3</v>
      </c>
      <c r="H3718" s="5">
        <v>668873825.63999999</v>
      </c>
      <c r="I3718" s="5">
        <v>1295948825.6400001</v>
      </c>
      <c r="J3718" s="5">
        <v>632299000</v>
      </c>
      <c r="K3718" s="5">
        <v>5224000</v>
      </c>
      <c r="L3718" s="5">
        <v>154282000</v>
      </c>
      <c r="M3718" s="5">
        <v>85202000</v>
      </c>
      <c r="N3718" s="5">
        <v>36893000</v>
      </c>
    </row>
    <row r="3719" spans="1:14" x14ac:dyDescent="0.25">
      <c r="A3719" s="3" t="s">
        <v>3730</v>
      </c>
      <c r="B3719" s="4">
        <v>17.96</v>
      </c>
      <c r="C3719" s="4">
        <v>0.63</v>
      </c>
      <c r="D3719" s="4">
        <v>0.59</v>
      </c>
      <c r="E3719" s="4">
        <v>-1.9600626093134569E-2</v>
      </c>
      <c r="F3719" s="3">
        <v>3717</v>
      </c>
      <c r="G3719" s="3">
        <v>3</v>
      </c>
      <c r="H3719" s="5">
        <v>192744840.59999999</v>
      </c>
      <c r="I3719" s="5">
        <v>175794840.59999999</v>
      </c>
      <c r="J3719" s="5">
        <v>0</v>
      </c>
      <c r="K3719" s="5">
        <v>16950000</v>
      </c>
      <c r="L3719" s="5">
        <v>0</v>
      </c>
      <c r="M3719" s="5">
        <v>9788000</v>
      </c>
      <c r="N3719" s="5">
        <v>11249000</v>
      </c>
    </row>
    <row r="3720" spans="1:14" x14ac:dyDescent="0.25">
      <c r="A3720" s="3" t="s">
        <v>3731</v>
      </c>
      <c r="B3720" s="4">
        <v>15.28</v>
      </c>
      <c r="C3720" s="4">
        <v>0.09</v>
      </c>
      <c r="D3720" s="4">
        <v>0.03</v>
      </c>
      <c r="E3720" s="4">
        <v>-1.9610199233438871E-2</v>
      </c>
      <c r="F3720" s="3">
        <v>3718</v>
      </c>
      <c r="G3720" s="3">
        <v>3</v>
      </c>
      <c r="H3720" s="5">
        <v>3259333001.2600002</v>
      </c>
      <c r="I3720" s="5">
        <v>5613195001.2600002</v>
      </c>
      <c r="J3720" s="5">
        <v>2392146000</v>
      </c>
      <c r="K3720" s="5">
        <v>38284000</v>
      </c>
      <c r="L3720" s="5">
        <v>753267000</v>
      </c>
      <c r="M3720" s="5">
        <v>367322000</v>
      </c>
      <c r="N3720" s="5">
        <v>138929000</v>
      </c>
    </row>
    <row r="3721" spans="1:14" x14ac:dyDescent="0.25">
      <c r="A3721" s="3" t="s">
        <v>3732</v>
      </c>
      <c r="B3721" s="4">
        <v>15.72</v>
      </c>
      <c r="C3721" s="4">
        <v>0.18</v>
      </c>
      <c r="D3721" s="4">
        <v>0.08</v>
      </c>
      <c r="E3721" s="4">
        <v>-1.961283668809263E-2</v>
      </c>
      <c r="F3721" s="3">
        <v>3719</v>
      </c>
      <c r="G3721" s="3">
        <v>3</v>
      </c>
      <c r="H3721" s="5">
        <v>8561157762.96</v>
      </c>
      <c r="I3721" s="5">
        <v>9141102762.9599991</v>
      </c>
      <c r="J3721" s="5">
        <v>812634000</v>
      </c>
      <c r="K3721" s="5">
        <v>232689000</v>
      </c>
      <c r="L3721" s="5">
        <v>4321862000</v>
      </c>
      <c r="M3721" s="5">
        <v>581575000</v>
      </c>
      <c r="N3721" s="5">
        <v>333382000</v>
      </c>
    </row>
    <row r="3722" spans="1:14" x14ac:dyDescent="0.25">
      <c r="A3722" s="3" t="s">
        <v>3733</v>
      </c>
      <c r="B3722" s="4">
        <v>15.4</v>
      </c>
      <c r="C3722" s="4">
        <v>0.11</v>
      </c>
      <c r="D3722" s="4">
        <v>0.06</v>
      </c>
      <c r="E3722" s="4">
        <v>-1.962089540804237E-2</v>
      </c>
      <c r="F3722" s="3">
        <v>3720</v>
      </c>
      <c r="G3722" s="3">
        <v>3</v>
      </c>
      <c r="H3722" s="5">
        <v>733130958.33000004</v>
      </c>
      <c r="I3722" s="5">
        <v>579904958.33000004</v>
      </c>
      <c r="J3722" s="5">
        <v>0</v>
      </c>
      <c r="K3722" s="5">
        <v>153226000</v>
      </c>
      <c r="L3722" s="5">
        <v>363318000</v>
      </c>
      <c r="M3722" s="5">
        <v>37655000</v>
      </c>
      <c r="N3722" s="5">
        <v>19991000</v>
      </c>
    </row>
    <row r="3723" spans="1:14" x14ac:dyDescent="0.25">
      <c r="A3723" s="3" t="s">
        <v>3734</v>
      </c>
      <c r="B3723" s="4">
        <v>13.03</v>
      </c>
      <c r="C3723" s="4">
        <v>-0.38</v>
      </c>
      <c r="D3723" s="4">
        <v>-0.21</v>
      </c>
      <c r="E3723" s="4">
        <v>-1.962192411913612E-2</v>
      </c>
      <c r="F3723" s="3">
        <v>3721</v>
      </c>
      <c r="G3723" s="3">
        <v>3</v>
      </c>
      <c r="H3723" s="5">
        <v>3313188594.9499998</v>
      </c>
      <c r="I3723" s="5">
        <v>3638388594.9499998</v>
      </c>
      <c r="J3723" s="5">
        <v>1394300000</v>
      </c>
      <c r="K3723" s="5">
        <v>1069100000</v>
      </c>
      <c r="L3723" s="5">
        <v>2510600000</v>
      </c>
      <c r="M3723" s="5">
        <v>279200000</v>
      </c>
      <c r="N3723" s="5">
        <v>-1118600000</v>
      </c>
    </row>
    <row r="3724" spans="1:14" x14ac:dyDescent="0.25">
      <c r="A3724" s="3" t="s">
        <v>3735</v>
      </c>
      <c r="B3724" s="4">
        <v>15.35</v>
      </c>
      <c r="C3724" s="4">
        <v>0.1</v>
      </c>
      <c r="D3724" s="4">
        <v>0.04</v>
      </c>
      <c r="E3724" s="4">
        <v>-1.9622701039726451E-2</v>
      </c>
      <c r="F3724" s="3">
        <v>3722</v>
      </c>
      <c r="G3724" s="3">
        <v>3</v>
      </c>
      <c r="H3724" s="5">
        <v>524420890.05000001</v>
      </c>
      <c r="I3724" s="5">
        <v>1390127890.05</v>
      </c>
      <c r="J3724" s="5">
        <v>875837000</v>
      </c>
      <c r="K3724" s="5">
        <v>10130000</v>
      </c>
      <c r="L3724" s="5">
        <v>197363000</v>
      </c>
      <c r="M3724" s="5">
        <v>90588000</v>
      </c>
      <c r="N3724" s="5">
        <v>73649000</v>
      </c>
    </row>
    <row r="3725" spans="1:14" x14ac:dyDescent="0.25">
      <c r="A3725" s="3" t="s">
        <v>3736</v>
      </c>
      <c r="B3725" s="4">
        <v>15.21</v>
      </c>
      <c r="C3725" s="4">
        <v>7.0000000000000007E-2</v>
      </c>
      <c r="D3725" s="4">
        <v>0.04</v>
      </c>
      <c r="E3725" s="4">
        <v>-1.9622732981010749E-2</v>
      </c>
      <c r="F3725" s="3">
        <v>3723</v>
      </c>
      <c r="G3725" s="3">
        <v>3</v>
      </c>
      <c r="H3725" s="5">
        <v>1578125400.21</v>
      </c>
      <c r="I3725" s="5">
        <v>2473933400.21</v>
      </c>
      <c r="J3725" s="5">
        <v>905292000</v>
      </c>
      <c r="K3725" s="5">
        <v>9484000</v>
      </c>
      <c r="L3725" s="5">
        <v>203391000</v>
      </c>
      <c r="M3725" s="5">
        <v>162682000</v>
      </c>
      <c r="N3725" s="5">
        <v>71064000</v>
      </c>
    </row>
    <row r="3726" spans="1:14" x14ac:dyDescent="0.25">
      <c r="A3726" s="3" t="s">
        <v>3737</v>
      </c>
      <c r="B3726" s="4">
        <v>15.74</v>
      </c>
      <c r="C3726" s="4">
        <v>0.18</v>
      </c>
      <c r="D3726" s="4">
        <v>0.06</v>
      </c>
      <c r="E3726" s="4">
        <v>-1.9629073152641799E-2</v>
      </c>
      <c r="F3726" s="3">
        <v>3724</v>
      </c>
      <c r="G3726" s="3">
        <v>3</v>
      </c>
      <c r="H3726" s="5">
        <v>63903213741.57</v>
      </c>
      <c r="I3726" s="5">
        <v>76542213741.570007</v>
      </c>
      <c r="J3726" s="5">
        <v>12713000000</v>
      </c>
      <c r="K3726" s="5">
        <v>74000000</v>
      </c>
      <c r="L3726" s="5">
        <v>16032000000</v>
      </c>
      <c r="M3726" s="5">
        <v>4864000000</v>
      </c>
      <c r="N3726" s="5">
        <v>2045000000</v>
      </c>
    </row>
    <row r="3727" spans="1:14" x14ac:dyDescent="0.25">
      <c r="A3727" s="3" t="s">
        <v>3738</v>
      </c>
      <c r="B3727" s="4">
        <v>11</v>
      </c>
      <c r="C3727" s="4">
        <v>-0.83</v>
      </c>
      <c r="D3727" s="4">
        <v>-0.05</v>
      </c>
      <c r="E3727" s="4">
        <v>-1.9634863253039911E-2</v>
      </c>
      <c r="F3727" s="3">
        <v>3725</v>
      </c>
      <c r="G3727" s="3">
        <v>3</v>
      </c>
      <c r="H3727" s="5">
        <v>757202127.63999999</v>
      </c>
      <c r="I3727" s="5">
        <v>1808635127.6400001</v>
      </c>
      <c r="J3727" s="5">
        <v>1192505000</v>
      </c>
      <c r="K3727" s="5">
        <v>141072000</v>
      </c>
      <c r="L3727" s="5">
        <v>208679000</v>
      </c>
      <c r="M3727" s="5">
        <v>164467000</v>
      </c>
      <c r="N3727" s="5">
        <v>-102468000</v>
      </c>
    </row>
    <row r="3728" spans="1:14" x14ac:dyDescent="0.25">
      <c r="A3728" s="3" t="s">
        <v>3739</v>
      </c>
      <c r="B3728" s="4">
        <v>15.38</v>
      </c>
      <c r="C3728" s="4">
        <v>0.1</v>
      </c>
      <c r="D3728" s="4">
        <v>0.04</v>
      </c>
      <c r="E3728" s="4">
        <v>-1.964126865681769E-2</v>
      </c>
      <c r="F3728" s="3">
        <v>3726</v>
      </c>
      <c r="G3728" s="3">
        <v>3</v>
      </c>
      <c r="H3728" s="5">
        <v>846687919.67999995</v>
      </c>
      <c r="I3728" s="5">
        <v>1480871919.6800001</v>
      </c>
      <c r="J3728" s="5">
        <v>1031694000</v>
      </c>
      <c r="K3728" s="5">
        <v>397510000</v>
      </c>
      <c r="L3728" s="5">
        <v>232431000</v>
      </c>
      <c r="M3728" s="5">
        <v>96310000</v>
      </c>
      <c r="N3728" s="5">
        <v>95757000</v>
      </c>
    </row>
    <row r="3729" spans="1:14" x14ac:dyDescent="0.25">
      <c r="A3729" s="3" t="s">
        <v>3740</v>
      </c>
      <c r="B3729" s="4">
        <v>15.72</v>
      </c>
      <c r="C3729" s="4">
        <v>0.17</v>
      </c>
      <c r="D3729" s="4">
        <v>7.0000000000000007E-2</v>
      </c>
      <c r="E3729" s="4">
        <v>-1.96436593216846E-2</v>
      </c>
      <c r="F3729" s="3">
        <v>3727</v>
      </c>
      <c r="G3729" s="3">
        <v>3</v>
      </c>
      <c r="H3729" s="5">
        <v>4907616902.6499996</v>
      </c>
      <c r="I3729" s="5">
        <v>5098803902.6499996</v>
      </c>
      <c r="J3729" s="5">
        <v>1242424000</v>
      </c>
      <c r="K3729" s="5">
        <v>1051237000</v>
      </c>
      <c r="L3729" s="5">
        <v>2440837000</v>
      </c>
      <c r="M3729" s="5">
        <v>324386000</v>
      </c>
      <c r="N3729" s="5">
        <v>239105000</v>
      </c>
    </row>
    <row r="3730" spans="1:14" x14ac:dyDescent="0.25">
      <c r="A3730" s="3" t="s">
        <v>3741</v>
      </c>
      <c r="B3730" s="4">
        <v>16.66</v>
      </c>
      <c r="C3730" s="4">
        <v>0.36</v>
      </c>
      <c r="D3730" s="4">
        <v>0.23</v>
      </c>
      <c r="E3730" s="4">
        <v>-1.964560169869508E-2</v>
      </c>
      <c r="F3730" s="3">
        <v>3728</v>
      </c>
      <c r="G3730" s="3">
        <v>3</v>
      </c>
      <c r="H3730" s="5">
        <v>2429664327.9000001</v>
      </c>
      <c r="I3730" s="5">
        <v>2379324327.9000001</v>
      </c>
      <c r="J3730" s="5">
        <v>0</v>
      </c>
      <c r="K3730" s="5">
        <v>50340000</v>
      </c>
      <c r="L3730" s="5">
        <v>647040000</v>
      </c>
      <c r="M3730" s="5">
        <v>142827000</v>
      </c>
      <c r="N3730" s="5">
        <v>101491000</v>
      </c>
    </row>
    <row r="3731" spans="1:14" x14ac:dyDescent="0.25">
      <c r="A3731" s="3" t="s">
        <v>3742</v>
      </c>
      <c r="B3731" s="4">
        <v>17.73</v>
      </c>
      <c r="C3731" s="4">
        <v>0.59</v>
      </c>
      <c r="D3731" s="4">
        <v>0.21</v>
      </c>
      <c r="E3731" s="4">
        <v>-1.9647151800104849E-2</v>
      </c>
      <c r="F3731" s="3">
        <v>3729</v>
      </c>
      <c r="G3731" s="3">
        <v>3</v>
      </c>
      <c r="H3731" s="5">
        <v>2597463036.9000001</v>
      </c>
      <c r="I3731" s="5">
        <v>2657863036.9000001</v>
      </c>
      <c r="J3731" s="5">
        <v>85000000</v>
      </c>
      <c r="K3731" s="5">
        <v>24600000</v>
      </c>
      <c r="L3731" s="5">
        <v>2380200000</v>
      </c>
      <c r="M3731" s="5">
        <v>149900000</v>
      </c>
      <c r="N3731" s="5">
        <v>257600000</v>
      </c>
    </row>
    <row r="3732" spans="1:14" x14ac:dyDescent="0.25">
      <c r="A3732" s="3" t="s">
        <v>3743</v>
      </c>
      <c r="B3732" s="4">
        <v>15.06</v>
      </c>
      <c r="C3732" s="4">
        <v>0.03</v>
      </c>
      <c r="D3732" s="4">
        <v>0.01</v>
      </c>
      <c r="E3732" s="4">
        <v>-1.9651256403344929E-2</v>
      </c>
      <c r="F3732" s="3">
        <v>3730</v>
      </c>
      <c r="G3732" s="3">
        <v>3</v>
      </c>
      <c r="H3732" s="5">
        <v>4292296000</v>
      </c>
      <c r="I3732" s="5">
        <v>6396958000</v>
      </c>
      <c r="J3732" s="5">
        <v>2109543000</v>
      </c>
      <c r="K3732" s="5">
        <v>4881000</v>
      </c>
      <c r="L3732" s="5">
        <v>661392000</v>
      </c>
      <c r="M3732" s="5">
        <v>424639000</v>
      </c>
      <c r="N3732" s="5">
        <v>62685000</v>
      </c>
    </row>
    <row r="3733" spans="1:14" x14ac:dyDescent="0.25">
      <c r="A3733" s="3" t="s">
        <v>3744</v>
      </c>
      <c r="B3733" s="4">
        <v>15.86</v>
      </c>
      <c r="C3733" s="4">
        <v>0.2</v>
      </c>
      <c r="D3733" s="4">
        <v>0.01</v>
      </c>
      <c r="E3733" s="4">
        <v>-1.9655201539865341E-2</v>
      </c>
      <c r="F3733" s="3">
        <v>3731</v>
      </c>
      <c r="G3733" s="3">
        <v>3</v>
      </c>
      <c r="H3733" s="5">
        <v>1171082571</v>
      </c>
      <c r="I3733" s="5">
        <v>1963543571</v>
      </c>
      <c r="J3733" s="5">
        <v>834226000</v>
      </c>
      <c r="K3733" s="5">
        <v>41765000</v>
      </c>
      <c r="L3733" s="5">
        <v>444709000</v>
      </c>
      <c r="M3733" s="5">
        <v>123802000</v>
      </c>
      <c r="N3733" s="5">
        <v>13746000</v>
      </c>
    </row>
    <row r="3734" spans="1:14" x14ac:dyDescent="0.25">
      <c r="A3734" s="3" t="s">
        <v>3745</v>
      </c>
      <c r="B3734" s="4">
        <v>14.56</v>
      </c>
      <c r="C3734" s="4">
        <v>-0.08</v>
      </c>
      <c r="D3734" s="4">
        <v>-0.02</v>
      </c>
      <c r="E3734" s="4">
        <v>-1.9665412875382621E-2</v>
      </c>
      <c r="F3734" s="3">
        <v>3732</v>
      </c>
      <c r="G3734" s="3">
        <v>3</v>
      </c>
      <c r="H3734" s="5">
        <v>1300596550.2</v>
      </c>
      <c r="I3734" s="5">
        <v>3858596550.1999998</v>
      </c>
      <c r="J3734" s="5">
        <v>2676000000</v>
      </c>
      <c r="K3734" s="5">
        <v>118000000</v>
      </c>
      <c r="L3734" s="5">
        <v>5692000000</v>
      </c>
      <c r="M3734" s="5">
        <v>265000000</v>
      </c>
      <c r="N3734" s="5">
        <v>-128000000</v>
      </c>
    </row>
    <row r="3735" spans="1:14" x14ac:dyDescent="0.25">
      <c r="A3735" s="3" t="s">
        <v>3746</v>
      </c>
      <c r="B3735" s="4">
        <v>15.36</v>
      </c>
      <c r="C3735" s="4">
        <v>0.09</v>
      </c>
      <c r="D3735" s="4">
        <v>0</v>
      </c>
      <c r="E3735" s="4">
        <v>-1.9665499958748011E-2</v>
      </c>
      <c r="F3735" s="3">
        <v>3733</v>
      </c>
      <c r="G3735" s="3">
        <v>3</v>
      </c>
      <c r="H3735" s="5">
        <v>9052138459.3400002</v>
      </c>
      <c r="I3735" s="5">
        <v>21285163459.34</v>
      </c>
      <c r="J3735" s="5">
        <v>12740364000</v>
      </c>
      <c r="K3735" s="5">
        <v>507339000</v>
      </c>
      <c r="L3735" s="5">
        <v>2674126000</v>
      </c>
      <c r="M3735" s="5">
        <v>1385932000</v>
      </c>
      <c r="N3735" s="5">
        <v>14404000</v>
      </c>
    </row>
    <row r="3736" spans="1:14" x14ac:dyDescent="0.25">
      <c r="A3736" s="3" t="s">
        <v>3747</v>
      </c>
      <c r="B3736" s="4">
        <v>15.77</v>
      </c>
      <c r="C3736" s="4">
        <v>0.17</v>
      </c>
      <c r="D3736" s="4">
        <v>0.08</v>
      </c>
      <c r="E3736" s="4">
        <v>-1.9672676323592479E-2</v>
      </c>
      <c r="F3736" s="3">
        <v>3734</v>
      </c>
      <c r="G3736" s="3">
        <v>3</v>
      </c>
      <c r="H3736" s="5">
        <v>195292050993.89999</v>
      </c>
      <c r="I3736" s="5">
        <v>212269050993.89999</v>
      </c>
      <c r="J3736" s="5">
        <v>21827000000</v>
      </c>
      <c r="K3736" s="5">
        <v>4850000000</v>
      </c>
      <c r="L3736" s="5">
        <v>33005000000</v>
      </c>
      <c r="M3736" s="5">
        <v>13461000000</v>
      </c>
      <c r="N3736" s="5">
        <v>6565000000</v>
      </c>
    </row>
    <row r="3737" spans="1:14" x14ac:dyDescent="0.25">
      <c r="A3737" s="3" t="s">
        <v>3748</v>
      </c>
      <c r="B3737" s="4">
        <v>16.260000000000002</v>
      </c>
      <c r="C3737" s="4">
        <v>0.27</v>
      </c>
      <c r="D3737" s="4">
        <v>0.08</v>
      </c>
      <c r="E3737" s="4">
        <v>-1.9687011332604702E-2</v>
      </c>
      <c r="F3737" s="3">
        <v>3735</v>
      </c>
      <c r="G3737" s="3">
        <v>3</v>
      </c>
      <c r="H3737" s="5">
        <v>81421798223.5</v>
      </c>
      <c r="I3737" s="5">
        <v>93342798223.5</v>
      </c>
      <c r="J3737" s="5">
        <v>16274000000</v>
      </c>
      <c r="K3737" s="5">
        <v>4353000000</v>
      </c>
      <c r="L3737" s="5">
        <v>41033000000</v>
      </c>
      <c r="M3737" s="5">
        <v>5740000000</v>
      </c>
      <c r="N3737" s="5">
        <v>4174000000</v>
      </c>
    </row>
    <row r="3738" spans="1:14" x14ac:dyDescent="0.25">
      <c r="A3738" s="3" t="s">
        <v>3749</v>
      </c>
      <c r="B3738" s="4">
        <v>15.17</v>
      </c>
      <c r="C3738" s="4">
        <v>0.04</v>
      </c>
      <c r="D3738" s="4">
        <v>0.02</v>
      </c>
      <c r="E3738" s="4">
        <v>-1.968851503242082E-2</v>
      </c>
      <c r="F3738" s="3">
        <v>3736</v>
      </c>
      <c r="G3738" s="3">
        <v>3</v>
      </c>
      <c r="H3738" s="5">
        <v>1326268244.73</v>
      </c>
      <c r="I3738" s="5">
        <v>1702938244.73</v>
      </c>
      <c r="J3738" s="5">
        <v>399740000</v>
      </c>
      <c r="K3738" s="5">
        <v>23070000</v>
      </c>
      <c r="L3738" s="5">
        <v>925010000</v>
      </c>
      <c r="M3738" s="5">
        <v>112240000</v>
      </c>
      <c r="N3738" s="5">
        <v>24250000</v>
      </c>
    </row>
    <row r="3739" spans="1:14" x14ac:dyDescent="0.25">
      <c r="A3739" s="3" t="s">
        <v>3750</v>
      </c>
      <c r="B3739" s="4">
        <v>15.36</v>
      </c>
      <c r="C3739" s="4">
        <v>0.08</v>
      </c>
      <c r="D3739" s="4">
        <v>0.02</v>
      </c>
      <c r="E3739" s="4">
        <v>-1.9690535512607459E-2</v>
      </c>
      <c r="F3739" s="3">
        <v>3737</v>
      </c>
      <c r="G3739" s="3">
        <v>3</v>
      </c>
      <c r="H3739" s="5">
        <v>9396887699.7600002</v>
      </c>
      <c r="I3739" s="5">
        <v>13220887699.76</v>
      </c>
      <c r="J3739" s="5">
        <v>4538000000</v>
      </c>
      <c r="K3739" s="5">
        <v>714000000</v>
      </c>
      <c r="L3739" s="5">
        <v>3586000000</v>
      </c>
      <c r="M3739" s="5">
        <v>861000000</v>
      </c>
      <c r="N3739" s="5">
        <v>190000000</v>
      </c>
    </row>
    <row r="3740" spans="1:14" x14ac:dyDescent="0.25">
      <c r="A3740" s="3" t="s">
        <v>3751</v>
      </c>
      <c r="B3740" s="4">
        <v>10.76</v>
      </c>
      <c r="C3740" s="4">
        <v>-0.9</v>
      </c>
      <c r="D3740" s="4">
        <v>-7.0000000000000007E-2</v>
      </c>
      <c r="E3740" s="4">
        <v>-1.9692435618566269E-2</v>
      </c>
      <c r="F3740" s="3">
        <v>3738</v>
      </c>
      <c r="G3740" s="3">
        <v>3</v>
      </c>
      <c r="H3740" s="5">
        <v>300354930.54000002</v>
      </c>
      <c r="I3740" s="5">
        <v>486232930.54000002</v>
      </c>
      <c r="J3740" s="5">
        <v>196337000</v>
      </c>
      <c r="K3740" s="5">
        <v>10459000</v>
      </c>
      <c r="L3740" s="5">
        <v>1567135000</v>
      </c>
      <c r="M3740" s="5">
        <v>45202000</v>
      </c>
      <c r="N3740" s="5">
        <v>-63211000</v>
      </c>
    </row>
    <row r="3741" spans="1:14" x14ac:dyDescent="0.25">
      <c r="A3741" s="3" t="s">
        <v>3752</v>
      </c>
      <c r="B3741" s="4">
        <v>15.35</v>
      </c>
      <c r="C3741" s="4">
        <v>7.0000000000000007E-2</v>
      </c>
      <c r="D3741" s="4">
        <v>0.03</v>
      </c>
      <c r="E3741" s="4">
        <v>-1.971131088734733E-2</v>
      </c>
      <c r="F3741" s="3">
        <v>3739</v>
      </c>
      <c r="G3741" s="3">
        <v>3</v>
      </c>
      <c r="H3741" s="5">
        <v>15460262000</v>
      </c>
      <c r="I3741" s="5">
        <v>19927962000</v>
      </c>
      <c r="J3741" s="5">
        <v>5147200000</v>
      </c>
      <c r="K3741" s="5">
        <v>679500000</v>
      </c>
      <c r="L3741" s="5">
        <v>4183800000</v>
      </c>
      <c r="M3741" s="5">
        <v>1297900000</v>
      </c>
      <c r="N3741" s="5">
        <v>284300000</v>
      </c>
    </row>
    <row r="3742" spans="1:14" x14ac:dyDescent="0.25">
      <c r="A3742" s="3" t="s">
        <v>3753</v>
      </c>
      <c r="B3742" s="4">
        <v>15.55</v>
      </c>
      <c r="C3742" s="4">
        <v>0.11</v>
      </c>
      <c r="D3742" s="4">
        <v>0.05</v>
      </c>
      <c r="E3742" s="4">
        <v>-1.971566252007604E-2</v>
      </c>
      <c r="F3742" s="3">
        <v>3740</v>
      </c>
      <c r="G3742" s="3">
        <v>3</v>
      </c>
      <c r="H3742" s="5">
        <v>6353252821.3000002</v>
      </c>
      <c r="I3742" s="5">
        <v>7275041821.3000002</v>
      </c>
      <c r="J3742" s="5">
        <v>983483000</v>
      </c>
      <c r="K3742" s="5">
        <v>61694000</v>
      </c>
      <c r="L3742" s="5">
        <v>3609160000</v>
      </c>
      <c r="M3742" s="5">
        <v>467989000</v>
      </c>
      <c r="N3742" s="5">
        <v>207220000</v>
      </c>
    </row>
    <row r="3743" spans="1:14" x14ac:dyDescent="0.25">
      <c r="A3743" s="3" t="s">
        <v>3754</v>
      </c>
      <c r="B3743" s="4">
        <v>13.87</v>
      </c>
      <c r="C3743" s="4">
        <v>-0.25</v>
      </c>
      <c r="D3743" s="4">
        <v>0.04</v>
      </c>
      <c r="E3743" s="4">
        <v>-1.9717974842065021E-2</v>
      </c>
      <c r="F3743" s="3">
        <v>3741</v>
      </c>
      <c r="G3743" s="3">
        <v>3</v>
      </c>
      <c r="H3743" s="5">
        <v>198732791.40000001</v>
      </c>
      <c r="I3743" s="5">
        <v>587322761.39999998</v>
      </c>
      <c r="J3743" s="5">
        <v>406205910</v>
      </c>
      <c r="K3743" s="5">
        <v>17615940</v>
      </c>
      <c r="L3743" s="5">
        <v>80532550</v>
      </c>
      <c r="M3743" s="5">
        <v>42354590</v>
      </c>
      <c r="N3743" s="5">
        <v>15661590</v>
      </c>
    </row>
    <row r="3744" spans="1:14" x14ac:dyDescent="0.25">
      <c r="A3744" s="3" t="s">
        <v>3755</v>
      </c>
      <c r="B3744" s="4">
        <v>15.75</v>
      </c>
      <c r="C3744" s="4">
        <v>0.15</v>
      </c>
      <c r="D3744" s="4">
        <v>7.0000000000000007E-2</v>
      </c>
      <c r="E3744" s="4">
        <v>-1.9720014152804739E-2</v>
      </c>
      <c r="F3744" s="3">
        <v>3742</v>
      </c>
      <c r="G3744" s="3">
        <v>3</v>
      </c>
      <c r="H3744" s="5">
        <v>13489302637.34</v>
      </c>
      <c r="I3744" s="5">
        <v>14759302637.34</v>
      </c>
      <c r="J3744" s="5">
        <v>2171000000</v>
      </c>
      <c r="K3744" s="5">
        <v>901000000</v>
      </c>
      <c r="L3744" s="5">
        <v>4981000000</v>
      </c>
      <c r="M3744" s="5">
        <v>937000000</v>
      </c>
      <c r="N3744" s="5">
        <v>528000000</v>
      </c>
    </row>
    <row r="3745" spans="1:14" x14ac:dyDescent="0.25">
      <c r="A3745" s="3" t="s">
        <v>3756</v>
      </c>
      <c r="B3745" s="4">
        <v>16.78</v>
      </c>
      <c r="C3745" s="4">
        <v>0.37</v>
      </c>
      <c r="D3745" s="4">
        <v>0.06</v>
      </c>
      <c r="E3745" s="4">
        <v>-1.972377201186315E-2</v>
      </c>
      <c r="F3745" s="3">
        <v>3743</v>
      </c>
      <c r="G3745" s="3">
        <v>3</v>
      </c>
      <c r="H3745" s="5">
        <v>17151197503.440001</v>
      </c>
      <c r="I3745" s="5">
        <v>17867308503.439999</v>
      </c>
      <c r="J3745" s="5">
        <v>1710809000</v>
      </c>
      <c r="K3745" s="5">
        <v>994698000</v>
      </c>
      <c r="L3745" s="5">
        <v>10634823000</v>
      </c>
      <c r="M3745" s="5">
        <v>1065109000</v>
      </c>
      <c r="N3745" s="5">
        <v>503639000</v>
      </c>
    </row>
    <row r="3746" spans="1:14" x14ac:dyDescent="0.25">
      <c r="A3746" s="3" t="s">
        <v>3757</v>
      </c>
      <c r="B3746" s="4">
        <v>15.67</v>
      </c>
      <c r="C3746" s="4">
        <v>0.13</v>
      </c>
      <c r="D3746" s="4">
        <v>0.06</v>
      </c>
      <c r="E3746" s="4">
        <v>-1.973021674783455E-2</v>
      </c>
      <c r="F3746" s="3">
        <v>3744</v>
      </c>
      <c r="G3746" s="3">
        <v>3</v>
      </c>
      <c r="H3746" s="5">
        <v>7157676447</v>
      </c>
      <c r="I3746" s="5">
        <v>8711927447</v>
      </c>
      <c r="J3746" s="5">
        <v>1729346000</v>
      </c>
      <c r="K3746" s="5">
        <v>175095000</v>
      </c>
      <c r="L3746" s="5">
        <v>3388514000</v>
      </c>
      <c r="M3746" s="5">
        <v>555877000</v>
      </c>
      <c r="N3746" s="5">
        <v>258815000</v>
      </c>
    </row>
    <row r="3747" spans="1:14" x14ac:dyDescent="0.25">
      <c r="A3747" s="3" t="s">
        <v>3758</v>
      </c>
      <c r="B3747" s="4">
        <v>17.66</v>
      </c>
      <c r="C3747" s="4">
        <v>0.55000000000000004</v>
      </c>
      <c r="D3747" s="4">
        <v>0.12</v>
      </c>
      <c r="E3747" s="4">
        <v>-1.9736763027480689E-2</v>
      </c>
      <c r="F3747" s="3">
        <v>3745</v>
      </c>
      <c r="G3747" s="3">
        <v>3</v>
      </c>
      <c r="H3747" s="5">
        <v>266350587063.39999</v>
      </c>
      <c r="I3747" s="5">
        <v>297870587063.40002</v>
      </c>
      <c r="J3747" s="5">
        <v>38409000000</v>
      </c>
      <c r="K3747" s="5">
        <v>6889000000</v>
      </c>
      <c r="L3747" s="5">
        <v>64809000000</v>
      </c>
      <c r="M3747" s="5">
        <v>16870000000</v>
      </c>
      <c r="N3747" s="5">
        <v>10792000000</v>
      </c>
    </row>
    <row r="3748" spans="1:14" x14ac:dyDescent="0.25">
      <c r="A3748" s="3" t="s">
        <v>3759</v>
      </c>
      <c r="B3748" s="4">
        <v>-0.18</v>
      </c>
      <c r="C3748" s="4">
        <v>-3.17</v>
      </c>
      <c r="D3748" s="4">
        <v>-1.46</v>
      </c>
      <c r="E3748" s="4">
        <v>-1.9748428072518819E-2</v>
      </c>
      <c r="F3748" s="3">
        <v>3746</v>
      </c>
      <c r="G3748" s="3">
        <v>3</v>
      </c>
      <c r="H3748" s="5">
        <v>16359647.85</v>
      </c>
      <c r="I3748" s="5">
        <v>10985647.85</v>
      </c>
      <c r="J3748" s="5">
        <v>3799000</v>
      </c>
      <c r="K3748" s="5">
        <v>9173000</v>
      </c>
      <c r="L3748" s="5">
        <v>30776000</v>
      </c>
      <c r="M3748" s="5">
        <v>-62052000</v>
      </c>
      <c r="N3748" s="5">
        <v>-112017000</v>
      </c>
    </row>
    <row r="3749" spans="1:14" x14ac:dyDescent="0.25">
      <c r="A3749" s="3" t="s">
        <v>3760</v>
      </c>
      <c r="B3749" s="4">
        <v>15.27</v>
      </c>
      <c r="C3749" s="4">
        <v>0.04</v>
      </c>
      <c r="D3749" s="4">
        <v>0.03</v>
      </c>
      <c r="E3749" s="4">
        <v>-1.9748478062814091E-2</v>
      </c>
      <c r="F3749" s="3">
        <v>3747</v>
      </c>
      <c r="G3749" s="3">
        <v>3</v>
      </c>
      <c r="H3749" s="5">
        <v>767520000</v>
      </c>
      <c r="I3749" s="5">
        <v>1306904000</v>
      </c>
      <c r="J3749" s="5">
        <v>590565000</v>
      </c>
      <c r="K3749" s="5">
        <v>51181000</v>
      </c>
      <c r="L3749" s="5">
        <v>334403000</v>
      </c>
      <c r="M3749" s="5">
        <v>85579000</v>
      </c>
      <c r="N3749" s="5">
        <v>57011000</v>
      </c>
    </row>
    <row r="3750" spans="1:14" x14ac:dyDescent="0.25">
      <c r="A3750" s="3" t="s">
        <v>3761</v>
      </c>
      <c r="B3750" s="4">
        <v>14.6</v>
      </c>
      <c r="C3750" s="4">
        <v>-0.1</v>
      </c>
      <c r="D3750" s="4">
        <v>-0.04</v>
      </c>
      <c r="E3750" s="4">
        <v>-1.9751814965354851E-2</v>
      </c>
      <c r="F3750" s="3">
        <v>3748</v>
      </c>
      <c r="G3750" s="3">
        <v>3</v>
      </c>
      <c r="H3750" s="5">
        <v>6195178598.8400002</v>
      </c>
      <c r="I3750" s="5">
        <v>9140469598.8400002</v>
      </c>
      <c r="J3750" s="5">
        <v>2952090000</v>
      </c>
      <c r="K3750" s="5">
        <v>6799000</v>
      </c>
      <c r="L3750" s="5">
        <v>1253580000</v>
      </c>
      <c r="M3750" s="5">
        <v>625907000</v>
      </c>
      <c r="N3750" s="5">
        <v>-229651000</v>
      </c>
    </row>
    <row r="3751" spans="1:14" x14ac:dyDescent="0.25">
      <c r="A3751" s="3" t="s">
        <v>3762</v>
      </c>
      <c r="B3751" s="4">
        <v>15.71</v>
      </c>
      <c r="C3751" s="4">
        <v>0.13</v>
      </c>
      <c r="D3751" s="4">
        <v>7.0000000000000007E-2</v>
      </c>
      <c r="E3751" s="4">
        <v>-1.9753044544045351E-2</v>
      </c>
      <c r="F3751" s="3">
        <v>3749</v>
      </c>
      <c r="G3751" s="3">
        <v>3</v>
      </c>
      <c r="H3751" s="5">
        <v>20812073253.57</v>
      </c>
      <c r="I3751" s="5">
        <v>22052573253.57</v>
      </c>
      <c r="J3751" s="5">
        <v>2204600000</v>
      </c>
      <c r="K3751" s="5">
        <v>964100000</v>
      </c>
      <c r="L3751" s="5">
        <v>6107100000</v>
      </c>
      <c r="M3751" s="5">
        <v>1403300000</v>
      </c>
      <c r="N3751" s="5">
        <v>585300000</v>
      </c>
    </row>
    <row r="3752" spans="1:14" x14ac:dyDescent="0.25">
      <c r="A3752" s="3" t="s">
        <v>3763</v>
      </c>
      <c r="B3752" s="4">
        <v>14.06</v>
      </c>
      <c r="C3752" s="4">
        <v>-0.22</v>
      </c>
      <c r="D3752" s="4">
        <v>-0.04</v>
      </c>
      <c r="E3752" s="4">
        <v>-1.9764321141886171E-2</v>
      </c>
      <c r="F3752" s="3">
        <v>3750</v>
      </c>
      <c r="G3752" s="3">
        <v>3</v>
      </c>
      <c r="H3752" s="5">
        <v>300011454.60000002</v>
      </c>
      <c r="I3752" s="5">
        <v>625878454.60000002</v>
      </c>
      <c r="J3752" s="5">
        <v>349964000</v>
      </c>
      <c r="K3752" s="5">
        <v>24097000</v>
      </c>
      <c r="L3752" s="5">
        <v>715070000</v>
      </c>
      <c r="M3752" s="5">
        <v>44513000</v>
      </c>
      <c r="N3752" s="5">
        <v>-27212000</v>
      </c>
    </row>
    <row r="3753" spans="1:14" x14ac:dyDescent="0.25">
      <c r="A3753" s="3" t="s">
        <v>3764</v>
      </c>
      <c r="B3753" s="4">
        <v>15.41</v>
      </c>
      <c r="C3753" s="4">
        <v>0.06</v>
      </c>
      <c r="D3753" s="4">
        <v>0.03</v>
      </c>
      <c r="E3753" s="4">
        <v>-1.9777339728544251E-2</v>
      </c>
      <c r="F3753" s="3">
        <v>3751</v>
      </c>
      <c r="G3753" s="3">
        <v>3</v>
      </c>
      <c r="H3753" s="5">
        <v>1659591030.72</v>
      </c>
      <c r="I3753" s="5">
        <v>1806971030.72</v>
      </c>
      <c r="J3753" s="5">
        <v>435835000</v>
      </c>
      <c r="K3753" s="5">
        <v>288455000</v>
      </c>
      <c r="L3753" s="5">
        <v>2034540000</v>
      </c>
      <c r="M3753" s="5">
        <v>117277000</v>
      </c>
      <c r="N3753" s="5">
        <v>43149000</v>
      </c>
    </row>
    <row r="3754" spans="1:14" x14ac:dyDescent="0.25">
      <c r="A3754" s="3" t="s">
        <v>3765</v>
      </c>
      <c r="B3754" s="4">
        <v>15.32</v>
      </c>
      <c r="C3754" s="4">
        <v>0.04</v>
      </c>
      <c r="D3754" s="4">
        <v>0.02</v>
      </c>
      <c r="E3754" s="4">
        <v>-1.9781353117876981E-2</v>
      </c>
      <c r="F3754" s="3">
        <v>3752</v>
      </c>
      <c r="G3754" s="3">
        <v>3</v>
      </c>
      <c r="H3754" s="5">
        <v>16204955280</v>
      </c>
      <c r="I3754" s="5">
        <v>20608955280</v>
      </c>
      <c r="J3754" s="5">
        <v>5088000000</v>
      </c>
      <c r="K3754" s="5">
        <v>684000000</v>
      </c>
      <c r="L3754" s="5">
        <v>7124000000</v>
      </c>
      <c r="M3754" s="5">
        <v>1345000000</v>
      </c>
      <c r="N3754" s="5">
        <v>396000000</v>
      </c>
    </row>
    <row r="3755" spans="1:14" x14ac:dyDescent="0.25">
      <c r="A3755" s="3" t="s">
        <v>3766</v>
      </c>
      <c r="B3755" s="4">
        <v>16.29</v>
      </c>
      <c r="C3755" s="4">
        <v>0.24</v>
      </c>
      <c r="D3755" s="4">
        <v>0.05</v>
      </c>
      <c r="E3755" s="4">
        <v>-1.9798046850471821E-2</v>
      </c>
      <c r="F3755" s="3">
        <v>3753</v>
      </c>
      <c r="G3755" s="3">
        <v>3</v>
      </c>
      <c r="H3755" s="5">
        <v>16238938943.42</v>
      </c>
      <c r="I3755" s="5">
        <v>19379938943.419998</v>
      </c>
      <c r="J3755" s="5">
        <v>3387000000</v>
      </c>
      <c r="K3755" s="5">
        <v>246000000</v>
      </c>
      <c r="L3755" s="5">
        <v>8072000000</v>
      </c>
      <c r="M3755" s="5">
        <v>1190000000</v>
      </c>
      <c r="N3755" s="5">
        <v>387000000</v>
      </c>
    </row>
    <row r="3756" spans="1:14" x14ac:dyDescent="0.25">
      <c r="A3756" s="3" t="s">
        <v>3767</v>
      </c>
      <c r="B3756" s="4">
        <v>13.12</v>
      </c>
      <c r="C3756" s="4">
        <v>-0.44</v>
      </c>
      <c r="D3756" s="4">
        <v>0.02</v>
      </c>
      <c r="E3756" s="4">
        <v>-1.9806621001213921E-2</v>
      </c>
      <c r="F3756" s="3">
        <v>3754</v>
      </c>
      <c r="G3756" s="3">
        <v>3</v>
      </c>
      <c r="H3756" s="5">
        <v>3115243183.3000002</v>
      </c>
      <c r="I3756" s="5">
        <v>6348307183.3000002</v>
      </c>
      <c r="J3756" s="5">
        <v>3263477000</v>
      </c>
      <c r="K3756" s="5">
        <v>30413000</v>
      </c>
      <c r="L3756" s="5">
        <v>3180753000</v>
      </c>
      <c r="M3756" s="5">
        <v>483897000</v>
      </c>
      <c r="N3756" s="5">
        <v>72412000</v>
      </c>
    </row>
    <row r="3757" spans="1:14" x14ac:dyDescent="0.25">
      <c r="A3757" s="3" t="s">
        <v>3768</v>
      </c>
      <c r="B3757" s="4">
        <v>14.65</v>
      </c>
      <c r="C3757" s="4">
        <v>-0.11</v>
      </c>
      <c r="D3757" s="4">
        <v>-0.02</v>
      </c>
      <c r="E3757" s="4">
        <v>-1.980779654769968E-2</v>
      </c>
      <c r="F3757" s="3">
        <v>3755</v>
      </c>
      <c r="G3757" s="3">
        <v>3</v>
      </c>
      <c r="H3757" s="5">
        <v>2387177073.9000001</v>
      </c>
      <c r="I3757" s="5">
        <v>8953377073.8999996</v>
      </c>
      <c r="J3757" s="5">
        <v>7272800000</v>
      </c>
      <c r="K3757" s="5">
        <v>706600000</v>
      </c>
      <c r="L3757" s="5">
        <v>6578100000</v>
      </c>
      <c r="M3757" s="5">
        <v>611000000</v>
      </c>
      <c r="N3757" s="5">
        <v>-311500000</v>
      </c>
    </row>
    <row r="3758" spans="1:14" x14ac:dyDescent="0.25">
      <c r="A3758" s="3" t="s">
        <v>3769</v>
      </c>
      <c r="B3758" s="4">
        <v>15.48</v>
      </c>
      <c r="C3758" s="4">
        <v>0.06</v>
      </c>
      <c r="D3758" s="4">
        <v>0</v>
      </c>
      <c r="E3758" s="4">
        <v>-1.982645124815632E-2</v>
      </c>
      <c r="F3758" s="3">
        <v>3756</v>
      </c>
      <c r="G3758" s="3">
        <v>3</v>
      </c>
      <c r="H3758" s="5">
        <v>181479870</v>
      </c>
      <c r="I3758" s="5">
        <v>28825292870</v>
      </c>
      <c r="J3758" s="5">
        <v>28691196000</v>
      </c>
      <c r="K3758" s="5">
        <v>47383000</v>
      </c>
      <c r="L3758" s="5">
        <v>2160132000</v>
      </c>
      <c r="M3758" s="5">
        <v>1861730000</v>
      </c>
      <c r="N3758" s="5">
        <v>15488000</v>
      </c>
    </row>
    <row r="3759" spans="1:14" x14ac:dyDescent="0.25">
      <c r="A3759" s="3" t="s">
        <v>3770</v>
      </c>
      <c r="B3759" s="4">
        <v>15.25</v>
      </c>
      <c r="C3759" s="4">
        <v>0.01</v>
      </c>
      <c r="D3759" s="4">
        <v>0</v>
      </c>
      <c r="E3759" s="4">
        <v>-1.9828567552195819E-2</v>
      </c>
      <c r="F3759" s="3">
        <v>3757</v>
      </c>
      <c r="G3759" s="3">
        <v>3</v>
      </c>
      <c r="H3759" s="5">
        <v>311094018.89999998</v>
      </c>
      <c r="I3759" s="5">
        <v>338994018.89999998</v>
      </c>
      <c r="J3759" s="5">
        <v>87590000</v>
      </c>
      <c r="K3759" s="5">
        <v>59690000</v>
      </c>
      <c r="L3759" s="5">
        <v>434606000</v>
      </c>
      <c r="M3759" s="5">
        <v>22231000</v>
      </c>
      <c r="N3759" s="5">
        <v>1341000</v>
      </c>
    </row>
    <row r="3760" spans="1:14" x14ac:dyDescent="0.25">
      <c r="A3760" s="3" t="s">
        <v>3771</v>
      </c>
      <c r="B3760" s="4">
        <v>10.98</v>
      </c>
      <c r="C3760" s="4">
        <v>-0.91</v>
      </c>
      <c r="D3760" s="4">
        <v>0.02</v>
      </c>
      <c r="E3760" s="4">
        <v>-1.984013051171888E-2</v>
      </c>
      <c r="F3760" s="3">
        <v>3758</v>
      </c>
      <c r="G3760" s="3">
        <v>3</v>
      </c>
      <c r="H3760" s="5">
        <v>763885261.08000004</v>
      </c>
      <c r="I3760" s="5">
        <v>1527702261.0799999</v>
      </c>
      <c r="J3760" s="5">
        <v>767198000</v>
      </c>
      <c r="K3760" s="5">
        <v>3381000</v>
      </c>
      <c r="L3760" s="5">
        <v>4098288000</v>
      </c>
      <c r="M3760" s="5">
        <v>139120000</v>
      </c>
      <c r="N3760" s="5">
        <v>22453000</v>
      </c>
    </row>
    <row r="3761" spans="1:14" x14ac:dyDescent="0.25">
      <c r="A3761" s="3" t="s">
        <v>3772</v>
      </c>
      <c r="B3761" s="4">
        <v>14.26</v>
      </c>
      <c r="C3761" s="4">
        <v>-0.2</v>
      </c>
      <c r="D3761" s="4">
        <v>-0.12</v>
      </c>
      <c r="E3761" s="4">
        <v>-1.9845750254418839E-2</v>
      </c>
      <c r="F3761" s="3">
        <v>3759</v>
      </c>
      <c r="G3761" s="3">
        <v>3</v>
      </c>
      <c r="H3761" s="5">
        <v>267032282.40000001</v>
      </c>
      <c r="I3761" s="5">
        <v>-325325717.60000002</v>
      </c>
      <c r="J3761" s="5">
        <v>0</v>
      </c>
      <c r="K3761" s="5">
        <v>592358000</v>
      </c>
      <c r="L3761" s="5">
        <v>4468161000</v>
      </c>
      <c r="M3761" s="5">
        <v>-22806000</v>
      </c>
      <c r="N3761" s="5">
        <v>-146480000</v>
      </c>
    </row>
    <row r="3762" spans="1:14" x14ac:dyDescent="0.25">
      <c r="A3762" s="3" t="s">
        <v>3773</v>
      </c>
      <c r="B3762" s="4">
        <v>15.57</v>
      </c>
      <c r="C3762" s="4">
        <v>7.0000000000000007E-2</v>
      </c>
      <c r="D3762" s="4">
        <v>0.01</v>
      </c>
      <c r="E3762" s="4">
        <v>-1.9851331465838049E-2</v>
      </c>
      <c r="F3762" s="3">
        <v>3760</v>
      </c>
      <c r="G3762" s="3">
        <v>3</v>
      </c>
      <c r="H3762" s="5">
        <v>527672454.17000002</v>
      </c>
      <c r="I3762" s="5">
        <v>758248364.17000008</v>
      </c>
      <c r="J3762" s="5">
        <v>244023120</v>
      </c>
      <c r="K3762" s="5">
        <v>13447210</v>
      </c>
      <c r="L3762" s="5">
        <v>76472340</v>
      </c>
      <c r="M3762" s="5">
        <v>48713110</v>
      </c>
      <c r="N3762" s="5">
        <v>4438910</v>
      </c>
    </row>
    <row r="3763" spans="1:14" x14ac:dyDescent="0.25">
      <c r="A3763" s="3" t="s">
        <v>3774</v>
      </c>
      <c r="B3763" s="4">
        <v>17.149999999999999</v>
      </c>
      <c r="C3763" s="4">
        <v>0.4</v>
      </c>
      <c r="D3763" s="4">
        <v>0.13</v>
      </c>
      <c r="E3763" s="4">
        <v>-1.98525886155691E-2</v>
      </c>
      <c r="F3763" s="3">
        <v>3761</v>
      </c>
      <c r="G3763" s="3">
        <v>3</v>
      </c>
      <c r="H3763" s="5">
        <v>14264958126.93</v>
      </c>
      <c r="I3763" s="5">
        <v>15760658126.93</v>
      </c>
      <c r="J3763" s="5">
        <v>1999500000</v>
      </c>
      <c r="K3763" s="5">
        <v>503800000</v>
      </c>
      <c r="L3763" s="5">
        <v>3772200000</v>
      </c>
      <c r="M3763" s="5">
        <v>919200000</v>
      </c>
      <c r="N3763" s="5">
        <v>597500000</v>
      </c>
    </row>
    <row r="3764" spans="1:14" x14ac:dyDescent="0.25">
      <c r="A3764" s="3" t="s">
        <v>3775</v>
      </c>
      <c r="B3764" s="4">
        <v>18.36</v>
      </c>
      <c r="C3764" s="4">
        <v>0.66</v>
      </c>
      <c r="D3764" s="4">
        <v>0.08</v>
      </c>
      <c r="E3764" s="4">
        <v>-1.9859893855427101E-2</v>
      </c>
      <c r="F3764" s="3">
        <v>3762</v>
      </c>
      <c r="G3764" s="3">
        <v>3</v>
      </c>
      <c r="H3764" s="5">
        <v>104982760480.08</v>
      </c>
      <c r="I3764" s="5">
        <v>110380160480.08</v>
      </c>
      <c r="J3764" s="5">
        <v>8745200000</v>
      </c>
      <c r="K3764" s="5">
        <v>3347800000</v>
      </c>
      <c r="L3764" s="5">
        <v>20560900000</v>
      </c>
      <c r="M3764" s="5">
        <v>6010700000</v>
      </c>
      <c r="N3764" s="5">
        <v>4079700000</v>
      </c>
    </row>
    <row r="3765" spans="1:14" x14ac:dyDescent="0.25">
      <c r="A3765" s="3" t="s">
        <v>3776</v>
      </c>
      <c r="B3765" s="4">
        <v>16.09</v>
      </c>
      <c r="C3765" s="4">
        <v>0.17</v>
      </c>
      <c r="D3765" s="4">
        <v>0.13</v>
      </c>
      <c r="E3765" s="4">
        <v>-1.986108577301143E-2</v>
      </c>
      <c r="F3765" s="3">
        <v>3763</v>
      </c>
      <c r="G3765" s="3">
        <v>3</v>
      </c>
      <c r="H3765" s="5">
        <v>4786698430.0799999</v>
      </c>
      <c r="I3765" s="5">
        <v>4626800430.0799999</v>
      </c>
      <c r="J3765" s="5">
        <v>1578000</v>
      </c>
      <c r="K3765" s="5">
        <v>161476000</v>
      </c>
      <c r="L3765" s="5">
        <v>1909122000</v>
      </c>
      <c r="M3765" s="5">
        <v>287587000</v>
      </c>
      <c r="N3765" s="5">
        <v>167347000</v>
      </c>
    </row>
    <row r="3766" spans="1:14" x14ac:dyDescent="0.25">
      <c r="A3766" s="3" t="s">
        <v>3777</v>
      </c>
      <c r="B3766" s="4">
        <v>-0.03</v>
      </c>
      <c r="C3766" s="4">
        <v>-3.19</v>
      </c>
      <c r="D3766" s="4">
        <v>-1.29</v>
      </c>
      <c r="E3766" s="4">
        <v>-1.9866259920186299E-2</v>
      </c>
      <c r="F3766" s="3">
        <v>3764</v>
      </c>
      <c r="G3766" s="3">
        <v>3</v>
      </c>
      <c r="H3766" s="5">
        <v>7251076.4000000004</v>
      </c>
      <c r="I3766" s="5">
        <v>692076.40000000037</v>
      </c>
      <c r="J3766" s="5">
        <v>190000</v>
      </c>
      <c r="K3766" s="5">
        <v>6749000</v>
      </c>
      <c r="L3766" s="5">
        <v>0</v>
      </c>
      <c r="M3766" s="5">
        <v>-22466000</v>
      </c>
      <c r="N3766" s="5">
        <v>-18997000</v>
      </c>
    </row>
    <row r="3767" spans="1:14" x14ac:dyDescent="0.25">
      <c r="A3767" s="3" t="s">
        <v>3778</v>
      </c>
      <c r="B3767" s="4">
        <v>15.76</v>
      </c>
      <c r="C3767" s="4">
        <v>0.1</v>
      </c>
      <c r="D3767" s="4">
        <v>0.03</v>
      </c>
      <c r="E3767" s="4">
        <v>-1.9878387499884131E-2</v>
      </c>
      <c r="F3767" s="3">
        <v>3765</v>
      </c>
      <c r="G3767" s="3">
        <v>3</v>
      </c>
      <c r="H3767" s="5">
        <v>2584752927.9699998</v>
      </c>
      <c r="I3767" s="5">
        <v>3176881927.9699998</v>
      </c>
      <c r="J3767" s="5">
        <v>706784000</v>
      </c>
      <c r="K3767" s="5">
        <v>114655000</v>
      </c>
      <c r="L3767" s="5">
        <v>3794212000</v>
      </c>
      <c r="M3767" s="5">
        <v>201521000</v>
      </c>
      <c r="N3767" s="5">
        <v>55479000</v>
      </c>
    </row>
    <row r="3768" spans="1:14" x14ac:dyDescent="0.25">
      <c r="A3768" s="3" t="s">
        <v>3779</v>
      </c>
      <c r="B3768" s="4">
        <v>15.76</v>
      </c>
      <c r="C3768" s="4">
        <v>0.1</v>
      </c>
      <c r="D3768" s="4">
        <v>0.03</v>
      </c>
      <c r="E3768" s="4">
        <v>-1.9878387499884131E-2</v>
      </c>
      <c r="F3768" s="3">
        <v>3765</v>
      </c>
      <c r="G3768" s="3">
        <v>3</v>
      </c>
      <c r="H3768" s="5">
        <v>25555333308.049999</v>
      </c>
      <c r="I3768" s="5">
        <v>39496333308.050003</v>
      </c>
      <c r="J3768" s="5">
        <v>14037000000</v>
      </c>
      <c r="K3768" s="5">
        <v>96000000</v>
      </c>
      <c r="L3768" s="5">
        <v>4684000000</v>
      </c>
      <c r="M3768" s="5">
        <v>2506000000</v>
      </c>
      <c r="N3768" s="5">
        <v>1051000000</v>
      </c>
    </row>
    <row r="3769" spans="1:14" x14ac:dyDescent="0.25">
      <c r="A3769" s="3" t="s">
        <v>3780</v>
      </c>
      <c r="B3769" s="4">
        <v>15.69</v>
      </c>
      <c r="C3769" s="4">
        <v>0.08</v>
      </c>
      <c r="D3769" s="4">
        <v>0.04</v>
      </c>
      <c r="E3769" s="4">
        <v>-1.9890921247455999E-2</v>
      </c>
      <c r="F3769" s="3">
        <v>3767</v>
      </c>
      <c r="G3769" s="3">
        <v>3</v>
      </c>
      <c r="H3769" s="5">
        <v>3495835412.6799998</v>
      </c>
      <c r="I3769" s="5">
        <v>4265968412.6799998</v>
      </c>
      <c r="J3769" s="5">
        <v>966722000</v>
      </c>
      <c r="K3769" s="5">
        <v>196589000</v>
      </c>
      <c r="L3769" s="5">
        <v>1051606000</v>
      </c>
      <c r="M3769" s="5">
        <v>271829000</v>
      </c>
      <c r="N3769" s="5">
        <v>118655000</v>
      </c>
    </row>
    <row r="3770" spans="1:14" x14ac:dyDescent="0.25">
      <c r="A3770" s="3" t="s">
        <v>3781</v>
      </c>
      <c r="B3770" s="4">
        <v>19.11</v>
      </c>
      <c r="C3770" s="4">
        <v>0.81</v>
      </c>
      <c r="D3770" s="4">
        <v>7.0000000000000007E-2</v>
      </c>
      <c r="E3770" s="4">
        <v>-1.9892609204068538E-2</v>
      </c>
      <c r="F3770" s="3">
        <v>3768</v>
      </c>
      <c r="G3770" s="3">
        <v>3</v>
      </c>
      <c r="H3770" s="5">
        <v>62232659821.800003</v>
      </c>
      <c r="I3770" s="5">
        <v>85096809821.800003</v>
      </c>
      <c r="J3770" s="5">
        <v>24264495000</v>
      </c>
      <c r="K3770" s="5">
        <v>1400345000</v>
      </c>
      <c r="L3770" s="5">
        <v>5963798000</v>
      </c>
      <c r="M3770" s="5">
        <v>4452657000</v>
      </c>
      <c r="N3770" s="5">
        <v>2370896000</v>
      </c>
    </row>
    <row r="3771" spans="1:14" x14ac:dyDescent="0.25">
      <c r="A3771" s="3" t="s">
        <v>3782</v>
      </c>
      <c r="B3771" s="4">
        <v>16.28</v>
      </c>
      <c r="C3771" s="4">
        <v>0.2</v>
      </c>
      <c r="D3771" s="4">
        <v>0.12</v>
      </c>
      <c r="E3771" s="4">
        <v>-1.9893928886790029E-2</v>
      </c>
      <c r="F3771" s="3">
        <v>3769</v>
      </c>
      <c r="G3771" s="3">
        <v>3</v>
      </c>
      <c r="H3771" s="5">
        <v>427616665.80000001</v>
      </c>
      <c r="I3771" s="5">
        <v>750054665.79999995</v>
      </c>
      <c r="J3771" s="5">
        <v>324610000</v>
      </c>
      <c r="K3771" s="5">
        <v>2172000</v>
      </c>
      <c r="L3771" s="5">
        <v>96621000</v>
      </c>
      <c r="M3771" s="5">
        <v>46059000</v>
      </c>
      <c r="N3771" s="5">
        <v>94721000</v>
      </c>
    </row>
    <row r="3772" spans="1:14" x14ac:dyDescent="0.25">
      <c r="A3772" s="3" t="s">
        <v>3783</v>
      </c>
      <c r="B3772" s="4">
        <v>14.88</v>
      </c>
      <c r="C3772" s="4">
        <v>-0.09</v>
      </c>
      <c r="D3772" s="4">
        <v>-0.03</v>
      </c>
      <c r="E3772" s="4">
        <v>-1.9894290091281061E-2</v>
      </c>
      <c r="F3772" s="3">
        <v>3770</v>
      </c>
      <c r="G3772" s="3">
        <v>3</v>
      </c>
      <c r="H3772" s="5">
        <v>14745337.859999999</v>
      </c>
      <c r="I3772" s="5">
        <v>40275337.859999999</v>
      </c>
      <c r="J3772" s="5">
        <v>26283000</v>
      </c>
      <c r="K3772" s="5">
        <v>753000</v>
      </c>
      <c r="L3772" s="5">
        <v>55108000</v>
      </c>
      <c r="M3772" s="5">
        <v>2707000</v>
      </c>
      <c r="N3772" s="5">
        <v>-1366000</v>
      </c>
    </row>
    <row r="3773" spans="1:14" x14ac:dyDescent="0.25">
      <c r="A3773" s="3" t="s">
        <v>3784</v>
      </c>
      <c r="B3773" s="4">
        <v>15.81</v>
      </c>
      <c r="C3773" s="4">
        <v>0.1</v>
      </c>
      <c r="D3773" s="4">
        <v>0.06</v>
      </c>
      <c r="E3773" s="4">
        <v>-1.9903546448637E-2</v>
      </c>
      <c r="F3773" s="3">
        <v>3771</v>
      </c>
      <c r="G3773" s="3">
        <v>3</v>
      </c>
      <c r="H3773" s="5">
        <v>1771685877.8499999</v>
      </c>
      <c r="I3773" s="5">
        <v>1902288877.8499999</v>
      </c>
      <c r="J3773" s="5">
        <v>276198000</v>
      </c>
      <c r="K3773" s="5">
        <v>145595000</v>
      </c>
      <c r="L3773" s="5">
        <v>717301000</v>
      </c>
      <c r="M3773" s="5">
        <v>120295000</v>
      </c>
      <c r="N3773" s="5">
        <v>73714000</v>
      </c>
    </row>
    <row r="3774" spans="1:14" x14ac:dyDescent="0.25">
      <c r="A3774" s="3" t="s">
        <v>3785</v>
      </c>
      <c r="B3774" s="4">
        <v>16.05</v>
      </c>
      <c r="C3774" s="4">
        <v>0.15</v>
      </c>
      <c r="D3774" s="4">
        <v>0.08</v>
      </c>
      <c r="E3774" s="4">
        <v>-1.9903761297139558E-2</v>
      </c>
      <c r="F3774" s="3">
        <v>3772</v>
      </c>
      <c r="G3774" s="3">
        <v>3</v>
      </c>
      <c r="H3774" s="5">
        <v>161297691.44999999</v>
      </c>
      <c r="I3774" s="5">
        <v>188785711.44999999</v>
      </c>
      <c r="J3774" s="5">
        <v>28027000</v>
      </c>
      <c r="K3774" s="5">
        <v>538980</v>
      </c>
      <c r="L3774" s="5">
        <v>47198020</v>
      </c>
      <c r="M3774" s="5">
        <v>11759480</v>
      </c>
      <c r="N3774" s="5">
        <v>6998380</v>
      </c>
    </row>
    <row r="3775" spans="1:14" x14ac:dyDescent="0.25">
      <c r="A3775" s="3" t="s">
        <v>3786</v>
      </c>
      <c r="B3775" s="4">
        <v>10.47</v>
      </c>
      <c r="C3775" s="4">
        <v>-1.02</v>
      </c>
      <c r="D3775" s="4">
        <v>-0.31</v>
      </c>
      <c r="E3775" s="4">
        <v>-1.9905968575384649E-2</v>
      </c>
      <c r="F3775" s="3">
        <v>3773</v>
      </c>
      <c r="G3775" s="3">
        <v>3</v>
      </c>
      <c r="H3775" s="5">
        <v>259282420.80000001</v>
      </c>
      <c r="I3775" s="5">
        <v>350326420.80000001</v>
      </c>
      <c r="J3775" s="5">
        <v>186958000</v>
      </c>
      <c r="K3775" s="5">
        <v>95914000</v>
      </c>
      <c r="L3775" s="5">
        <v>364948000</v>
      </c>
      <c r="M3775" s="5">
        <v>33445000</v>
      </c>
      <c r="N3775" s="5">
        <v>-148908000</v>
      </c>
    </row>
    <row r="3776" spans="1:14" x14ac:dyDescent="0.25">
      <c r="A3776" s="3" t="s">
        <v>3787</v>
      </c>
      <c r="B3776" s="4">
        <v>15.97</v>
      </c>
      <c r="C3776" s="4">
        <v>0.13</v>
      </c>
      <c r="D3776" s="4">
        <v>7.0000000000000007E-2</v>
      </c>
      <c r="E3776" s="4">
        <v>-1.9913963892169369E-2</v>
      </c>
      <c r="F3776" s="3">
        <v>3774</v>
      </c>
      <c r="G3776" s="3">
        <v>3</v>
      </c>
      <c r="H3776" s="5">
        <v>12594914595.719999</v>
      </c>
      <c r="I3776" s="5">
        <v>13934314595.719999</v>
      </c>
      <c r="J3776" s="5">
        <v>1960200000</v>
      </c>
      <c r="K3776" s="5">
        <v>620800000</v>
      </c>
      <c r="L3776" s="5">
        <v>3268800000</v>
      </c>
      <c r="M3776" s="5">
        <v>872500000</v>
      </c>
      <c r="N3776" s="5">
        <v>505000000</v>
      </c>
    </row>
    <row r="3777" spans="1:14" x14ac:dyDescent="0.25">
      <c r="A3777" s="3" t="s">
        <v>3788</v>
      </c>
      <c r="B3777" s="4">
        <v>15.45</v>
      </c>
      <c r="C3777" s="4">
        <v>0.02</v>
      </c>
      <c r="D3777" s="4">
        <v>0.01</v>
      </c>
      <c r="E3777" s="4">
        <v>-1.9921529032545411E-2</v>
      </c>
      <c r="F3777" s="3">
        <v>3775</v>
      </c>
      <c r="G3777" s="3">
        <v>3</v>
      </c>
      <c r="H3777" s="5">
        <v>9551537700</v>
      </c>
      <c r="I3777" s="5">
        <v>10372235700</v>
      </c>
      <c r="J3777" s="5">
        <v>1391548000</v>
      </c>
      <c r="K3777" s="5">
        <v>570850000</v>
      </c>
      <c r="L3777" s="5">
        <v>1978214000</v>
      </c>
      <c r="M3777" s="5">
        <v>671326000</v>
      </c>
      <c r="N3777" s="5">
        <v>83591000</v>
      </c>
    </row>
    <row r="3778" spans="1:14" x14ac:dyDescent="0.25">
      <c r="A3778" s="3" t="s">
        <v>3789</v>
      </c>
      <c r="B3778" s="4">
        <v>14.58</v>
      </c>
      <c r="C3778" s="4">
        <v>-0.17</v>
      </c>
      <c r="D3778" s="4">
        <v>-0.02</v>
      </c>
      <c r="E3778" s="4">
        <v>-1.9937833749906889E-2</v>
      </c>
      <c r="F3778" s="3">
        <v>3776</v>
      </c>
      <c r="G3778" s="3">
        <v>3</v>
      </c>
      <c r="H3778" s="5">
        <v>361293053.69999999</v>
      </c>
      <c r="I3778" s="5">
        <v>4530124053.6999998</v>
      </c>
      <c r="J3778" s="5">
        <v>4300537000</v>
      </c>
      <c r="K3778" s="5">
        <v>131706000</v>
      </c>
      <c r="L3778" s="5">
        <v>442322000</v>
      </c>
      <c r="M3778" s="5">
        <v>310758000</v>
      </c>
      <c r="N3778" s="5">
        <v>-95669000</v>
      </c>
    </row>
    <row r="3779" spans="1:14" x14ac:dyDescent="0.25">
      <c r="A3779" s="3" t="s">
        <v>3790</v>
      </c>
      <c r="B3779" s="4">
        <v>-0.46</v>
      </c>
      <c r="C3779" s="4">
        <v>-3.37</v>
      </c>
      <c r="D3779" s="4">
        <v>-0.38</v>
      </c>
      <c r="E3779" s="4">
        <v>-1.9944667582919171E-2</v>
      </c>
      <c r="F3779" s="3">
        <v>3777</v>
      </c>
      <c r="G3779" s="3">
        <v>3</v>
      </c>
      <c r="H3779" s="5">
        <v>14679331.0176</v>
      </c>
      <c r="I3779" s="5">
        <v>13376331.0176</v>
      </c>
      <c r="J3779" s="5">
        <v>74014000</v>
      </c>
      <c r="K3779" s="5">
        <v>75317000</v>
      </c>
      <c r="L3779" s="5">
        <v>267381000</v>
      </c>
      <c r="M3779" s="5">
        <v>-28856000</v>
      </c>
      <c r="N3779" s="5">
        <v>-95719000</v>
      </c>
    </row>
    <row r="3780" spans="1:14" x14ac:dyDescent="0.25">
      <c r="A3780" s="3" t="s">
        <v>3791</v>
      </c>
      <c r="B3780" s="4">
        <v>15.89</v>
      </c>
      <c r="C3780" s="4">
        <v>0.1</v>
      </c>
      <c r="D3780" s="4">
        <v>7.0000000000000007E-2</v>
      </c>
      <c r="E3780" s="4">
        <v>-1.9951131067636119E-2</v>
      </c>
      <c r="F3780" s="3">
        <v>3778</v>
      </c>
      <c r="G3780" s="3">
        <v>3</v>
      </c>
      <c r="H3780" s="5">
        <v>1936528811.23</v>
      </c>
      <c r="I3780" s="5">
        <v>1997407811.23</v>
      </c>
      <c r="J3780" s="5">
        <v>137000000</v>
      </c>
      <c r="K3780" s="5">
        <v>76121000</v>
      </c>
      <c r="L3780" s="5">
        <v>1307382000</v>
      </c>
      <c r="M3780" s="5">
        <v>125701000</v>
      </c>
      <c r="N3780" s="5">
        <v>101927000</v>
      </c>
    </row>
    <row r="3781" spans="1:14" x14ac:dyDescent="0.25">
      <c r="A3781" s="3" t="s">
        <v>3792</v>
      </c>
      <c r="B3781" s="4">
        <v>16.41</v>
      </c>
      <c r="C3781" s="4">
        <v>0.2</v>
      </c>
      <c r="D3781" s="4">
        <v>0.1</v>
      </c>
      <c r="E3781" s="4">
        <v>-1.9978246614007052E-2</v>
      </c>
      <c r="F3781" s="3">
        <v>3779</v>
      </c>
      <c r="G3781" s="3">
        <v>3</v>
      </c>
      <c r="H3781" s="5">
        <v>3398156689.9200001</v>
      </c>
      <c r="I3781" s="5">
        <v>4184210689.9200001</v>
      </c>
      <c r="J3781" s="5">
        <v>1109212000</v>
      </c>
      <c r="K3781" s="5">
        <v>323158000</v>
      </c>
      <c r="L3781" s="5">
        <v>1262997000</v>
      </c>
      <c r="M3781" s="5">
        <v>254938000</v>
      </c>
      <c r="N3781" s="5">
        <v>359147000</v>
      </c>
    </row>
    <row r="3782" spans="1:14" x14ac:dyDescent="0.25">
      <c r="A3782" s="3" t="s">
        <v>3793</v>
      </c>
      <c r="B3782" s="4">
        <v>-0.08</v>
      </c>
      <c r="C3782" s="4">
        <v>2.93</v>
      </c>
      <c r="D3782" s="4">
        <v>-93.7</v>
      </c>
      <c r="E3782" s="4">
        <v>-1.997856100158435E-2</v>
      </c>
      <c r="F3782" s="3">
        <v>3780</v>
      </c>
      <c r="G3782" s="3">
        <v>3</v>
      </c>
      <c r="H3782" s="5">
        <v>88.841082</v>
      </c>
      <c r="I3782" s="5">
        <v>344758.841082</v>
      </c>
      <c r="J3782" s="5">
        <v>349780</v>
      </c>
      <c r="K3782" s="5">
        <v>5110</v>
      </c>
      <c r="L3782" s="5">
        <v>19900</v>
      </c>
      <c r="M3782" s="5">
        <v>-4238920</v>
      </c>
      <c r="N3782" s="5">
        <v>-6001560</v>
      </c>
    </row>
    <row r="3783" spans="1:14" x14ac:dyDescent="0.25">
      <c r="A3783" s="3" t="s">
        <v>3794</v>
      </c>
      <c r="B3783" s="4">
        <v>-1.1599999999999999</v>
      </c>
      <c r="C3783" s="4">
        <v>-3.47</v>
      </c>
      <c r="D3783" s="4">
        <v>-1.39</v>
      </c>
      <c r="E3783" s="4">
        <v>-1.9995190938596429E-2</v>
      </c>
      <c r="F3783" s="3">
        <v>3781</v>
      </c>
      <c r="G3783" s="3">
        <v>3</v>
      </c>
      <c r="H3783" s="5">
        <v>9762198.5299999993</v>
      </c>
      <c r="I3783" s="5">
        <v>9688508.5299999993</v>
      </c>
      <c r="J3783" s="5">
        <v>1031600</v>
      </c>
      <c r="K3783" s="5">
        <v>1105290</v>
      </c>
      <c r="L3783" s="5">
        <v>9362020</v>
      </c>
      <c r="M3783" s="5">
        <v>-8347820</v>
      </c>
      <c r="N3783" s="5">
        <v>-9039830</v>
      </c>
    </row>
    <row r="3784" spans="1:14" x14ac:dyDescent="0.25">
      <c r="A3784" s="3" t="s">
        <v>3795</v>
      </c>
      <c r="B3784" s="4">
        <v>16.16</v>
      </c>
      <c r="C3784" s="4">
        <v>0.14000000000000001</v>
      </c>
      <c r="D3784" s="4">
        <v>0.05</v>
      </c>
      <c r="E3784" s="4">
        <v>-2.000652324655439E-2</v>
      </c>
      <c r="F3784" s="3">
        <v>3782</v>
      </c>
      <c r="G3784" s="3">
        <v>3</v>
      </c>
      <c r="H3784" s="5">
        <v>8885374079.1000004</v>
      </c>
      <c r="I3784" s="5">
        <v>9714124079.1000004</v>
      </c>
      <c r="J3784" s="5">
        <v>1504191000</v>
      </c>
      <c r="K3784" s="5">
        <v>675441000</v>
      </c>
      <c r="L3784" s="5">
        <v>4557806000</v>
      </c>
      <c r="M3784" s="5">
        <v>601022000</v>
      </c>
      <c r="N3784" s="5">
        <v>282759000</v>
      </c>
    </row>
    <row r="3785" spans="1:14" x14ac:dyDescent="0.25">
      <c r="A3785" s="3" t="s">
        <v>3796</v>
      </c>
      <c r="B3785" s="4">
        <v>13.12</v>
      </c>
      <c r="C3785" s="4">
        <v>-0.5</v>
      </c>
      <c r="D3785" s="4">
        <v>-0.17</v>
      </c>
      <c r="E3785" s="4">
        <v>-2.0016634148273291E-2</v>
      </c>
      <c r="F3785" s="3">
        <v>3783</v>
      </c>
      <c r="G3785" s="3">
        <v>3</v>
      </c>
      <c r="H3785" s="5">
        <v>2927532320</v>
      </c>
      <c r="I3785" s="5">
        <v>11445245320</v>
      </c>
      <c r="J3785" s="5">
        <v>8850048000</v>
      </c>
      <c r="K3785" s="5">
        <v>332335000</v>
      </c>
      <c r="L3785" s="5">
        <v>995547000</v>
      </c>
      <c r="M3785" s="5">
        <v>872617000</v>
      </c>
      <c r="N3785" s="5">
        <v>-2410271000</v>
      </c>
    </row>
    <row r="3786" spans="1:14" x14ac:dyDescent="0.25">
      <c r="A3786" s="3" t="s">
        <v>3797</v>
      </c>
      <c r="B3786" s="4">
        <v>15.75</v>
      </c>
      <c r="C3786" s="4">
        <v>0.05</v>
      </c>
      <c r="D3786" s="4">
        <v>0.02</v>
      </c>
      <c r="E3786" s="4">
        <v>-2.001859535583685E-2</v>
      </c>
      <c r="F3786" s="3">
        <v>3784</v>
      </c>
      <c r="G3786" s="3">
        <v>3</v>
      </c>
      <c r="H3786" s="5">
        <v>4364217548.6000004</v>
      </c>
      <c r="I3786" s="5">
        <v>6721397548.6000004</v>
      </c>
      <c r="J3786" s="5">
        <v>2417648000</v>
      </c>
      <c r="K3786" s="5">
        <v>60468000</v>
      </c>
      <c r="L3786" s="5">
        <v>703235000</v>
      </c>
      <c r="M3786" s="5">
        <v>426651000</v>
      </c>
      <c r="N3786" s="5">
        <v>126712000</v>
      </c>
    </row>
    <row r="3787" spans="1:14" x14ac:dyDescent="0.25">
      <c r="A3787" s="3" t="s">
        <v>3798</v>
      </c>
      <c r="B3787" s="4">
        <v>17.54</v>
      </c>
      <c r="C3787" s="4">
        <v>0.43</v>
      </c>
      <c r="D3787" s="4">
        <v>0.05</v>
      </c>
      <c r="E3787" s="4">
        <v>-2.0022719029331799E-2</v>
      </c>
      <c r="F3787" s="3">
        <v>3785</v>
      </c>
      <c r="G3787" s="3">
        <v>3</v>
      </c>
      <c r="H3787" s="5">
        <v>73443380050.5</v>
      </c>
      <c r="I3787" s="5">
        <v>89389380050.5</v>
      </c>
      <c r="J3787" s="5">
        <v>17031000000</v>
      </c>
      <c r="K3787" s="5">
        <v>1085000000</v>
      </c>
      <c r="L3787" s="5">
        <v>15698000000</v>
      </c>
      <c r="M3787" s="5">
        <v>5095000000</v>
      </c>
      <c r="N3787" s="5">
        <v>2654000000</v>
      </c>
    </row>
    <row r="3788" spans="1:14" x14ac:dyDescent="0.25">
      <c r="A3788" s="3" t="s">
        <v>3799</v>
      </c>
      <c r="B3788" s="4">
        <v>-0.42</v>
      </c>
      <c r="C3788" s="4">
        <v>-3.24</v>
      </c>
      <c r="D3788" s="4">
        <v>-2.62</v>
      </c>
      <c r="E3788" s="4">
        <v>-2.002590946788085E-2</v>
      </c>
      <c r="F3788" s="3">
        <v>3786</v>
      </c>
      <c r="G3788" s="3">
        <v>3</v>
      </c>
      <c r="H3788" s="5">
        <v>7257881.4874999998</v>
      </c>
      <c r="I3788" s="5">
        <v>3507351.4874999998</v>
      </c>
      <c r="J3788" s="5">
        <v>0</v>
      </c>
      <c r="K3788" s="5">
        <v>3750530</v>
      </c>
      <c r="L3788" s="5">
        <v>0</v>
      </c>
      <c r="M3788" s="5">
        <v>-8283890</v>
      </c>
      <c r="N3788" s="5">
        <v>-13197450</v>
      </c>
    </row>
    <row r="3789" spans="1:14" x14ac:dyDescent="0.25">
      <c r="A3789" s="3" t="s">
        <v>3800</v>
      </c>
      <c r="B3789" s="4">
        <v>15.72</v>
      </c>
      <c r="C3789" s="4">
        <v>0.04</v>
      </c>
      <c r="D3789" s="4">
        <v>0.03</v>
      </c>
      <c r="E3789" s="4">
        <v>-2.002699231918257E-2</v>
      </c>
      <c r="F3789" s="3">
        <v>3787</v>
      </c>
      <c r="G3789" s="3">
        <v>3</v>
      </c>
      <c r="H3789" s="5">
        <v>6098423146.3000002</v>
      </c>
      <c r="I3789" s="5">
        <v>6229888146.3000002</v>
      </c>
      <c r="J3789" s="5">
        <v>856389000</v>
      </c>
      <c r="K3789" s="5">
        <v>724924000</v>
      </c>
      <c r="L3789" s="5">
        <v>2190768000</v>
      </c>
      <c r="M3789" s="5">
        <v>396269000</v>
      </c>
      <c r="N3789" s="5">
        <v>100190000</v>
      </c>
    </row>
    <row r="3790" spans="1:14" x14ac:dyDescent="0.25">
      <c r="A3790" s="3" t="s">
        <v>3801</v>
      </c>
      <c r="B3790" s="4">
        <v>16.11</v>
      </c>
      <c r="C3790" s="4">
        <v>0.12</v>
      </c>
      <c r="D3790" s="4">
        <v>0.03</v>
      </c>
      <c r="E3790" s="4">
        <v>-2.0037222485252928E-2</v>
      </c>
      <c r="F3790" s="3">
        <v>3788</v>
      </c>
      <c r="G3790" s="3">
        <v>3</v>
      </c>
      <c r="H3790" s="5">
        <v>36384162086.199997</v>
      </c>
      <c r="I3790" s="5">
        <v>56701362086.199997</v>
      </c>
      <c r="J3790" s="5">
        <v>20327000000</v>
      </c>
      <c r="K3790" s="5">
        <v>9800000</v>
      </c>
      <c r="L3790" s="5">
        <v>8599900000</v>
      </c>
      <c r="M3790" s="5">
        <v>3519600000</v>
      </c>
      <c r="N3790" s="5">
        <v>1528400000</v>
      </c>
    </row>
    <row r="3791" spans="1:14" x14ac:dyDescent="0.25">
      <c r="A3791" s="3" t="s">
        <v>3802</v>
      </c>
      <c r="B3791" s="4">
        <v>15.74</v>
      </c>
      <c r="C3791" s="4">
        <v>0.04</v>
      </c>
      <c r="D3791" s="4">
        <v>0.01</v>
      </c>
      <c r="E3791" s="4">
        <v>-2.0043228783731739E-2</v>
      </c>
      <c r="F3791" s="3">
        <v>3789</v>
      </c>
      <c r="G3791" s="3">
        <v>3</v>
      </c>
      <c r="H3791" s="5">
        <v>6989489834.1800003</v>
      </c>
      <c r="I3791" s="5">
        <v>6687851834.1800003</v>
      </c>
      <c r="J3791" s="5">
        <v>46719000</v>
      </c>
      <c r="K3791" s="5">
        <v>348357000</v>
      </c>
      <c r="L3791" s="5">
        <v>1106556000</v>
      </c>
      <c r="M3791" s="5">
        <v>424787000</v>
      </c>
      <c r="N3791" s="5">
        <v>34150000</v>
      </c>
    </row>
    <row r="3792" spans="1:14" x14ac:dyDescent="0.25">
      <c r="A3792" s="3" t="s">
        <v>3803</v>
      </c>
      <c r="B3792" s="4">
        <v>16.34</v>
      </c>
      <c r="C3792" s="4">
        <v>0.17</v>
      </c>
      <c r="D3792" s="4">
        <v>-0.03</v>
      </c>
      <c r="E3792" s="4">
        <v>-2.0046680340678458E-2</v>
      </c>
      <c r="F3792" s="3">
        <v>3790</v>
      </c>
      <c r="G3792" s="3">
        <v>3</v>
      </c>
      <c r="H3792" s="5">
        <v>2472721683.1999998</v>
      </c>
      <c r="I3792" s="5">
        <v>3887351683.1999998</v>
      </c>
      <c r="J3792" s="5">
        <v>1529133000</v>
      </c>
      <c r="K3792" s="5">
        <v>114503000</v>
      </c>
      <c r="L3792" s="5">
        <v>2400395000</v>
      </c>
      <c r="M3792" s="5">
        <v>237905000</v>
      </c>
      <c r="N3792" s="5">
        <v>-58288000</v>
      </c>
    </row>
    <row r="3793" spans="1:14" x14ac:dyDescent="0.25">
      <c r="A3793" s="3" t="s">
        <v>3804</v>
      </c>
      <c r="B3793" s="4">
        <v>16.239999999999998</v>
      </c>
      <c r="C3793" s="4">
        <v>0.14000000000000001</v>
      </c>
      <c r="D3793" s="4">
        <v>7.0000000000000007E-2</v>
      </c>
      <c r="E3793" s="4">
        <v>-2.0052178838976E-2</v>
      </c>
      <c r="F3793" s="3">
        <v>3791</v>
      </c>
      <c r="G3793" s="3">
        <v>3</v>
      </c>
      <c r="H3793" s="5">
        <v>1013227045.6</v>
      </c>
      <c r="I3793" s="5">
        <v>1881273045.5999999</v>
      </c>
      <c r="J3793" s="5">
        <v>877673000</v>
      </c>
      <c r="K3793" s="5">
        <v>9627000</v>
      </c>
      <c r="L3793" s="5">
        <v>237691000</v>
      </c>
      <c r="M3793" s="5">
        <v>115845000</v>
      </c>
      <c r="N3793" s="5">
        <v>115596000</v>
      </c>
    </row>
    <row r="3794" spans="1:14" x14ac:dyDescent="0.25">
      <c r="A3794" s="3" t="s">
        <v>3805</v>
      </c>
      <c r="B3794" s="4">
        <v>17.09</v>
      </c>
      <c r="C3794" s="4">
        <v>0.32</v>
      </c>
      <c r="D3794" s="4">
        <v>0.1</v>
      </c>
      <c r="E3794" s="4">
        <v>-2.0052389317234819E-2</v>
      </c>
      <c r="F3794" s="3">
        <v>3792</v>
      </c>
      <c r="G3794" s="3">
        <v>3</v>
      </c>
      <c r="H3794" s="5">
        <v>48798419910</v>
      </c>
      <c r="I3794" s="5">
        <v>52276419910</v>
      </c>
      <c r="J3794" s="5">
        <v>4152000000</v>
      </c>
      <c r="K3794" s="5">
        <v>674000000</v>
      </c>
      <c r="L3794" s="5">
        <v>30762000000</v>
      </c>
      <c r="M3794" s="5">
        <v>3059000000</v>
      </c>
      <c r="N3794" s="5">
        <v>1856000000</v>
      </c>
    </row>
    <row r="3795" spans="1:14" x14ac:dyDescent="0.25">
      <c r="A3795" s="3" t="s">
        <v>3806</v>
      </c>
      <c r="B3795" s="4">
        <v>17.239999999999998</v>
      </c>
      <c r="C3795" s="4">
        <v>0.35</v>
      </c>
      <c r="D3795" s="4">
        <v>0.13</v>
      </c>
      <c r="E3795" s="4">
        <v>-2.0052759501915079E-2</v>
      </c>
      <c r="F3795" s="3">
        <v>3793</v>
      </c>
      <c r="G3795" s="3">
        <v>3</v>
      </c>
      <c r="H3795" s="5">
        <v>12566327813.120001</v>
      </c>
      <c r="I3795" s="5">
        <v>13450140813.120001</v>
      </c>
      <c r="J3795" s="5">
        <v>1261075000</v>
      </c>
      <c r="K3795" s="5">
        <v>377262000</v>
      </c>
      <c r="L3795" s="5">
        <v>4008670000</v>
      </c>
      <c r="M3795" s="5">
        <v>780024000</v>
      </c>
      <c r="N3795" s="5">
        <v>466108000</v>
      </c>
    </row>
    <row r="3796" spans="1:14" x14ac:dyDescent="0.25">
      <c r="A3796" s="3" t="s">
        <v>3807</v>
      </c>
      <c r="B3796" s="4">
        <v>-1.19</v>
      </c>
      <c r="C3796" s="4">
        <v>-3.54</v>
      </c>
      <c r="D3796" s="4">
        <v>-0.74</v>
      </c>
      <c r="E3796" s="4">
        <v>-2.0053491843068521E-2</v>
      </c>
      <c r="F3796" s="3">
        <v>3794</v>
      </c>
      <c r="G3796" s="3">
        <v>3</v>
      </c>
      <c r="H3796" s="5">
        <v>16743.997200000002</v>
      </c>
      <c r="I3796" s="5">
        <v>355623.99719999998</v>
      </c>
      <c r="J3796" s="5">
        <v>344000</v>
      </c>
      <c r="K3796" s="5">
        <v>5120</v>
      </c>
      <c r="L3796" s="5">
        <v>0</v>
      </c>
      <c r="M3796" s="5">
        <v>-297790</v>
      </c>
      <c r="N3796" s="5">
        <v>-377230</v>
      </c>
    </row>
    <row r="3797" spans="1:14" x14ac:dyDescent="0.25">
      <c r="A3797" s="3" t="s">
        <v>3808</v>
      </c>
      <c r="B3797" s="4">
        <v>15.76</v>
      </c>
      <c r="C3797" s="4">
        <v>0.04</v>
      </c>
      <c r="D3797" s="4">
        <v>0.01</v>
      </c>
      <c r="E3797" s="4">
        <v>-2.0055607195125891E-2</v>
      </c>
      <c r="F3797" s="3">
        <v>3795</v>
      </c>
      <c r="G3797" s="3">
        <v>3</v>
      </c>
      <c r="H3797" s="5">
        <v>574114332.96000004</v>
      </c>
      <c r="I3797" s="5">
        <v>369066332.95999998</v>
      </c>
      <c r="J3797" s="5">
        <v>0</v>
      </c>
      <c r="K3797" s="5">
        <v>205048000</v>
      </c>
      <c r="L3797" s="5">
        <v>289235000</v>
      </c>
      <c r="M3797" s="5">
        <v>23419000</v>
      </c>
      <c r="N3797" s="5">
        <v>2362000</v>
      </c>
    </row>
    <row r="3798" spans="1:14" x14ac:dyDescent="0.25">
      <c r="A3798" s="3" t="s">
        <v>3809</v>
      </c>
      <c r="B3798" s="4">
        <v>0.05</v>
      </c>
      <c r="C3798" s="4">
        <v>-3.2</v>
      </c>
      <c r="D3798" s="4">
        <v>-1.92</v>
      </c>
      <c r="E3798" s="4">
        <v>-2.006619584716025E-2</v>
      </c>
      <c r="F3798" s="3">
        <v>3796</v>
      </c>
      <c r="G3798" s="3">
        <v>3</v>
      </c>
      <c r="H3798" s="5">
        <v>6286732.932</v>
      </c>
      <c r="I3798" s="5">
        <v>-980267.06799999997</v>
      </c>
      <c r="J3798" s="5">
        <v>17000</v>
      </c>
      <c r="K3798" s="5">
        <v>7284000</v>
      </c>
      <c r="L3798" s="5">
        <v>0</v>
      </c>
      <c r="M3798" s="5">
        <v>-19792000</v>
      </c>
      <c r="N3798" s="5">
        <v>-24251000</v>
      </c>
    </row>
    <row r="3799" spans="1:14" x14ac:dyDescent="0.25">
      <c r="A3799" s="3" t="s">
        <v>3810</v>
      </c>
      <c r="B3799" s="4">
        <v>16.23</v>
      </c>
      <c r="C3799" s="4">
        <v>0.13</v>
      </c>
      <c r="D3799" s="4">
        <v>0.06</v>
      </c>
      <c r="E3799" s="4">
        <v>-2.0076812266870889E-2</v>
      </c>
      <c r="F3799" s="3">
        <v>3797</v>
      </c>
      <c r="G3799" s="3">
        <v>3</v>
      </c>
      <c r="H3799" s="5">
        <v>12995454914.700001</v>
      </c>
      <c r="I3799" s="5">
        <v>15807213914.700001</v>
      </c>
      <c r="J3799" s="5">
        <v>2917940000</v>
      </c>
      <c r="K3799" s="5">
        <v>106181000</v>
      </c>
      <c r="L3799" s="5">
        <v>8627824000</v>
      </c>
      <c r="M3799" s="5">
        <v>973785000</v>
      </c>
      <c r="N3799" s="5">
        <v>499830000</v>
      </c>
    </row>
    <row r="3800" spans="1:14" x14ac:dyDescent="0.25">
      <c r="A3800" s="3" t="s">
        <v>3811</v>
      </c>
      <c r="B3800" s="4">
        <v>16.12</v>
      </c>
      <c r="C3800" s="4">
        <v>0.1</v>
      </c>
      <c r="D3800" s="4">
        <v>0.05</v>
      </c>
      <c r="E3800" s="4">
        <v>-2.0097340851823919E-2</v>
      </c>
      <c r="F3800" s="3">
        <v>3798</v>
      </c>
      <c r="G3800" s="3">
        <v>3</v>
      </c>
      <c r="H3800" s="5">
        <v>904266987.58000004</v>
      </c>
      <c r="I3800" s="5">
        <v>2242974987.5799999</v>
      </c>
      <c r="J3800" s="5">
        <v>1390270000</v>
      </c>
      <c r="K3800" s="5">
        <v>51562000</v>
      </c>
      <c r="L3800" s="5">
        <v>292653000</v>
      </c>
      <c r="M3800" s="5">
        <v>139152000</v>
      </c>
      <c r="N3800" s="5">
        <v>119418000</v>
      </c>
    </row>
    <row r="3801" spans="1:14" x14ac:dyDescent="0.25">
      <c r="A3801" s="3" t="s">
        <v>3812</v>
      </c>
      <c r="B3801" s="4">
        <v>16.12</v>
      </c>
      <c r="C3801" s="4">
        <v>0.1</v>
      </c>
      <c r="D3801" s="4">
        <v>0.03</v>
      </c>
      <c r="E3801" s="4">
        <v>-2.0101198904978929E-2</v>
      </c>
      <c r="F3801" s="3">
        <v>3799</v>
      </c>
      <c r="G3801" s="3">
        <v>3</v>
      </c>
      <c r="H3801" s="5">
        <v>17184032491.5</v>
      </c>
      <c r="I3801" s="5">
        <v>27698032491.5</v>
      </c>
      <c r="J3801" s="5">
        <v>10595000000</v>
      </c>
      <c r="K3801" s="5">
        <v>81000000</v>
      </c>
      <c r="L3801" s="5">
        <v>3981000000</v>
      </c>
      <c r="M3801" s="5">
        <v>1718000000</v>
      </c>
      <c r="N3801" s="5">
        <v>690000000</v>
      </c>
    </row>
    <row r="3802" spans="1:14" x14ac:dyDescent="0.25">
      <c r="A3802" s="3" t="s">
        <v>3813</v>
      </c>
      <c r="B3802" s="4">
        <v>16.079999999999998</v>
      </c>
      <c r="C3802" s="4">
        <v>0.09</v>
      </c>
      <c r="D3802" s="4">
        <v>0.04</v>
      </c>
      <c r="E3802" s="4">
        <v>-2.0103406662627561E-2</v>
      </c>
      <c r="F3802" s="3">
        <v>3800</v>
      </c>
      <c r="G3802" s="3">
        <v>3</v>
      </c>
      <c r="H3802" s="5">
        <v>15045003847</v>
      </c>
      <c r="I3802" s="5">
        <v>19982942847</v>
      </c>
      <c r="J3802" s="5">
        <v>4980957000</v>
      </c>
      <c r="K3802" s="5">
        <v>43018000</v>
      </c>
      <c r="L3802" s="5">
        <v>2191015000</v>
      </c>
      <c r="M3802" s="5">
        <v>1242367000</v>
      </c>
      <c r="N3802" s="5">
        <v>527543000</v>
      </c>
    </row>
    <row r="3803" spans="1:14" x14ac:dyDescent="0.25">
      <c r="A3803" s="3" t="s">
        <v>3814</v>
      </c>
      <c r="B3803" s="4">
        <v>15.82</v>
      </c>
      <c r="C3803" s="4">
        <v>0.03</v>
      </c>
      <c r="D3803" s="4">
        <v>0.02</v>
      </c>
      <c r="E3803" s="4">
        <v>-2.0119707009745309E-2</v>
      </c>
      <c r="F3803" s="3">
        <v>3801</v>
      </c>
      <c r="G3803" s="3">
        <v>3</v>
      </c>
      <c r="H3803" s="5">
        <v>10879744663.139999</v>
      </c>
      <c r="I3803" s="5">
        <v>14344290663.139999</v>
      </c>
      <c r="J3803" s="5">
        <v>3485591000</v>
      </c>
      <c r="K3803" s="5">
        <v>21045000</v>
      </c>
      <c r="L3803" s="5">
        <v>1543842000</v>
      </c>
      <c r="M3803" s="5">
        <v>906938000</v>
      </c>
      <c r="N3803" s="5">
        <v>163293000</v>
      </c>
    </row>
    <row r="3804" spans="1:14" x14ac:dyDescent="0.25">
      <c r="A3804" s="3" t="s">
        <v>3815</v>
      </c>
      <c r="B3804" s="4">
        <v>15.97</v>
      </c>
      <c r="C3804" s="4">
        <v>0.06</v>
      </c>
      <c r="D3804" s="4">
        <v>0.03</v>
      </c>
      <c r="E3804" s="4">
        <v>-2.012393524758059E-2</v>
      </c>
      <c r="F3804" s="3">
        <v>3802</v>
      </c>
      <c r="G3804" s="3">
        <v>3</v>
      </c>
      <c r="H3804" s="5">
        <v>10731175963.200001</v>
      </c>
      <c r="I3804" s="5">
        <v>14584175963.200001</v>
      </c>
      <c r="J3804" s="5">
        <v>4321000000</v>
      </c>
      <c r="K3804" s="5">
        <v>468000000</v>
      </c>
      <c r="L3804" s="5">
        <v>4439000000</v>
      </c>
      <c r="M3804" s="5">
        <v>913000000</v>
      </c>
      <c r="N3804" s="5">
        <v>338000000</v>
      </c>
    </row>
    <row r="3805" spans="1:14" x14ac:dyDescent="0.25">
      <c r="A3805" s="3" t="s">
        <v>3816</v>
      </c>
      <c r="B3805" s="4">
        <v>3.7</v>
      </c>
      <c r="C3805" s="4">
        <v>-2.54</v>
      </c>
      <c r="D3805" s="4">
        <v>-0.41</v>
      </c>
      <c r="E3805" s="4">
        <v>-2.0126994850435901E-2</v>
      </c>
      <c r="F3805" s="3">
        <v>3803</v>
      </c>
      <c r="G3805" s="3">
        <v>3</v>
      </c>
      <c r="H3805" s="5">
        <v>30600174.949999999</v>
      </c>
      <c r="I3805" s="5">
        <v>29581174.949999999</v>
      </c>
      <c r="J3805" s="5">
        <v>19168000</v>
      </c>
      <c r="K3805" s="5">
        <v>20187000</v>
      </c>
      <c r="L3805" s="5">
        <v>418796000</v>
      </c>
      <c r="M3805" s="5">
        <v>7994000</v>
      </c>
      <c r="N3805" s="5">
        <v>-71642000</v>
      </c>
    </row>
    <row r="3806" spans="1:14" x14ac:dyDescent="0.25">
      <c r="A3806" s="3" t="s">
        <v>3817</v>
      </c>
      <c r="B3806" s="4">
        <v>13.47</v>
      </c>
      <c r="C3806" s="4">
        <v>-0.49</v>
      </c>
      <c r="D3806" s="4">
        <v>0.16</v>
      </c>
      <c r="E3806" s="4">
        <v>-2.0140704863598841E-2</v>
      </c>
      <c r="F3806" s="3">
        <v>3804</v>
      </c>
      <c r="G3806" s="3">
        <v>3</v>
      </c>
      <c r="H3806" s="5">
        <v>131429316486.75</v>
      </c>
      <c r="I3806" s="5">
        <v>165155316486.75</v>
      </c>
      <c r="J3806" s="5">
        <v>35487000000</v>
      </c>
      <c r="K3806" s="5">
        <v>1761000000</v>
      </c>
      <c r="L3806" s="5">
        <v>83674000000</v>
      </c>
      <c r="M3806" s="5">
        <v>12261000000</v>
      </c>
      <c r="N3806" s="5">
        <v>6957000000</v>
      </c>
    </row>
    <row r="3807" spans="1:14" x14ac:dyDescent="0.25">
      <c r="A3807" s="3" t="s">
        <v>3818</v>
      </c>
      <c r="B3807" s="4">
        <v>16.489999999999998</v>
      </c>
      <c r="C3807" s="4">
        <v>0.16</v>
      </c>
      <c r="D3807" s="4">
        <v>0.11</v>
      </c>
      <c r="E3807" s="4">
        <v>-2.0141405661063989E-2</v>
      </c>
      <c r="F3807" s="3">
        <v>3805</v>
      </c>
      <c r="G3807" s="3">
        <v>3</v>
      </c>
      <c r="H3807" s="5">
        <v>29766205231.990002</v>
      </c>
      <c r="I3807" s="5">
        <v>29880417231.990002</v>
      </c>
      <c r="J3807" s="5">
        <v>640792000</v>
      </c>
      <c r="K3807" s="5">
        <v>526580000</v>
      </c>
      <c r="L3807" s="5">
        <v>4206289000</v>
      </c>
      <c r="M3807" s="5">
        <v>1811635000</v>
      </c>
      <c r="N3807" s="5">
        <v>1292044000</v>
      </c>
    </row>
    <row r="3808" spans="1:14" x14ac:dyDescent="0.25">
      <c r="A3808" s="3" t="s">
        <v>3819</v>
      </c>
      <c r="B3808" s="4">
        <v>16.16</v>
      </c>
      <c r="C3808" s="4">
        <v>0.09</v>
      </c>
      <c r="D3808" s="4">
        <v>0.06</v>
      </c>
      <c r="E3808" s="4">
        <v>-2.0149062255049172E-2</v>
      </c>
      <c r="F3808" s="3">
        <v>3806</v>
      </c>
      <c r="G3808" s="3">
        <v>3</v>
      </c>
      <c r="H3808" s="5">
        <v>157068828.99000001</v>
      </c>
      <c r="I3808" s="5">
        <v>214036998.99000001</v>
      </c>
      <c r="J3808" s="5">
        <v>57000000</v>
      </c>
      <c r="K3808" s="5">
        <v>31830</v>
      </c>
      <c r="L3808" s="5">
        <v>17976910</v>
      </c>
      <c r="M3808" s="5">
        <v>13245230</v>
      </c>
      <c r="N3808" s="5">
        <v>14982810</v>
      </c>
    </row>
    <row r="3809" spans="1:14" x14ac:dyDescent="0.25">
      <c r="A3809" s="3" t="s">
        <v>3820</v>
      </c>
      <c r="B3809" s="4">
        <v>0.08</v>
      </c>
      <c r="C3809" s="4">
        <v>-3.27</v>
      </c>
      <c r="D3809" s="4">
        <v>-1.35</v>
      </c>
      <c r="E3809" s="4">
        <v>-2.017706419843485E-2</v>
      </c>
      <c r="F3809" s="3">
        <v>3807</v>
      </c>
      <c r="G3809" s="3">
        <v>3</v>
      </c>
      <c r="H3809" s="5">
        <v>22560970.149999999</v>
      </c>
      <c r="I3809" s="5">
        <v>-2563029.850000001</v>
      </c>
      <c r="J3809" s="5">
        <v>0</v>
      </c>
      <c r="K3809" s="5">
        <v>25124000</v>
      </c>
      <c r="L3809" s="5">
        <v>107000</v>
      </c>
      <c r="M3809" s="5">
        <v>-32482000</v>
      </c>
      <c r="N3809" s="5">
        <v>-74754000</v>
      </c>
    </row>
    <row r="3810" spans="1:14" x14ac:dyDescent="0.25">
      <c r="A3810" s="3" t="s">
        <v>3821</v>
      </c>
      <c r="B3810" s="4">
        <v>16.420000000000002</v>
      </c>
      <c r="C3810" s="4">
        <v>0.13</v>
      </c>
      <c r="D3810" s="4">
        <v>0.05</v>
      </c>
      <c r="E3810" s="4">
        <v>-2.0196336201692859E-2</v>
      </c>
      <c r="F3810" s="3">
        <v>3808</v>
      </c>
      <c r="G3810" s="3">
        <v>3</v>
      </c>
      <c r="H3810" s="5">
        <v>2852364444.6599998</v>
      </c>
      <c r="I3810" s="5">
        <v>3755470444.6599998</v>
      </c>
      <c r="J3810" s="5">
        <v>929767000</v>
      </c>
      <c r="K3810" s="5">
        <v>26661000</v>
      </c>
      <c r="L3810" s="5">
        <v>595459000</v>
      </c>
      <c r="M3810" s="5">
        <v>228709000</v>
      </c>
      <c r="N3810" s="5">
        <v>119268000</v>
      </c>
    </row>
    <row r="3811" spans="1:14" x14ac:dyDescent="0.25">
      <c r="A3811" s="3" t="s">
        <v>3822</v>
      </c>
      <c r="B3811" s="4">
        <v>0.11</v>
      </c>
      <c r="C3811" s="4">
        <v>-3.23</v>
      </c>
      <c r="D3811" s="4">
        <v>-2.1</v>
      </c>
      <c r="E3811" s="4">
        <v>-2.0224734380781189E-2</v>
      </c>
      <c r="F3811" s="3">
        <v>3809</v>
      </c>
      <c r="G3811" s="3">
        <v>3</v>
      </c>
      <c r="H3811" s="5">
        <v>4420837.8600000003</v>
      </c>
      <c r="I3811" s="5">
        <v>-2702162.14</v>
      </c>
      <c r="J3811" s="5">
        <v>35000</v>
      </c>
      <c r="K3811" s="5">
        <v>7158000</v>
      </c>
      <c r="L3811" s="5">
        <v>1013000</v>
      </c>
      <c r="M3811" s="5">
        <v>-24056000</v>
      </c>
      <c r="N3811" s="5">
        <v>-23727000</v>
      </c>
    </row>
    <row r="3812" spans="1:14" x14ac:dyDescent="0.25">
      <c r="A3812" s="3" t="s">
        <v>3823</v>
      </c>
      <c r="B3812" s="4">
        <v>16.25</v>
      </c>
      <c r="C3812" s="4">
        <v>0.08</v>
      </c>
      <c r="D3812" s="4">
        <v>0.05</v>
      </c>
      <c r="E3812" s="4">
        <v>-2.023558773991483E-2</v>
      </c>
      <c r="F3812" s="3">
        <v>3810</v>
      </c>
      <c r="G3812" s="3">
        <v>3</v>
      </c>
      <c r="H3812" s="5">
        <v>14295258.836087</v>
      </c>
      <c r="I3812" s="5">
        <v>23849418.836087</v>
      </c>
      <c r="J3812" s="5">
        <v>10201290</v>
      </c>
      <c r="K3812" s="5">
        <v>647130</v>
      </c>
      <c r="L3812" s="5">
        <v>17563990</v>
      </c>
      <c r="M3812" s="5">
        <v>1467380</v>
      </c>
      <c r="N3812" s="5">
        <v>1104210</v>
      </c>
    </row>
    <row r="3813" spans="1:14" x14ac:dyDescent="0.25">
      <c r="A3813" s="3" t="s">
        <v>3824</v>
      </c>
      <c r="B3813" s="4">
        <v>16.72</v>
      </c>
      <c r="C3813" s="4">
        <v>0.18</v>
      </c>
      <c r="D3813" s="4">
        <v>0.03</v>
      </c>
      <c r="E3813" s="4">
        <v>-2.0241402390687911E-2</v>
      </c>
      <c r="F3813" s="3">
        <v>3811</v>
      </c>
      <c r="G3813" s="3">
        <v>3</v>
      </c>
      <c r="H3813" s="5">
        <v>17510699013.209999</v>
      </c>
      <c r="I3813" s="5">
        <v>18447076013.209999</v>
      </c>
      <c r="J3813" s="5">
        <v>2517254000</v>
      </c>
      <c r="K3813" s="5">
        <v>1580877000</v>
      </c>
      <c r="L3813" s="5">
        <v>16105498000</v>
      </c>
      <c r="M3813" s="5">
        <v>1103048000</v>
      </c>
      <c r="N3813" s="5">
        <v>402266000</v>
      </c>
    </row>
    <row r="3814" spans="1:14" x14ac:dyDescent="0.25">
      <c r="A3814" s="3" t="s">
        <v>3825</v>
      </c>
      <c r="B3814" s="4">
        <v>15.65</v>
      </c>
      <c r="C3814" s="4">
        <v>-0.05</v>
      </c>
      <c r="D3814" s="4">
        <v>-0.02</v>
      </c>
      <c r="E3814" s="4">
        <v>-2.0253355475320679E-2</v>
      </c>
      <c r="F3814" s="3">
        <v>3812</v>
      </c>
      <c r="G3814" s="3">
        <v>3</v>
      </c>
      <c r="H3814" s="5">
        <v>5571405302.3199997</v>
      </c>
      <c r="I3814" s="5">
        <v>10050405302.32</v>
      </c>
      <c r="J3814" s="5">
        <v>4784000000</v>
      </c>
      <c r="K3814" s="5">
        <v>305000000</v>
      </c>
      <c r="L3814" s="5">
        <v>4791000000</v>
      </c>
      <c r="M3814" s="5">
        <v>642000000</v>
      </c>
      <c r="N3814" s="5">
        <v>-317000000</v>
      </c>
    </row>
    <row r="3815" spans="1:14" x14ac:dyDescent="0.25">
      <c r="A3815" s="3" t="s">
        <v>3826</v>
      </c>
      <c r="B3815" s="4">
        <v>15.36</v>
      </c>
      <c r="C3815" s="4">
        <v>-0.11</v>
      </c>
      <c r="D3815" s="4">
        <v>-0.06</v>
      </c>
      <c r="E3815" s="4">
        <v>-2.0254946258502209E-2</v>
      </c>
      <c r="F3815" s="3">
        <v>3813</v>
      </c>
      <c r="G3815" s="3">
        <v>3</v>
      </c>
      <c r="H3815" s="5">
        <v>659209862.48000002</v>
      </c>
      <c r="I3815" s="5">
        <v>888609862.48000002</v>
      </c>
      <c r="J3815" s="5">
        <v>273792000</v>
      </c>
      <c r="K3815" s="5">
        <v>44392000</v>
      </c>
      <c r="L3815" s="5">
        <v>362515000</v>
      </c>
      <c r="M3815" s="5">
        <v>57838000</v>
      </c>
      <c r="N3815" s="5">
        <v>-50987000</v>
      </c>
    </row>
    <row r="3816" spans="1:14" x14ac:dyDescent="0.25">
      <c r="A3816" s="3" t="s">
        <v>3827</v>
      </c>
      <c r="B3816" s="4">
        <v>15.35</v>
      </c>
      <c r="C3816" s="4">
        <v>-0.12</v>
      </c>
      <c r="D3816" s="4">
        <v>-0.01</v>
      </c>
      <c r="E3816" s="4">
        <v>-2.0268005526932059E-2</v>
      </c>
      <c r="F3816" s="3">
        <v>3814</v>
      </c>
      <c r="G3816" s="3">
        <v>3</v>
      </c>
      <c r="H3816" s="5">
        <v>1278581500</v>
      </c>
      <c r="I3816" s="5">
        <v>3886513500</v>
      </c>
      <c r="J3816" s="5">
        <v>2816354000</v>
      </c>
      <c r="K3816" s="5">
        <v>208422000</v>
      </c>
      <c r="L3816" s="5">
        <v>6099974000</v>
      </c>
      <c r="M3816" s="5">
        <v>253247000</v>
      </c>
      <c r="N3816" s="5">
        <v>-38637000</v>
      </c>
    </row>
    <row r="3817" spans="1:14" x14ac:dyDescent="0.25">
      <c r="A3817" s="3" t="s">
        <v>3828</v>
      </c>
      <c r="B3817" s="4">
        <v>16.309999999999999</v>
      </c>
      <c r="C3817" s="4">
        <v>0.08</v>
      </c>
      <c r="D3817" s="4">
        <v>0.06</v>
      </c>
      <c r="E3817" s="4">
        <v>-2.0270793947519791E-2</v>
      </c>
      <c r="F3817" s="3">
        <v>3815</v>
      </c>
      <c r="G3817" s="3">
        <v>3</v>
      </c>
      <c r="H3817" s="5">
        <v>540744440.22000003</v>
      </c>
      <c r="I3817" s="5">
        <v>472553440.22000003</v>
      </c>
      <c r="J3817" s="5">
        <v>26176000</v>
      </c>
      <c r="K3817" s="5">
        <v>94367000</v>
      </c>
      <c r="L3817" s="5">
        <v>292984000</v>
      </c>
      <c r="M3817" s="5">
        <v>28981000</v>
      </c>
      <c r="N3817" s="5">
        <v>16960000</v>
      </c>
    </row>
    <row r="3818" spans="1:14" x14ac:dyDescent="0.25">
      <c r="A3818" s="3" t="s">
        <v>3829</v>
      </c>
      <c r="B3818" s="4">
        <v>16.21</v>
      </c>
      <c r="C3818" s="4">
        <v>0.06</v>
      </c>
      <c r="D3818" s="4">
        <v>0.03</v>
      </c>
      <c r="E3818" s="4">
        <v>-2.027247618431045E-2</v>
      </c>
      <c r="F3818" s="3">
        <v>3816</v>
      </c>
      <c r="G3818" s="3">
        <v>3</v>
      </c>
      <c r="H3818" s="5">
        <v>1338722677.95</v>
      </c>
      <c r="I3818" s="5">
        <v>1450889677.95</v>
      </c>
      <c r="J3818" s="5">
        <v>153529000</v>
      </c>
      <c r="K3818" s="5">
        <v>41362000</v>
      </c>
      <c r="L3818" s="5">
        <v>671345000</v>
      </c>
      <c r="M3818" s="5">
        <v>89486000</v>
      </c>
      <c r="N3818" s="5">
        <v>31424000</v>
      </c>
    </row>
    <row r="3819" spans="1:14" x14ac:dyDescent="0.25">
      <c r="A3819" s="3" t="s">
        <v>3830</v>
      </c>
      <c r="B3819" s="4">
        <v>16.41</v>
      </c>
      <c r="C3819" s="4">
        <v>0.1</v>
      </c>
      <c r="D3819" s="4">
        <v>0.06</v>
      </c>
      <c r="E3819" s="4">
        <v>-2.0274898790461651E-2</v>
      </c>
      <c r="F3819" s="3">
        <v>3817</v>
      </c>
      <c r="G3819" s="3">
        <v>3</v>
      </c>
      <c r="H3819" s="5">
        <v>59427621.75</v>
      </c>
      <c r="I3819" s="5">
        <v>76679621.75</v>
      </c>
      <c r="J3819" s="5">
        <v>23276000</v>
      </c>
      <c r="K3819" s="5">
        <v>6024000</v>
      </c>
      <c r="L3819" s="5">
        <v>109497000</v>
      </c>
      <c r="M3819" s="5">
        <v>4673000</v>
      </c>
      <c r="N3819" s="5">
        <v>9279000</v>
      </c>
    </row>
    <row r="3820" spans="1:14" x14ac:dyDescent="0.25">
      <c r="A3820" s="3" t="s">
        <v>3831</v>
      </c>
      <c r="B3820" s="4">
        <v>0.22</v>
      </c>
      <c r="C3820" s="4">
        <v>-3.31</v>
      </c>
      <c r="D3820" s="4">
        <v>-0.82</v>
      </c>
      <c r="E3820" s="4">
        <v>-2.027704909764395E-2</v>
      </c>
      <c r="F3820" s="3">
        <v>3818</v>
      </c>
      <c r="G3820" s="3">
        <v>3</v>
      </c>
      <c r="H3820" s="5">
        <v>42262548.93</v>
      </c>
      <c r="I3820" s="5">
        <v>-13028451.07</v>
      </c>
      <c r="J3820" s="5">
        <v>0</v>
      </c>
      <c r="K3820" s="5">
        <v>55291000</v>
      </c>
      <c r="L3820" s="5">
        <v>6344000</v>
      </c>
      <c r="M3820" s="5">
        <v>-57996000</v>
      </c>
      <c r="N3820" s="5">
        <v>-58241000</v>
      </c>
    </row>
    <row r="3821" spans="1:14" x14ac:dyDescent="0.25">
      <c r="A3821" s="3" t="s">
        <v>3832</v>
      </c>
      <c r="B3821" s="4">
        <v>17.829999999999998</v>
      </c>
      <c r="C3821" s="4">
        <v>0.4</v>
      </c>
      <c r="D3821" s="4">
        <v>0.1</v>
      </c>
      <c r="E3821" s="4">
        <v>-2.0279241682702891E-2</v>
      </c>
      <c r="F3821" s="3">
        <v>3819</v>
      </c>
      <c r="G3821" s="3">
        <v>3</v>
      </c>
      <c r="H3821" s="5">
        <v>41927667659.5</v>
      </c>
      <c r="I3821" s="5">
        <v>45265867659.5</v>
      </c>
      <c r="J3821" s="5">
        <v>4966800000</v>
      </c>
      <c r="K3821" s="5">
        <v>1628600000</v>
      </c>
      <c r="L3821" s="5">
        <v>5571700000</v>
      </c>
      <c r="M3821" s="5">
        <v>2538800000</v>
      </c>
      <c r="N3821" s="5">
        <v>1657300000</v>
      </c>
    </row>
    <row r="3822" spans="1:14" x14ac:dyDescent="0.25">
      <c r="A3822" s="3" t="s">
        <v>3833</v>
      </c>
      <c r="B3822" s="4">
        <v>17.72</v>
      </c>
      <c r="C3822" s="4">
        <v>0.37</v>
      </c>
      <c r="D3822" s="4">
        <v>0.18</v>
      </c>
      <c r="E3822" s="4">
        <v>-2.0282409028458358E-2</v>
      </c>
      <c r="F3822" s="3">
        <v>3820</v>
      </c>
      <c r="G3822" s="3">
        <v>3</v>
      </c>
      <c r="H3822" s="5">
        <v>110393113533.60001</v>
      </c>
      <c r="I3822" s="5">
        <v>113393313533.60001</v>
      </c>
      <c r="J3822" s="5">
        <v>6258300000</v>
      </c>
      <c r="K3822" s="5">
        <v>3258100000</v>
      </c>
      <c r="L3822" s="5">
        <v>11433400000</v>
      </c>
      <c r="M3822" s="5">
        <v>6400600000</v>
      </c>
      <c r="N3822" s="5">
        <v>3376700000</v>
      </c>
    </row>
    <row r="3823" spans="1:14" x14ac:dyDescent="0.25">
      <c r="A3823" s="3" t="s">
        <v>3834</v>
      </c>
      <c r="B3823" s="4">
        <v>16.27</v>
      </c>
      <c r="C3823" s="4">
        <v>7.0000000000000007E-2</v>
      </c>
      <c r="D3823" s="4">
        <v>0.01</v>
      </c>
      <c r="E3823" s="4">
        <v>-2.0284575864633472E-2</v>
      </c>
      <c r="F3823" s="3">
        <v>3821</v>
      </c>
      <c r="G3823" s="3">
        <v>3</v>
      </c>
      <c r="H3823" s="5">
        <v>8739395819.25</v>
      </c>
      <c r="I3823" s="5">
        <v>9790087819.25</v>
      </c>
      <c r="J3823" s="5">
        <v>1887994000</v>
      </c>
      <c r="K3823" s="5">
        <v>837302000</v>
      </c>
      <c r="L3823" s="5">
        <v>1986439000</v>
      </c>
      <c r="M3823" s="5">
        <v>601911000</v>
      </c>
      <c r="N3823" s="5">
        <v>84650000</v>
      </c>
    </row>
    <row r="3824" spans="1:14" x14ac:dyDescent="0.25">
      <c r="A3824" s="3" t="s">
        <v>3835</v>
      </c>
      <c r="B3824" s="4">
        <v>14.55</v>
      </c>
      <c r="C3824" s="4">
        <v>-0.3</v>
      </c>
      <c r="D3824" s="4">
        <v>-0.05</v>
      </c>
      <c r="E3824" s="4">
        <v>-2.0300670103736131E-2</v>
      </c>
      <c r="F3824" s="3">
        <v>3822</v>
      </c>
      <c r="G3824" s="3">
        <v>3</v>
      </c>
      <c r="H3824" s="5">
        <v>1560318988.8</v>
      </c>
      <c r="I3824" s="5">
        <v>8178318988.7999992</v>
      </c>
      <c r="J3824" s="5">
        <v>8539000000</v>
      </c>
      <c r="K3824" s="5">
        <v>1921000000</v>
      </c>
      <c r="L3824" s="5">
        <v>9279000000</v>
      </c>
      <c r="M3824" s="5">
        <v>562000000</v>
      </c>
      <c r="N3824" s="5">
        <v>-795000000</v>
      </c>
    </row>
    <row r="3825" spans="1:14" x14ac:dyDescent="0.25">
      <c r="A3825" s="3" t="s">
        <v>3836</v>
      </c>
      <c r="B3825" s="4">
        <v>16.420000000000002</v>
      </c>
      <c r="C3825" s="4">
        <v>0.09</v>
      </c>
      <c r="D3825" s="4">
        <v>0.03</v>
      </c>
      <c r="E3825" s="4">
        <v>-2.0315768682905709E-2</v>
      </c>
      <c r="F3825" s="3">
        <v>3823</v>
      </c>
      <c r="G3825" s="3">
        <v>3</v>
      </c>
      <c r="H3825" s="5">
        <v>467822981.88</v>
      </c>
      <c r="I3825" s="5">
        <v>673382981.88</v>
      </c>
      <c r="J3825" s="5">
        <v>205561000</v>
      </c>
      <c r="K3825" s="5">
        <v>1000</v>
      </c>
      <c r="L3825" s="5">
        <v>74959000</v>
      </c>
      <c r="M3825" s="5">
        <v>41003000</v>
      </c>
      <c r="N3825" s="5">
        <v>20325000</v>
      </c>
    </row>
    <row r="3826" spans="1:14" x14ac:dyDescent="0.25">
      <c r="A3826" s="3" t="s">
        <v>3837</v>
      </c>
      <c r="B3826" s="4">
        <v>6.24</v>
      </c>
      <c r="C3826" s="4">
        <v>-2.1</v>
      </c>
      <c r="D3826" s="4">
        <v>7.0000000000000007E-2</v>
      </c>
      <c r="E3826" s="4">
        <v>-2.033514111313714E-2</v>
      </c>
      <c r="F3826" s="3">
        <v>3824</v>
      </c>
      <c r="G3826" s="3">
        <v>3</v>
      </c>
      <c r="H3826" s="5">
        <v>24900457310.639999</v>
      </c>
      <c r="I3826" s="5">
        <v>31316457310.639999</v>
      </c>
      <c r="J3826" s="5">
        <v>9669000000</v>
      </c>
      <c r="K3826" s="5">
        <v>3253000000</v>
      </c>
      <c r="L3826" s="5">
        <v>53559000000</v>
      </c>
      <c r="M3826" s="5">
        <v>5021000000</v>
      </c>
      <c r="N3826" s="5">
        <v>2775000000</v>
      </c>
    </row>
    <row r="3827" spans="1:14" x14ac:dyDescent="0.25">
      <c r="A3827" s="3" t="s">
        <v>3838</v>
      </c>
      <c r="B3827" s="4">
        <v>-1.97</v>
      </c>
      <c r="C3827" s="4">
        <v>-3.78</v>
      </c>
      <c r="D3827" s="4">
        <v>-1.1499999999999999</v>
      </c>
      <c r="E3827" s="4">
        <v>-2.034327045672121E-2</v>
      </c>
      <c r="F3827" s="3">
        <v>3825</v>
      </c>
      <c r="G3827" s="3">
        <v>3</v>
      </c>
      <c r="H3827" s="5">
        <v>59329148.909999996</v>
      </c>
      <c r="I3827" s="5">
        <v>51109148.909999996</v>
      </c>
      <c r="J3827" s="5">
        <v>7421000</v>
      </c>
      <c r="K3827" s="5">
        <v>15641000</v>
      </c>
      <c r="L3827" s="5">
        <v>0</v>
      </c>
      <c r="M3827" s="5">
        <v>-26003000</v>
      </c>
      <c r="N3827" s="5">
        <v>-29022000</v>
      </c>
    </row>
    <row r="3828" spans="1:14" x14ac:dyDescent="0.25">
      <c r="A3828" s="3" t="s">
        <v>3839</v>
      </c>
      <c r="B3828" s="4">
        <v>15.65</v>
      </c>
      <c r="C3828" s="4">
        <v>-0.08</v>
      </c>
      <c r="D3828" s="4">
        <v>-0.05</v>
      </c>
      <c r="E3828" s="4">
        <v>-2.034582337609657E-2</v>
      </c>
      <c r="F3828" s="3">
        <v>3826</v>
      </c>
      <c r="G3828" s="3">
        <v>3</v>
      </c>
      <c r="H3828" s="5">
        <v>3950282442.04</v>
      </c>
      <c r="I3828" s="5">
        <v>3905926442.04</v>
      </c>
      <c r="J3828" s="5">
        <v>343526000</v>
      </c>
      <c r="K3828" s="5">
        <v>387882000</v>
      </c>
      <c r="L3828" s="5">
        <v>995618000</v>
      </c>
      <c r="M3828" s="5">
        <v>249634000</v>
      </c>
      <c r="N3828" s="5">
        <v>-261277000</v>
      </c>
    </row>
    <row r="3829" spans="1:14" x14ac:dyDescent="0.25">
      <c r="A3829" s="3" t="s">
        <v>3840</v>
      </c>
      <c r="B3829" s="4">
        <v>16.72</v>
      </c>
      <c r="C3829" s="4">
        <v>0.14000000000000001</v>
      </c>
      <c r="D3829" s="4">
        <v>0.06</v>
      </c>
      <c r="E3829" s="4">
        <v>-2.0351189739013221E-2</v>
      </c>
      <c r="F3829" s="3">
        <v>3827</v>
      </c>
      <c r="G3829" s="3">
        <v>3</v>
      </c>
      <c r="H3829" s="5">
        <v>8603795676.6299992</v>
      </c>
      <c r="I3829" s="5">
        <v>11584449676.629999</v>
      </c>
      <c r="J3829" s="5">
        <v>3052214000</v>
      </c>
      <c r="K3829" s="5">
        <v>71560000</v>
      </c>
      <c r="L3829" s="5">
        <v>1066231000</v>
      </c>
      <c r="M3829" s="5">
        <v>692885000</v>
      </c>
      <c r="N3829" s="5">
        <v>391180000</v>
      </c>
    </row>
    <row r="3830" spans="1:14" x14ac:dyDescent="0.25">
      <c r="A3830" s="3" t="s">
        <v>3841</v>
      </c>
      <c r="B3830" s="4">
        <v>16.78</v>
      </c>
      <c r="C3830" s="4">
        <v>0.15</v>
      </c>
      <c r="D3830" s="4">
        <v>0.06</v>
      </c>
      <c r="E3830" s="4">
        <v>-2.0359431366181228E-2</v>
      </c>
      <c r="F3830" s="3">
        <v>3828</v>
      </c>
      <c r="G3830" s="3">
        <v>3</v>
      </c>
      <c r="H3830" s="5">
        <v>17303174836.830002</v>
      </c>
      <c r="I3830" s="5">
        <v>21458974836.830002</v>
      </c>
      <c r="J3830" s="5">
        <v>4341900000</v>
      </c>
      <c r="K3830" s="5">
        <v>186100000</v>
      </c>
      <c r="L3830" s="5">
        <v>6723700000</v>
      </c>
      <c r="M3830" s="5">
        <v>1278600000</v>
      </c>
      <c r="N3830" s="5">
        <v>788500000</v>
      </c>
    </row>
    <row r="3831" spans="1:14" x14ac:dyDescent="0.25">
      <c r="A3831" s="3" t="s">
        <v>3842</v>
      </c>
      <c r="B3831" s="4">
        <v>-3.07</v>
      </c>
      <c r="C3831" s="4">
        <v>-3.99</v>
      </c>
      <c r="D3831" s="4">
        <v>-1.73</v>
      </c>
      <c r="E3831" s="4">
        <v>-2.0381107118841651E-2</v>
      </c>
      <c r="F3831" s="3">
        <v>3829</v>
      </c>
      <c r="G3831" s="3">
        <v>3</v>
      </c>
      <c r="H3831" s="5">
        <v>25365186.760000002</v>
      </c>
      <c r="I3831" s="5">
        <v>21822466.760000002</v>
      </c>
      <c r="J3831" s="5">
        <v>154150</v>
      </c>
      <c r="K3831" s="5">
        <v>3696870</v>
      </c>
      <c r="L3831" s="5">
        <v>2685930</v>
      </c>
      <c r="M3831" s="5">
        <v>-7118970</v>
      </c>
      <c r="N3831" s="5">
        <v>-8241500</v>
      </c>
    </row>
    <row r="3832" spans="1:14" x14ac:dyDescent="0.25">
      <c r="A3832" s="3" t="s">
        <v>3843</v>
      </c>
      <c r="B3832" s="4">
        <v>0.5</v>
      </c>
      <c r="C3832" s="4">
        <v>-3.19</v>
      </c>
      <c r="D3832" s="4">
        <v>-2.27</v>
      </c>
      <c r="E3832" s="4">
        <v>-2.0383332426726981E-2</v>
      </c>
      <c r="F3832" s="3">
        <v>3830</v>
      </c>
      <c r="G3832" s="3">
        <v>3</v>
      </c>
      <c r="H3832" s="5">
        <v>2526450.48</v>
      </c>
      <c r="I3832" s="5">
        <v>-3972569.52</v>
      </c>
      <c r="J3832" s="5">
        <v>0</v>
      </c>
      <c r="K3832" s="5">
        <v>6499020</v>
      </c>
      <c r="L3832" s="5">
        <v>0</v>
      </c>
      <c r="M3832" s="5">
        <v>-7947190</v>
      </c>
      <c r="N3832" s="5">
        <v>-15038540</v>
      </c>
    </row>
    <row r="3833" spans="1:14" x14ac:dyDescent="0.25">
      <c r="A3833" s="3" t="s">
        <v>3844</v>
      </c>
      <c r="B3833" s="4">
        <v>19.5</v>
      </c>
      <c r="C3833" s="4">
        <v>0.72</v>
      </c>
      <c r="D3833" s="4">
        <v>0.08</v>
      </c>
      <c r="E3833" s="4">
        <v>-2.039210166280718E-2</v>
      </c>
      <c r="F3833" s="3">
        <v>3831</v>
      </c>
      <c r="G3833" s="3">
        <v>3</v>
      </c>
      <c r="H3833" s="5">
        <v>6640923096.8599997</v>
      </c>
      <c r="I3833" s="5">
        <v>6157046096.8599997</v>
      </c>
      <c r="J3833" s="5">
        <v>0</v>
      </c>
      <c r="K3833" s="5">
        <v>483877000</v>
      </c>
      <c r="L3833" s="5">
        <v>1493177000</v>
      </c>
      <c r="M3833" s="5">
        <v>315768000</v>
      </c>
      <c r="N3833" s="5">
        <v>134393000</v>
      </c>
    </row>
    <row r="3834" spans="1:14" x14ac:dyDescent="0.25">
      <c r="A3834" s="3" t="s">
        <v>3845</v>
      </c>
      <c r="B3834" s="4">
        <v>17.22</v>
      </c>
      <c r="C3834" s="4">
        <v>0.23</v>
      </c>
      <c r="D3834" s="4">
        <v>0.1</v>
      </c>
      <c r="E3834" s="4">
        <v>-2.0392891454426951E-2</v>
      </c>
      <c r="F3834" s="3">
        <v>3832</v>
      </c>
      <c r="G3834" s="3">
        <v>3</v>
      </c>
      <c r="H3834" s="5">
        <v>12192897392.870001</v>
      </c>
      <c r="I3834" s="5">
        <v>12604711392.870001</v>
      </c>
      <c r="J3834" s="5">
        <v>775483000</v>
      </c>
      <c r="K3834" s="5">
        <v>363669000</v>
      </c>
      <c r="L3834" s="5">
        <v>5528639000</v>
      </c>
      <c r="M3834" s="5">
        <v>731806000</v>
      </c>
      <c r="N3834" s="5">
        <v>438705000</v>
      </c>
    </row>
    <row r="3835" spans="1:14" x14ac:dyDescent="0.25">
      <c r="A3835" s="3" t="s">
        <v>3846</v>
      </c>
      <c r="B3835" s="4">
        <v>-0.37</v>
      </c>
      <c r="C3835" s="4">
        <v>-3.43</v>
      </c>
      <c r="D3835" s="4">
        <v>-1.55</v>
      </c>
      <c r="E3835" s="4">
        <v>-2.039942818584781E-2</v>
      </c>
      <c r="F3835" s="3">
        <v>3833</v>
      </c>
      <c r="G3835" s="3">
        <v>3</v>
      </c>
      <c r="H3835" s="5">
        <v>10086621.119999999</v>
      </c>
      <c r="I3835" s="5">
        <v>15227621.119999999</v>
      </c>
      <c r="J3835" s="5">
        <v>9806000</v>
      </c>
      <c r="K3835" s="5">
        <v>4665000</v>
      </c>
      <c r="L3835" s="5">
        <v>3705000</v>
      </c>
      <c r="M3835" s="5">
        <v>-41332000</v>
      </c>
      <c r="N3835" s="5">
        <v>-46625000</v>
      </c>
    </row>
    <row r="3836" spans="1:14" x14ac:dyDescent="0.25">
      <c r="A3836" s="3" t="s">
        <v>3847</v>
      </c>
      <c r="B3836" s="4">
        <v>16.829999999999998</v>
      </c>
      <c r="C3836" s="4">
        <v>0.14000000000000001</v>
      </c>
      <c r="D3836" s="4">
        <v>0.06</v>
      </c>
      <c r="E3836" s="4">
        <v>-2.0419271001681071E-2</v>
      </c>
      <c r="F3836" s="3">
        <v>3834</v>
      </c>
      <c r="G3836" s="3">
        <v>3</v>
      </c>
      <c r="H3836" s="5">
        <v>8599383344.2800007</v>
      </c>
      <c r="I3836" s="5">
        <v>8267665344.2800007</v>
      </c>
      <c r="J3836" s="5">
        <v>0</v>
      </c>
      <c r="K3836" s="5">
        <v>331718000</v>
      </c>
      <c r="L3836" s="5">
        <v>3876527000</v>
      </c>
      <c r="M3836" s="5">
        <v>491264000</v>
      </c>
      <c r="N3836" s="5">
        <v>253611000</v>
      </c>
    </row>
    <row r="3837" spans="1:14" x14ac:dyDescent="0.25">
      <c r="A3837" s="3" t="s">
        <v>3848</v>
      </c>
      <c r="B3837" s="4">
        <v>16.93</v>
      </c>
      <c r="C3837" s="4">
        <v>0.16</v>
      </c>
      <c r="D3837" s="4">
        <v>0.06</v>
      </c>
      <c r="E3837" s="4">
        <v>-2.0423375844622931E-2</v>
      </c>
      <c r="F3837" s="3">
        <v>3835</v>
      </c>
      <c r="G3837" s="3">
        <v>3</v>
      </c>
      <c r="H3837" s="5">
        <v>1529847705.21</v>
      </c>
      <c r="I3837" s="5">
        <v>1493651705.21</v>
      </c>
      <c r="J3837" s="5">
        <v>125704000</v>
      </c>
      <c r="K3837" s="5">
        <v>161900000</v>
      </c>
      <c r="L3837" s="5">
        <v>732687000</v>
      </c>
      <c r="M3837" s="5">
        <v>88215000</v>
      </c>
      <c r="N3837" s="5">
        <v>42001000</v>
      </c>
    </row>
    <row r="3838" spans="1:14" x14ac:dyDescent="0.25">
      <c r="A3838" s="3" t="s">
        <v>3849</v>
      </c>
      <c r="B3838" s="4">
        <v>17.28</v>
      </c>
      <c r="C3838" s="4">
        <v>0.23</v>
      </c>
      <c r="D3838" s="4">
        <v>0.12</v>
      </c>
      <c r="E3838" s="4">
        <v>-2.0426168635454399E-2</v>
      </c>
      <c r="F3838" s="3">
        <v>3836</v>
      </c>
      <c r="G3838" s="3">
        <v>3</v>
      </c>
      <c r="H3838" s="5">
        <v>296869617.87</v>
      </c>
      <c r="I3838" s="5">
        <v>499469617.87</v>
      </c>
      <c r="J3838" s="5">
        <v>282200000</v>
      </c>
      <c r="K3838" s="5">
        <v>79600000</v>
      </c>
      <c r="L3838" s="5">
        <v>1383600000</v>
      </c>
      <c r="M3838" s="5">
        <v>28900000</v>
      </c>
      <c r="N3838" s="5">
        <v>196300000</v>
      </c>
    </row>
    <row r="3839" spans="1:14" x14ac:dyDescent="0.25">
      <c r="A3839" s="3" t="s">
        <v>3850</v>
      </c>
      <c r="B3839" s="4">
        <v>16.649999999999999</v>
      </c>
      <c r="C3839" s="4">
        <v>0.1</v>
      </c>
      <c r="D3839" s="4">
        <v>0.04</v>
      </c>
      <c r="E3839" s="4">
        <v>-2.0427297780346521E-2</v>
      </c>
      <c r="F3839" s="3">
        <v>3837</v>
      </c>
      <c r="G3839" s="3">
        <v>3</v>
      </c>
      <c r="H3839" s="5">
        <v>973188054.33000004</v>
      </c>
      <c r="I3839" s="5">
        <v>1352495054.3299999</v>
      </c>
      <c r="J3839" s="5">
        <v>383533000</v>
      </c>
      <c r="K3839" s="5">
        <v>4226000</v>
      </c>
      <c r="L3839" s="5">
        <v>191877000</v>
      </c>
      <c r="M3839" s="5">
        <v>81248000</v>
      </c>
      <c r="N3839" s="5">
        <v>44351000</v>
      </c>
    </row>
    <row r="3840" spans="1:14" x14ac:dyDescent="0.25">
      <c r="A3840" s="3" t="s">
        <v>3851</v>
      </c>
      <c r="B3840" s="4">
        <v>16.23</v>
      </c>
      <c r="C3840" s="4">
        <v>0.01</v>
      </c>
      <c r="D3840" s="4">
        <v>0.01</v>
      </c>
      <c r="E3840" s="4">
        <v>-2.043318068393191E-2</v>
      </c>
      <c r="F3840" s="3">
        <v>3838</v>
      </c>
      <c r="G3840" s="3">
        <v>3</v>
      </c>
      <c r="H3840" s="5">
        <v>1641690130.74</v>
      </c>
      <c r="I3840" s="5">
        <v>1613210130.74</v>
      </c>
      <c r="J3840" s="5">
        <v>340721000</v>
      </c>
      <c r="K3840" s="5">
        <v>369201000</v>
      </c>
      <c r="L3840" s="5">
        <v>1112238000</v>
      </c>
      <c r="M3840" s="5">
        <v>99390000</v>
      </c>
      <c r="N3840" s="5">
        <v>12531000</v>
      </c>
    </row>
    <row r="3841" spans="1:14" x14ac:dyDescent="0.25">
      <c r="A3841" s="3" t="s">
        <v>3852</v>
      </c>
      <c r="B3841" s="4">
        <v>16.59</v>
      </c>
      <c r="C3841" s="4">
        <v>0.08</v>
      </c>
      <c r="D3841" s="4">
        <v>0.04</v>
      </c>
      <c r="E3841" s="4">
        <v>-2.0447949760192971E-2</v>
      </c>
      <c r="F3841" s="3">
        <v>3839</v>
      </c>
      <c r="G3841" s="3">
        <v>3</v>
      </c>
      <c r="H3841" s="5">
        <v>1182096148.8599999</v>
      </c>
      <c r="I3841" s="5">
        <v>2094940148.8599999</v>
      </c>
      <c r="J3841" s="5">
        <v>956065000</v>
      </c>
      <c r="K3841" s="5">
        <v>43221000</v>
      </c>
      <c r="L3841" s="5">
        <v>204439000</v>
      </c>
      <c r="M3841" s="5">
        <v>126312000</v>
      </c>
      <c r="N3841" s="5">
        <v>70548000</v>
      </c>
    </row>
    <row r="3842" spans="1:14" x14ac:dyDescent="0.25">
      <c r="A3842" s="3" t="s">
        <v>3853</v>
      </c>
      <c r="B3842" s="4">
        <v>16.73</v>
      </c>
      <c r="C3842" s="4">
        <v>0.11</v>
      </c>
      <c r="D3842" s="4">
        <v>0.03</v>
      </c>
      <c r="E3842" s="4">
        <v>-2.0449846845486189E-2</v>
      </c>
      <c r="F3842" s="3">
        <v>3840</v>
      </c>
      <c r="G3842" s="3">
        <v>3</v>
      </c>
      <c r="H3842" s="5">
        <v>39862436523.360001</v>
      </c>
      <c r="I3842" s="5">
        <v>62444436523.360001</v>
      </c>
      <c r="J3842" s="5">
        <v>22707000000</v>
      </c>
      <c r="K3842" s="5">
        <v>125000000</v>
      </c>
      <c r="L3842" s="5">
        <v>10290000000</v>
      </c>
      <c r="M3842" s="5">
        <v>3732000000</v>
      </c>
      <c r="N3842" s="5">
        <v>1772000000</v>
      </c>
    </row>
    <row r="3843" spans="1:14" x14ac:dyDescent="0.25">
      <c r="A3843" s="3" t="s">
        <v>3854</v>
      </c>
      <c r="B3843" s="4">
        <v>16.64</v>
      </c>
      <c r="C3843" s="4">
        <v>0.09</v>
      </c>
      <c r="D3843" s="4">
        <v>0.03</v>
      </c>
      <c r="E3843" s="4">
        <v>-2.045193120824141E-2</v>
      </c>
      <c r="F3843" s="3">
        <v>3841</v>
      </c>
      <c r="G3843" s="3">
        <v>3</v>
      </c>
      <c r="H3843" s="5">
        <v>8299176982.1999998</v>
      </c>
      <c r="I3843" s="5">
        <v>12662182982.200001</v>
      </c>
      <c r="J3843" s="5">
        <v>4486415000</v>
      </c>
      <c r="K3843" s="5">
        <v>123409000</v>
      </c>
      <c r="L3843" s="5">
        <v>1202452000</v>
      </c>
      <c r="M3843" s="5">
        <v>760914000</v>
      </c>
      <c r="N3843" s="5">
        <v>295208000</v>
      </c>
    </row>
    <row r="3844" spans="1:14" x14ac:dyDescent="0.25">
      <c r="A3844" s="3" t="s">
        <v>3855</v>
      </c>
      <c r="B3844" s="4">
        <v>18.23</v>
      </c>
      <c r="C3844" s="4">
        <v>0.42</v>
      </c>
      <c r="D3844" s="4">
        <v>0.17</v>
      </c>
      <c r="E3844" s="4">
        <v>-2.0455519510514528E-2</v>
      </c>
      <c r="F3844" s="3">
        <v>3842</v>
      </c>
      <c r="G3844" s="3">
        <v>3</v>
      </c>
      <c r="H3844" s="5">
        <v>42273227660</v>
      </c>
      <c r="I3844" s="5">
        <v>41524690660</v>
      </c>
      <c r="J3844" s="5">
        <v>0</v>
      </c>
      <c r="K3844" s="5">
        <v>748537000</v>
      </c>
      <c r="L3844" s="5">
        <v>11313853000</v>
      </c>
      <c r="M3844" s="5">
        <v>2278312000</v>
      </c>
      <c r="N3844" s="5">
        <v>1534110000</v>
      </c>
    </row>
    <row r="3845" spans="1:14" x14ac:dyDescent="0.25">
      <c r="A3845" s="3" t="s">
        <v>3856</v>
      </c>
      <c r="B3845" s="4">
        <v>16.27</v>
      </c>
      <c r="C3845" s="4">
        <v>0.01</v>
      </c>
      <c r="D3845" s="4">
        <v>0</v>
      </c>
      <c r="E3845" s="4">
        <v>-2.0459866533297729E-2</v>
      </c>
      <c r="F3845" s="3">
        <v>3843</v>
      </c>
      <c r="G3845" s="3">
        <v>3</v>
      </c>
      <c r="H3845" s="5">
        <v>3640212989.79</v>
      </c>
      <c r="I3845" s="5">
        <v>4572212989.79</v>
      </c>
      <c r="J3845" s="5">
        <v>1919000000</v>
      </c>
      <c r="K3845" s="5">
        <v>987000000</v>
      </c>
      <c r="L3845" s="5">
        <v>7610000000</v>
      </c>
      <c r="M3845" s="5">
        <v>281000000</v>
      </c>
      <c r="N3845" s="5">
        <v>7000000</v>
      </c>
    </row>
    <row r="3846" spans="1:14" x14ac:dyDescent="0.25">
      <c r="A3846" s="3" t="s">
        <v>3857</v>
      </c>
      <c r="B3846" s="4">
        <v>18.73</v>
      </c>
      <c r="C3846" s="4">
        <v>0.53</v>
      </c>
      <c r="D3846" s="4">
        <v>0.08</v>
      </c>
      <c r="E3846" s="4">
        <v>-2.0464511357406921E-2</v>
      </c>
      <c r="F3846" s="3">
        <v>3844</v>
      </c>
      <c r="G3846" s="3">
        <v>3</v>
      </c>
      <c r="H3846" s="5">
        <v>46462500</v>
      </c>
      <c r="I3846" s="5">
        <v>48997620</v>
      </c>
      <c r="J3846" s="5">
        <v>5140400</v>
      </c>
      <c r="K3846" s="5">
        <v>2605280</v>
      </c>
      <c r="L3846" s="5">
        <v>11576850</v>
      </c>
      <c r="M3846" s="5">
        <v>2615490</v>
      </c>
      <c r="N3846" s="5">
        <v>1332400</v>
      </c>
    </row>
    <row r="3847" spans="1:14" x14ac:dyDescent="0.25">
      <c r="A3847" s="3" t="s">
        <v>3858</v>
      </c>
      <c r="B3847" s="4">
        <v>18.38</v>
      </c>
      <c r="C3847" s="4">
        <v>0.46</v>
      </c>
      <c r="D3847" s="4">
        <v>0</v>
      </c>
      <c r="E3847" s="4">
        <v>-2.046557661973045E-2</v>
      </c>
      <c r="F3847" s="3">
        <v>3845</v>
      </c>
      <c r="G3847" s="3">
        <v>3</v>
      </c>
      <c r="H3847" s="5">
        <v>62002736.640000001</v>
      </c>
      <c r="I3847" s="5">
        <v>1308446736.6400001</v>
      </c>
      <c r="J3847" s="5">
        <v>1266340000</v>
      </c>
      <c r="K3847" s="5">
        <v>19896000</v>
      </c>
      <c r="L3847" s="5">
        <v>148775000</v>
      </c>
      <c r="M3847" s="5">
        <v>71171000</v>
      </c>
      <c r="N3847" s="5">
        <v>-2500000</v>
      </c>
    </row>
    <row r="3848" spans="1:14" x14ac:dyDescent="0.25">
      <c r="A3848" s="3" t="s">
        <v>3859</v>
      </c>
      <c r="B3848" s="4">
        <v>16.489999999999998</v>
      </c>
      <c r="C3848" s="4">
        <v>0.05</v>
      </c>
      <c r="D3848" s="4">
        <v>0.03</v>
      </c>
      <c r="E3848" s="4">
        <v>-2.0474667550843071E-2</v>
      </c>
      <c r="F3848" s="3">
        <v>3846</v>
      </c>
      <c r="G3848" s="3">
        <v>3</v>
      </c>
      <c r="H3848" s="5">
        <v>1370895031.98</v>
      </c>
      <c r="I3848" s="5">
        <v>1576086031.98</v>
      </c>
      <c r="J3848" s="5">
        <v>242330000</v>
      </c>
      <c r="K3848" s="5">
        <v>37139000</v>
      </c>
      <c r="L3848" s="5">
        <v>786551000</v>
      </c>
      <c r="M3848" s="5">
        <v>95574000</v>
      </c>
      <c r="N3848" s="5">
        <v>31495000</v>
      </c>
    </row>
    <row r="3849" spans="1:14" x14ac:dyDescent="0.25">
      <c r="A3849" s="3" t="s">
        <v>3860</v>
      </c>
      <c r="B3849" s="4">
        <v>16.89</v>
      </c>
      <c r="C3849" s="4">
        <v>0.13</v>
      </c>
      <c r="D3849" s="4">
        <v>0.1</v>
      </c>
      <c r="E3849" s="4">
        <v>-2.047758373656797E-2</v>
      </c>
      <c r="F3849" s="3">
        <v>3847</v>
      </c>
      <c r="G3849" s="3">
        <v>3</v>
      </c>
      <c r="H3849" s="5">
        <v>4037682734.7600002</v>
      </c>
      <c r="I3849" s="5">
        <v>3811837734.7600002</v>
      </c>
      <c r="J3849" s="5">
        <v>0</v>
      </c>
      <c r="K3849" s="5">
        <v>225845000</v>
      </c>
      <c r="L3849" s="5">
        <v>878301000</v>
      </c>
      <c r="M3849" s="5">
        <v>225653000</v>
      </c>
      <c r="N3849" s="5">
        <v>136652000</v>
      </c>
    </row>
    <row r="3850" spans="1:14" x14ac:dyDescent="0.25">
      <c r="A3850" s="3" t="s">
        <v>3861</v>
      </c>
      <c r="B3850" s="4">
        <v>16.79</v>
      </c>
      <c r="C3850" s="4">
        <v>0.11</v>
      </c>
      <c r="D3850" s="4">
        <v>0.05</v>
      </c>
      <c r="E3850" s="4">
        <v>-2.048312402651364E-2</v>
      </c>
      <c r="F3850" s="3">
        <v>3848</v>
      </c>
      <c r="G3850" s="3">
        <v>3</v>
      </c>
      <c r="H3850" s="5">
        <v>74542860000</v>
      </c>
      <c r="I3850" s="5">
        <v>86114860000</v>
      </c>
      <c r="J3850" s="5">
        <v>13116000000</v>
      </c>
      <c r="K3850" s="5">
        <v>1544000000</v>
      </c>
      <c r="L3850" s="5">
        <v>18016000000</v>
      </c>
      <c r="M3850" s="5">
        <v>5128000000</v>
      </c>
      <c r="N3850" s="5">
        <v>2293000000</v>
      </c>
    </row>
    <row r="3851" spans="1:14" x14ac:dyDescent="0.25">
      <c r="A3851" s="3" t="s">
        <v>3862</v>
      </c>
      <c r="B3851" s="4">
        <v>10.75</v>
      </c>
      <c r="C3851" s="4">
        <v>-1.2</v>
      </c>
      <c r="D3851" s="4">
        <v>0.28999999999999998</v>
      </c>
      <c r="E3851" s="4">
        <v>-2.048360966651272E-2</v>
      </c>
      <c r="F3851" s="3">
        <v>3849</v>
      </c>
      <c r="G3851" s="3">
        <v>3</v>
      </c>
      <c r="H3851" s="5">
        <v>3798271824.75</v>
      </c>
      <c r="I3851" s="5">
        <v>4560271824.75</v>
      </c>
      <c r="J3851" s="5">
        <v>833100000</v>
      </c>
      <c r="K3851" s="5">
        <v>71100000</v>
      </c>
      <c r="L3851" s="5">
        <v>1996200000</v>
      </c>
      <c r="M3851" s="5">
        <v>424200000</v>
      </c>
      <c r="N3851" s="5">
        <v>246500000</v>
      </c>
    </row>
    <row r="3852" spans="1:14" x14ac:dyDescent="0.25">
      <c r="A3852" s="3" t="s">
        <v>3863</v>
      </c>
      <c r="B3852" s="4">
        <v>16.78</v>
      </c>
      <c r="C3852" s="4">
        <v>0.1</v>
      </c>
      <c r="D3852" s="4">
        <v>0.03</v>
      </c>
      <c r="E3852" s="4">
        <v>-2.0509686480986031E-2</v>
      </c>
      <c r="F3852" s="3">
        <v>3850</v>
      </c>
      <c r="G3852" s="3">
        <v>3</v>
      </c>
      <c r="H3852" s="5">
        <v>11228453436.16</v>
      </c>
      <c r="I3852" s="5">
        <v>18917027436.16</v>
      </c>
      <c r="J3852" s="5">
        <v>7697730000</v>
      </c>
      <c r="K3852" s="5">
        <v>9156000</v>
      </c>
      <c r="L3852" s="5">
        <v>2086113000</v>
      </c>
      <c r="M3852" s="5">
        <v>1127220000</v>
      </c>
      <c r="N3852" s="5">
        <v>595314000</v>
      </c>
    </row>
    <row r="3853" spans="1:14" x14ac:dyDescent="0.25">
      <c r="A3853" s="3" t="s">
        <v>3864</v>
      </c>
      <c r="B3853" s="4">
        <v>17.78</v>
      </c>
      <c r="C3853" s="4">
        <v>0.3</v>
      </c>
      <c r="D3853" s="4">
        <v>0.19</v>
      </c>
      <c r="E3853" s="4">
        <v>-2.0519870485164529E-2</v>
      </c>
      <c r="F3853" s="3">
        <v>3851</v>
      </c>
      <c r="G3853" s="3">
        <v>3</v>
      </c>
      <c r="H3853" s="5">
        <v>3490956106.04</v>
      </c>
      <c r="I3853" s="5">
        <v>3307982106.04</v>
      </c>
      <c r="J3853" s="5">
        <v>0</v>
      </c>
      <c r="K3853" s="5">
        <v>182974000</v>
      </c>
      <c r="L3853" s="5">
        <v>517417000</v>
      </c>
      <c r="M3853" s="5">
        <v>186049000</v>
      </c>
      <c r="N3853" s="5">
        <v>151265000</v>
      </c>
    </row>
    <row r="3854" spans="1:14" x14ac:dyDescent="0.25">
      <c r="A3854" s="3" t="s">
        <v>3865</v>
      </c>
      <c r="B3854" s="4">
        <v>16.420000000000002</v>
      </c>
      <c r="C3854" s="4">
        <v>0.02</v>
      </c>
      <c r="D3854" s="4">
        <v>0.01</v>
      </c>
      <c r="E3854" s="4">
        <v>-2.052188198516192E-2</v>
      </c>
      <c r="F3854" s="3">
        <v>3852</v>
      </c>
      <c r="G3854" s="3">
        <v>3</v>
      </c>
      <c r="H3854" s="5">
        <v>51624395160</v>
      </c>
      <c r="I3854" s="5">
        <v>77483617160</v>
      </c>
      <c r="J3854" s="5">
        <v>26304184000</v>
      </c>
      <c r="K3854" s="5">
        <v>444962000</v>
      </c>
      <c r="L3854" s="5">
        <v>5271142000</v>
      </c>
      <c r="M3854" s="5">
        <v>4719851000</v>
      </c>
      <c r="N3854" s="5">
        <v>860772000</v>
      </c>
    </row>
    <row r="3855" spans="1:14" x14ac:dyDescent="0.25">
      <c r="A3855" s="3" t="s">
        <v>3866</v>
      </c>
      <c r="B3855" s="4">
        <v>16.72</v>
      </c>
      <c r="C3855" s="4">
        <v>0.08</v>
      </c>
      <c r="D3855" s="4">
        <v>0.02</v>
      </c>
      <c r="E3855" s="4">
        <v>-2.0532267487409991E-2</v>
      </c>
      <c r="F3855" s="3">
        <v>3853</v>
      </c>
      <c r="G3855" s="3">
        <v>3</v>
      </c>
      <c r="H3855" s="5">
        <v>1240631080.1099999</v>
      </c>
      <c r="I3855" s="5">
        <v>4080241080.1100001</v>
      </c>
      <c r="J3855" s="5">
        <v>2957813000</v>
      </c>
      <c r="K3855" s="5">
        <v>118203000</v>
      </c>
      <c r="L3855" s="5">
        <v>1187056000</v>
      </c>
      <c r="M3855" s="5">
        <v>244100000</v>
      </c>
      <c r="N3855" s="5">
        <v>97131000</v>
      </c>
    </row>
    <row r="3856" spans="1:14" x14ac:dyDescent="0.25">
      <c r="A3856" s="3" t="s">
        <v>3867</v>
      </c>
      <c r="B3856" s="4">
        <v>16.54</v>
      </c>
      <c r="C3856" s="4">
        <v>0.04</v>
      </c>
      <c r="D3856" s="4">
        <v>0.04</v>
      </c>
      <c r="E3856" s="4">
        <v>-2.0532578159765419E-2</v>
      </c>
      <c r="F3856" s="3">
        <v>3854</v>
      </c>
      <c r="G3856" s="3">
        <v>3</v>
      </c>
      <c r="H3856" s="5">
        <v>111801980.84999999</v>
      </c>
      <c r="I3856" s="5">
        <v>111613920.84999999</v>
      </c>
      <c r="J3856" s="5">
        <v>0</v>
      </c>
      <c r="K3856" s="5">
        <v>188060</v>
      </c>
      <c r="L3856" s="5">
        <v>9983680</v>
      </c>
      <c r="M3856" s="5">
        <v>6749950</v>
      </c>
      <c r="N3856" s="5">
        <v>6769810</v>
      </c>
    </row>
    <row r="3857" spans="1:14" x14ac:dyDescent="0.25">
      <c r="A3857" s="3" t="s">
        <v>3868</v>
      </c>
      <c r="B3857" s="4">
        <v>16.59</v>
      </c>
      <c r="C3857" s="4">
        <v>0.05</v>
      </c>
      <c r="D3857" s="4">
        <v>0.02</v>
      </c>
      <c r="E3857" s="4">
        <v>-2.0538488634391359E-2</v>
      </c>
      <c r="F3857" s="3">
        <v>3855</v>
      </c>
      <c r="G3857" s="3">
        <v>3</v>
      </c>
      <c r="H3857" s="5">
        <v>17397524315.82</v>
      </c>
      <c r="I3857" s="5">
        <v>25433971315.82</v>
      </c>
      <c r="J3857" s="5">
        <v>8210938000</v>
      </c>
      <c r="K3857" s="5">
        <v>174491000</v>
      </c>
      <c r="L3857" s="5">
        <v>2618942000</v>
      </c>
      <c r="M3857" s="5">
        <v>1533485000</v>
      </c>
      <c r="N3857" s="5">
        <v>453917000</v>
      </c>
    </row>
    <row r="3858" spans="1:14" x14ac:dyDescent="0.25">
      <c r="A3858" s="3" t="s">
        <v>3869</v>
      </c>
      <c r="B3858" s="4">
        <v>17.37</v>
      </c>
      <c r="C3858" s="4">
        <v>0.21</v>
      </c>
      <c r="D3858" s="4">
        <v>0.1</v>
      </c>
      <c r="E3858" s="4">
        <v>-2.0543516753912031E-2</v>
      </c>
      <c r="F3858" s="3">
        <v>3856</v>
      </c>
      <c r="G3858" s="3">
        <v>3</v>
      </c>
      <c r="H3858" s="5">
        <v>48940143864.879997</v>
      </c>
      <c r="I3858" s="5">
        <v>57845761864.879997</v>
      </c>
      <c r="J3858" s="5">
        <v>9353034000</v>
      </c>
      <c r="K3858" s="5">
        <v>447416000</v>
      </c>
      <c r="L3858" s="5">
        <v>4695616000</v>
      </c>
      <c r="M3858" s="5">
        <v>3330938000</v>
      </c>
      <c r="N3858" s="5">
        <v>2072011000</v>
      </c>
    </row>
    <row r="3859" spans="1:14" x14ac:dyDescent="0.25">
      <c r="A3859" s="3" t="s">
        <v>3870</v>
      </c>
      <c r="B3859" s="4">
        <v>17.29</v>
      </c>
      <c r="C3859" s="4">
        <v>0.19</v>
      </c>
      <c r="D3859" s="4">
        <v>0.08</v>
      </c>
      <c r="E3859" s="4">
        <v>-2.055564837551933E-2</v>
      </c>
      <c r="F3859" s="3">
        <v>3857</v>
      </c>
      <c r="G3859" s="3">
        <v>3</v>
      </c>
      <c r="H3859" s="5">
        <v>8401032405.1499996</v>
      </c>
      <c r="I3859" s="5">
        <v>9251574405.1499996</v>
      </c>
      <c r="J3859" s="5">
        <v>943212000</v>
      </c>
      <c r="K3859" s="5">
        <v>92670000</v>
      </c>
      <c r="L3859" s="5">
        <v>4702014000</v>
      </c>
      <c r="M3859" s="5">
        <v>534976000</v>
      </c>
      <c r="N3859" s="5">
        <v>233413000</v>
      </c>
    </row>
    <row r="3860" spans="1:14" x14ac:dyDescent="0.25">
      <c r="A3860" s="3" t="s">
        <v>3871</v>
      </c>
      <c r="B3860" s="4">
        <v>-1.37</v>
      </c>
      <c r="C3860" s="4">
        <v>-3.8</v>
      </c>
      <c r="D3860" s="4">
        <v>-0.21</v>
      </c>
      <c r="E3860" s="4">
        <v>-2.059108151428922E-2</v>
      </c>
      <c r="F3860" s="3">
        <v>3858</v>
      </c>
      <c r="G3860" s="3">
        <v>3</v>
      </c>
      <c r="H3860" s="5">
        <v>17832649371.48</v>
      </c>
      <c r="I3860" s="5">
        <v>19120310371.48</v>
      </c>
      <c r="J3860" s="5">
        <v>20616581000</v>
      </c>
      <c r="K3860" s="5">
        <v>19328920000</v>
      </c>
      <c r="L3860" s="5">
        <v>65731559000</v>
      </c>
      <c r="M3860" s="5">
        <v>-13994716000</v>
      </c>
      <c r="N3860" s="5">
        <v>-22657692000</v>
      </c>
    </row>
    <row r="3861" spans="1:14" x14ac:dyDescent="0.25">
      <c r="A3861" s="3" t="s">
        <v>3872</v>
      </c>
      <c r="B3861" s="4">
        <v>17.059999999999999</v>
      </c>
      <c r="C3861" s="4">
        <v>0.13</v>
      </c>
      <c r="D3861" s="4">
        <v>0.05</v>
      </c>
      <c r="E3861" s="4">
        <v>-2.059244536630582E-2</v>
      </c>
      <c r="F3861" s="3">
        <v>3859</v>
      </c>
      <c r="G3861" s="3">
        <v>3</v>
      </c>
      <c r="H3861" s="5">
        <v>25375955691.209999</v>
      </c>
      <c r="I3861" s="5">
        <v>30216555691.209999</v>
      </c>
      <c r="J3861" s="5">
        <v>5010500000</v>
      </c>
      <c r="K3861" s="5">
        <v>169900000</v>
      </c>
      <c r="L3861" s="5">
        <v>5681100000</v>
      </c>
      <c r="M3861" s="5">
        <v>1770700000</v>
      </c>
      <c r="N3861" s="5">
        <v>604100000</v>
      </c>
    </row>
    <row r="3862" spans="1:14" x14ac:dyDescent="0.25">
      <c r="A3862" s="3" t="s">
        <v>3873</v>
      </c>
      <c r="B3862" s="4">
        <v>16.829999999999998</v>
      </c>
      <c r="C3862" s="4">
        <v>0.08</v>
      </c>
      <c r="D3862" s="4">
        <v>0.04</v>
      </c>
      <c r="E3862" s="4">
        <v>-2.059649069692283E-2</v>
      </c>
      <c r="F3862" s="3">
        <v>3860</v>
      </c>
      <c r="G3862" s="3">
        <v>3</v>
      </c>
      <c r="H3862" s="5">
        <v>5530989425.2799997</v>
      </c>
      <c r="I3862" s="5">
        <v>5942689425.2799997</v>
      </c>
      <c r="J3862" s="5">
        <v>518800000</v>
      </c>
      <c r="K3862" s="5">
        <v>107100000</v>
      </c>
      <c r="L3862" s="5">
        <v>4540600000</v>
      </c>
      <c r="M3862" s="5">
        <v>353200000</v>
      </c>
      <c r="N3862" s="5">
        <v>123600000</v>
      </c>
    </row>
    <row r="3863" spans="1:14" x14ac:dyDescent="0.25">
      <c r="A3863" s="3" t="s">
        <v>3874</v>
      </c>
      <c r="B3863" s="4">
        <v>16.649999999999999</v>
      </c>
      <c r="C3863" s="4">
        <v>0.04</v>
      </c>
      <c r="D3863" s="4">
        <v>0.03</v>
      </c>
      <c r="E3863" s="4">
        <v>-2.0602588449010771E-2</v>
      </c>
      <c r="F3863" s="3">
        <v>3861</v>
      </c>
      <c r="G3863" s="3">
        <v>3</v>
      </c>
      <c r="H3863" s="5">
        <v>3380802037.3400002</v>
      </c>
      <c r="I3863" s="5">
        <v>3076609037.3400002</v>
      </c>
      <c r="J3863" s="5">
        <v>0</v>
      </c>
      <c r="K3863" s="5">
        <v>304193000</v>
      </c>
      <c r="L3863" s="5">
        <v>894384000</v>
      </c>
      <c r="M3863" s="5">
        <v>184739000</v>
      </c>
      <c r="N3863" s="5">
        <v>20972000</v>
      </c>
    </row>
    <row r="3864" spans="1:14" x14ac:dyDescent="0.25">
      <c r="A3864" s="3" t="s">
        <v>3875</v>
      </c>
      <c r="B3864" s="4">
        <v>17.48</v>
      </c>
      <c r="C3864" s="4">
        <v>0.21</v>
      </c>
      <c r="D3864" s="4">
        <v>0.11</v>
      </c>
      <c r="E3864" s="4">
        <v>-2.060966899000238E-2</v>
      </c>
      <c r="F3864" s="3">
        <v>3862</v>
      </c>
      <c r="G3864" s="3">
        <v>3</v>
      </c>
      <c r="H3864" s="5">
        <v>6173835010.5299997</v>
      </c>
      <c r="I3864" s="5">
        <v>5860670044.5299997</v>
      </c>
      <c r="J3864" s="5">
        <v>72881260</v>
      </c>
      <c r="K3864" s="5">
        <v>386046226</v>
      </c>
      <c r="L3864" s="5">
        <v>1835176448</v>
      </c>
      <c r="M3864" s="5">
        <v>335256312.51520002</v>
      </c>
      <c r="N3864" s="5">
        <v>122317410</v>
      </c>
    </row>
    <row r="3865" spans="1:14" x14ac:dyDescent="0.25">
      <c r="A3865" s="3" t="s">
        <v>3876</v>
      </c>
      <c r="B3865" s="4">
        <v>17.010000000000002</v>
      </c>
      <c r="C3865" s="4">
        <v>0.11</v>
      </c>
      <c r="D3865" s="4">
        <v>0.08</v>
      </c>
      <c r="E3865" s="4">
        <v>-2.0613499472116829E-2</v>
      </c>
      <c r="F3865" s="3">
        <v>3863</v>
      </c>
      <c r="G3865" s="3">
        <v>3</v>
      </c>
      <c r="H3865" s="5">
        <v>6270126582.6999998</v>
      </c>
      <c r="I3865" s="5">
        <v>5788079582.6999998</v>
      </c>
      <c r="J3865" s="5">
        <v>0</v>
      </c>
      <c r="K3865" s="5">
        <v>482047000</v>
      </c>
      <c r="L3865" s="5">
        <v>1273721000</v>
      </c>
      <c r="M3865" s="5">
        <v>340269000</v>
      </c>
      <c r="N3865" s="5">
        <v>261825000</v>
      </c>
    </row>
    <row r="3866" spans="1:14" x14ac:dyDescent="0.25">
      <c r="A3866" s="3" t="s">
        <v>3877</v>
      </c>
      <c r="B3866" s="4">
        <v>-0.28000000000000003</v>
      </c>
      <c r="C3866" s="4">
        <v>-3.48</v>
      </c>
      <c r="D3866" s="4">
        <v>-1.7</v>
      </c>
      <c r="E3866" s="4">
        <v>-2.0628534470856379E-2</v>
      </c>
      <c r="F3866" s="3">
        <v>3864</v>
      </c>
      <c r="G3866" s="3">
        <v>3</v>
      </c>
      <c r="H3866" s="5">
        <v>24197809</v>
      </c>
      <c r="I3866" s="5">
        <v>8180809</v>
      </c>
      <c r="J3866" s="5">
        <v>0</v>
      </c>
      <c r="K3866" s="5">
        <v>16017000</v>
      </c>
      <c r="L3866" s="5">
        <v>0</v>
      </c>
      <c r="M3866" s="5">
        <v>-28789000</v>
      </c>
      <c r="N3866" s="5">
        <v>-27592000</v>
      </c>
    </row>
    <row r="3867" spans="1:14" x14ac:dyDescent="0.25">
      <c r="A3867" s="3" t="s">
        <v>3878</v>
      </c>
      <c r="B3867" s="4">
        <v>16.98</v>
      </c>
      <c r="C3867" s="4">
        <v>0.1</v>
      </c>
      <c r="D3867" s="4">
        <v>0.04</v>
      </c>
      <c r="E3867" s="4">
        <v>-2.0631541568350079E-2</v>
      </c>
      <c r="F3867" s="3">
        <v>3865</v>
      </c>
      <c r="G3867" s="3">
        <v>3</v>
      </c>
      <c r="H3867" s="5">
        <v>8854276859.8500004</v>
      </c>
      <c r="I3867" s="5">
        <v>9658315859.8500004</v>
      </c>
      <c r="J3867" s="5">
        <v>1257587000</v>
      </c>
      <c r="K3867" s="5">
        <v>453548000</v>
      </c>
      <c r="L3867" s="5">
        <v>6750576000</v>
      </c>
      <c r="M3867" s="5">
        <v>568728000</v>
      </c>
      <c r="N3867" s="5">
        <v>235053000</v>
      </c>
    </row>
    <row r="3868" spans="1:14" x14ac:dyDescent="0.25">
      <c r="A3868" s="3" t="s">
        <v>3879</v>
      </c>
      <c r="B3868" s="4">
        <v>16.989999999999998</v>
      </c>
      <c r="C3868" s="4">
        <v>0.1</v>
      </c>
      <c r="D3868" s="4">
        <v>0.05</v>
      </c>
      <c r="E3868" s="4">
        <v>-2.0635801747469651E-2</v>
      </c>
      <c r="F3868" s="3">
        <v>3866</v>
      </c>
      <c r="G3868" s="3">
        <v>3</v>
      </c>
      <c r="H3868" s="5">
        <v>884313159.52999997</v>
      </c>
      <c r="I3868" s="5">
        <v>1788687159.53</v>
      </c>
      <c r="J3868" s="5">
        <v>960949000</v>
      </c>
      <c r="K3868" s="5">
        <v>56575000</v>
      </c>
      <c r="L3868" s="5">
        <v>232590000</v>
      </c>
      <c r="M3868" s="5">
        <v>105252000</v>
      </c>
      <c r="N3868" s="5">
        <v>88978000</v>
      </c>
    </row>
    <row r="3869" spans="1:14" x14ac:dyDescent="0.25">
      <c r="A3869" s="3" t="s">
        <v>3880</v>
      </c>
      <c r="B3869" s="4">
        <v>17.05</v>
      </c>
      <c r="C3869" s="4">
        <v>0.11</v>
      </c>
      <c r="D3869" s="4">
        <v>7.0000000000000007E-2</v>
      </c>
      <c r="E3869" s="4">
        <v>-2.0640185321482641E-2</v>
      </c>
      <c r="F3869" s="3">
        <v>3867</v>
      </c>
      <c r="G3869" s="3">
        <v>3</v>
      </c>
      <c r="H3869" s="5">
        <v>332550890</v>
      </c>
      <c r="I3869" s="5">
        <v>553758890</v>
      </c>
      <c r="J3869" s="5">
        <v>226609000</v>
      </c>
      <c r="K3869" s="5">
        <v>5401000</v>
      </c>
      <c r="L3869" s="5">
        <v>50255000</v>
      </c>
      <c r="M3869" s="5">
        <v>32485000</v>
      </c>
      <c r="N3869" s="5">
        <v>37980000</v>
      </c>
    </row>
    <row r="3870" spans="1:14" x14ac:dyDescent="0.25">
      <c r="A3870" s="3" t="s">
        <v>3881</v>
      </c>
      <c r="B3870" s="4">
        <v>18.559999999999999</v>
      </c>
      <c r="C3870" s="4">
        <v>0.41</v>
      </c>
      <c r="D3870" s="4">
        <v>0.37</v>
      </c>
      <c r="E3870" s="4">
        <v>-2.0650076373982421E-2</v>
      </c>
      <c r="F3870" s="3">
        <v>3868</v>
      </c>
      <c r="G3870" s="3">
        <v>3</v>
      </c>
      <c r="H3870" s="5">
        <v>4845017445.8400002</v>
      </c>
      <c r="I3870" s="5">
        <v>4747768445.8400002</v>
      </c>
      <c r="J3870" s="5">
        <v>0</v>
      </c>
      <c r="K3870" s="5">
        <v>97249000</v>
      </c>
      <c r="L3870" s="5">
        <v>434433000</v>
      </c>
      <c r="M3870" s="5">
        <v>255738000</v>
      </c>
      <c r="N3870" s="5">
        <v>275188000</v>
      </c>
    </row>
    <row r="3871" spans="1:14" x14ac:dyDescent="0.25">
      <c r="A3871" s="3" t="s">
        <v>3882</v>
      </c>
      <c r="B3871" s="4">
        <v>16.89</v>
      </c>
      <c r="C3871" s="4">
        <v>7.0000000000000007E-2</v>
      </c>
      <c r="D3871" s="4">
        <v>0.05</v>
      </c>
      <c r="E3871" s="4">
        <v>-2.0660590511542249E-2</v>
      </c>
      <c r="F3871" s="3">
        <v>3869</v>
      </c>
      <c r="G3871" s="3">
        <v>3</v>
      </c>
      <c r="H3871" s="5">
        <v>2957772942.6700001</v>
      </c>
      <c r="I3871" s="5">
        <v>2888441942.6700001</v>
      </c>
      <c r="J3871" s="5">
        <v>0</v>
      </c>
      <c r="K3871" s="5">
        <v>69331000</v>
      </c>
      <c r="L3871" s="5">
        <v>661817000</v>
      </c>
      <c r="M3871" s="5">
        <v>170980000</v>
      </c>
      <c r="N3871" s="5">
        <v>73865000</v>
      </c>
    </row>
    <row r="3872" spans="1:14" x14ac:dyDescent="0.25">
      <c r="A3872" s="3" t="s">
        <v>3883</v>
      </c>
      <c r="B3872" s="4">
        <v>16.989999999999998</v>
      </c>
      <c r="C3872" s="4">
        <v>0.09</v>
      </c>
      <c r="D3872" s="4">
        <v>0.05</v>
      </c>
      <c r="E3872" s="4">
        <v>-2.0664695354484109E-2</v>
      </c>
      <c r="F3872" s="3">
        <v>3870</v>
      </c>
      <c r="G3872" s="3">
        <v>3</v>
      </c>
      <c r="H3872" s="5">
        <v>5546141311.25</v>
      </c>
      <c r="I3872" s="5">
        <v>6121441311.25</v>
      </c>
      <c r="J3872" s="5">
        <v>700700000</v>
      </c>
      <c r="K3872" s="5">
        <v>125400000</v>
      </c>
      <c r="L3872" s="5">
        <v>1903000000</v>
      </c>
      <c r="M3872" s="5">
        <v>360400000</v>
      </c>
      <c r="N3872" s="5">
        <v>132100000</v>
      </c>
    </row>
    <row r="3873" spans="1:14" x14ac:dyDescent="0.25">
      <c r="A3873" s="3" t="s">
        <v>3884</v>
      </c>
      <c r="B3873" s="4">
        <v>-0.15</v>
      </c>
      <c r="C3873" s="4">
        <v>-3.44</v>
      </c>
      <c r="D3873" s="4">
        <v>-2.09</v>
      </c>
      <c r="E3873" s="4">
        <v>-2.0668651753383289E-2</v>
      </c>
      <c r="F3873" s="3">
        <v>3871</v>
      </c>
      <c r="G3873" s="3">
        <v>3</v>
      </c>
      <c r="H3873" s="5">
        <v>3873603.82</v>
      </c>
      <c r="I3873" s="5">
        <v>1535603.82</v>
      </c>
      <c r="J3873" s="5">
        <v>0</v>
      </c>
      <c r="K3873" s="5">
        <v>2338000</v>
      </c>
      <c r="L3873" s="5">
        <v>0</v>
      </c>
      <c r="M3873" s="5">
        <v>-10108000</v>
      </c>
      <c r="N3873" s="5">
        <v>-9826000</v>
      </c>
    </row>
    <row r="3874" spans="1:14" x14ac:dyDescent="0.25">
      <c r="A3874" s="3" t="s">
        <v>3885</v>
      </c>
      <c r="B3874" s="4">
        <v>17.010000000000002</v>
      </c>
      <c r="C3874" s="4">
        <v>0.09</v>
      </c>
      <c r="D3874" s="4">
        <v>0.05</v>
      </c>
      <c r="E3874" s="4">
        <v>-2.0677073765878261E-2</v>
      </c>
      <c r="F3874" s="3">
        <v>3872</v>
      </c>
      <c r="G3874" s="3">
        <v>3</v>
      </c>
      <c r="H3874" s="5">
        <v>22740974074.169998</v>
      </c>
      <c r="I3874" s="5">
        <v>30867545074.169998</v>
      </c>
      <c r="J3874" s="5">
        <v>8188873000</v>
      </c>
      <c r="K3874" s="5">
        <v>62302000</v>
      </c>
      <c r="L3874" s="5">
        <v>2980108000</v>
      </c>
      <c r="M3874" s="5">
        <v>1814178000</v>
      </c>
      <c r="N3874" s="5">
        <v>1035831000</v>
      </c>
    </row>
    <row r="3875" spans="1:14" x14ac:dyDescent="0.25">
      <c r="A3875" s="3" t="s">
        <v>3886</v>
      </c>
      <c r="B3875" s="4">
        <v>17.47</v>
      </c>
      <c r="C3875" s="4">
        <v>0.18</v>
      </c>
      <c r="D3875" s="4">
        <v>0.04</v>
      </c>
      <c r="E3875" s="4">
        <v>-2.070366379139121E-2</v>
      </c>
      <c r="F3875" s="3">
        <v>3873</v>
      </c>
      <c r="G3875" s="3">
        <v>3</v>
      </c>
      <c r="H3875" s="5">
        <v>70268933607.179993</v>
      </c>
      <c r="I3875" s="5">
        <v>97119933607.179993</v>
      </c>
      <c r="J3875" s="5">
        <v>26911000000</v>
      </c>
      <c r="K3875" s="5">
        <v>60000000</v>
      </c>
      <c r="L3875" s="5">
        <v>10503000000</v>
      </c>
      <c r="M3875" s="5">
        <v>5559000000</v>
      </c>
      <c r="N3875" s="5">
        <v>2225000000</v>
      </c>
    </row>
    <row r="3876" spans="1:14" x14ac:dyDescent="0.25">
      <c r="A3876" s="3" t="s">
        <v>3887</v>
      </c>
      <c r="B3876" s="4">
        <v>16.68</v>
      </c>
      <c r="C3876" s="4">
        <v>0.01</v>
      </c>
      <c r="D3876" s="4">
        <v>0</v>
      </c>
      <c r="E3876" s="4">
        <v>-2.0713623966877901E-2</v>
      </c>
      <c r="F3876" s="3">
        <v>3874</v>
      </c>
      <c r="G3876" s="3">
        <v>3</v>
      </c>
      <c r="H3876" s="5">
        <v>15757728.449999999</v>
      </c>
      <c r="I3876" s="5">
        <v>17051848.449999999</v>
      </c>
      <c r="J3876" s="5">
        <v>5590560</v>
      </c>
      <c r="K3876" s="5">
        <v>4296440</v>
      </c>
      <c r="L3876" s="5">
        <v>34181760</v>
      </c>
      <c r="M3876" s="5">
        <v>1022130</v>
      </c>
      <c r="N3876" s="5">
        <v>130170</v>
      </c>
    </row>
    <row r="3877" spans="1:14" x14ac:dyDescent="0.25">
      <c r="A3877" s="3" t="s">
        <v>3888</v>
      </c>
      <c r="B3877" s="4">
        <v>13.88</v>
      </c>
      <c r="C3877" s="4">
        <v>-0.6</v>
      </c>
      <c r="D3877" s="4">
        <v>0.14000000000000001</v>
      </c>
      <c r="E3877" s="4">
        <v>-2.0716150027493069E-2</v>
      </c>
      <c r="F3877" s="3">
        <v>3875</v>
      </c>
      <c r="G3877" s="3">
        <v>3</v>
      </c>
      <c r="H3877" s="5">
        <v>7861053435.1800003</v>
      </c>
      <c r="I3877" s="5">
        <v>9312353435.1800003</v>
      </c>
      <c r="J3877" s="5">
        <v>2681300000</v>
      </c>
      <c r="K3877" s="5">
        <v>1230000000</v>
      </c>
      <c r="L3877" s="5">
        <v>2548200000</v>
      </c>
      <c r="M3877" s="5">
        <v>670800000</v>
      </c>
      <c r="N3877" s="5">
        <v>452300000</v>
      </c>
    </row>
    <row r="3878" spans="1:14" x14ac:dyDescent="0.25">
      <c r="A3878" s="3" t="s">
        <v>3889</v>
      </c>
      <c r="B3878" s="4">
        <v>-2.04</v>
      </c>
      <c r="C3878" s="4">
        <v>0.38</v>
      </c>
      <c r="D3878" s="4">
        <v>-65.63</v>
      </c>
      <c r="E3878" s="4">
        <v>-2.0718568870584979E-2</v>
      </c>
      <c r="F3878" s="3">
        <v>3876</v>
      </c>
      <c r="G3878" s="3">
        <v>3</v>
      </c>
      <c r="H3878" s="5">
        <v>71.962492999999995</v>
      </c>
      <c r="I3878" s="5">
        <v>561691.96249299997</v>
      </c>
      <c r="J3878" s="5">
        <v>563370</v>
      </c>
      <c r="K3878" s="5">
        <v>1750</v>
      </c>
      <c r="L3878" s="5">
        <v>37590</v>
      </c>
      <c r="M3878" s="5">
        <v>-275250</v>
      </c>
      <c r="N3878" s="5">
        <v>-377380</v>
      </c>
    </row>
    <row r="3879" spans="1:14" x14ac:dyDescent="0.25">
      <c r="A3879" s="3" t="s">
        <v>3890</v>
      </c>
      <c r="B3879" s="4">
        <v>16.850000000000001</v>
      </c>
      <c r="C3879" s="4">
        <v>0.04</v>
      </c>
      <c r="D3879" s="4">
        <v>0.03</v>
      </c>
      <c r="E3879" s="4">
        <v>-2.072637256295233E-2</v>
      </c>
      <c r="F3879" s="3">
        <v>3877</v>
      </c>
      <c r="G3879" s="3">
        <v>3</v>
      </c>
      <c r="H3879" s="5">
        <v>1346421541.1400001</v>
      </c>
      <c r="I3879" s="5">
        <v>1442096541.1400001</v>
      </c>
      <c r="J3879" s="5">
        <v>123185000</v>
      </c>
      <c r="K3879" s="5">
        <v>27510000</v>
      </c>
      <c r="L3879" s="5">
        <v>424046000</v>
      </c>
      <c r="M3879" s="5">
        <v>85609000</v>
      </c>
      <c r="N3879" s="5">
        <v>22505000</v>
      </c>
    </row>
    <row r="3880" spans="1:14" x14ac:dyDescent="0.25">
      <c r="A3880" s="3" t="s">
        <v>3891</v>
      </c>
      <c r="B3880" s="4">
        <v>-0.73</v>
      </c>
      <c r="C3880" s="4">
        <v>-3.64</v>
      </c>
      <c r="D3880" s="4">
        <v>-1.29</v>
      </c>
      <c r="E3880" s="4">
        <v>-2.0733227837041492E-2</v>
      </c>
      <c r="F3880" s="3">
        <v>3878</v>
      </c>
      <c r="G3880" s="3">
        <v>3</v>
      </c>
      <c r="H3880" s="5">
        <v>23595971.179200001</v>
      </c>
      <c r="I3880" s="5">
        <v>19317971.179200001</v>
      </c>
      <c r="J3880" s="5">
        <v>0</v>
      </c>
      <c r="K3880" s="5">
        <v>4278000</v>
      </c>
      <c r="L3880" s="5">
        <v>0</v>
      </c>
      <c r="M3880" s="5">
        <v>-26515000</v>
      </c>
      <c r="N3880" s="5">
        <v>-21763000</v>
      </c>
    </row>
    <row r="3881" spans="1:14" x14ac:dyDescent="0.25">
      <c r="A3881" s="3" t="s">
        <v>3892</v>
      </c>
      <c r="B3881" s="4">
        <v>18.350000000000001</v>
      </c>
      <c r="C3881" s="4">
        <v>0.35</v>
      </c>
      <c r="D3881" s="4">
        <v>0.16</v>
      </c>
      <c r="E3881" s="4">
        <v>-2.0733974254558168E-2</v>
      </c>
      <c r="F3881" s="3">
        <v>3879</v>
      </c>
      <c r="G3881" s="3">
        <v>3</v>
      </c>
      <c r="H3881" s="5">
        <v>465453019605.64001</v>
      </c>
      <c r="I3881" s="5">
        <v>478095297605.64001</v>
      </c>
      <c r="J3881" s="5">
        <v>15582804000</v>
      </c>
      <c r="K3881" s="5">
        <v>2940526000</v>
      </c>
      <c r="L3881" s="5">
        <v>39000966000</v>
      </c>
      <c r="M3881" s="5">
        <v>26048045000</v>
      </c>
      <c r="N3881" s="5">
        <v>8711631000</v>
      </c>
    </row>
    <row r="3882" spans="1:14" x14ac:dyDescent="0.25">
      <c r="A3882" s="3" t="s">
        <v>3893</v>
      </c>
      <c r="B3882" s="4">
        <v>17.21</v>
      </c>
      <c r="C3882" s="4">
        <v>0.11</v>
      </c>
      <c r="D3882" s="4">
        <v>0.04</v>
      </c>
      <c r="E3882" s="4">
        <v>-2.0744999692368399E-2</v>
      </c>
      <c r="F3882" s="3">
        <v>3880</v>
      </c>
      <c r="G3882" s="3">
        <v>3</v>
      </c>
      <c r="H3882" s="5">
        <v>5701403363.5</v>
      </c>
      <c r="I3882" s="5">
        <v>6538025363.5</v>
      </c>
      <c r="J3882" s="5">
        <v>946949000</v>
      </c>
      <c r="K3882" s="5">
        <v>110327000</v>
      </c>
      <c r="L3882" s="5">
        <v>2686013000</v>
      </c>
      <c r="M3882" s="5">
        <v>379871000</v>
      </c>
      <c r="N3882" s="5">
        <v>140191000</v>
      </c>
    </row>
    <row r="3883" spans="1:14" x14ac:dyDescent="0.25">
      <c r="A3883" s="3" t="s">
        <v>3894</v>
      </c>
      <c r="B3883" s="4">
        <v>16.5</v>
      </c>
      <c r="C3883" s="4">
        <v>-0.04</v>
      </c>
      <c r="D3883" s="4">
        <v>-0.02</v>
      </c>
      <c r="E3883" s="4">
        <v>-2.0750544352557809E-2</v>
      </c>
      <c r="F3883" s="3">
        <v>3881</v>
      </c>
      <c r="G3883" s="3">
        <v>3</v>
      </c>
      <c r="H3883" s="5">
        <v>957986898.12</v>
      </c>
      <c r="I3883" s="5">
        <v>842466898.12</v>
      </c>
      <c r="J3883" s="5">
        <v>11987000</v>
      </c>
      <c r="K3883" s="5">
        <v>127507000</v>
      </c>
      <c r="L3883" s="5">
        <v>756477000</v>
      </c>
      <c r="M3883" s="5">
        <v>51050000</v>
      </c>
      <c r="N3883" s="5">
        <v>-10121000</v>
      </c>
    </row>
    <row r="3884" spans="1:14" x14ac:dyDescent="0.25">
      <c r="A3884" s="3" t="s">
        <v>3895</v>
      </c>
      <c r="B3884" s="4">
        <v>16.79</v>
      </c>
      <c r="C3884" s="4">
        <v>0.02</v>
      </c>
      <c r="D3884" s="4">
        <v>0.01</v>
      </c>
      <c r="E3884" s="4">
        <v>-2.0750882595953792E-2</v>
      </c>
      <c r="F3884" s="3">
        <v>3882</v>
      </c>
      <c r="G3884" s="3">
        <v>3</v>
      </c>
      <c r="H3884" s="5">
        <v>2863288098</v>
      </c>
      <c r="I3884" s="5">
        <v>4331462098</v>
      </c>
      <c r="J3884" s="5">
        <v>1570010000</v>
      </c>
      <c r="K3884" s="5">
        <v>101836000</v>
      </c>
      <c r="L3884" s="5">
        <v>358458000</v>
      </c>
      <c r="M3884" s="5">
        <v>257961000</v>
      </c>
      <c r="N3884" s="5">
        <v>44534000</v>
      </c>
    </row>
    <row r="3885" spans="1:14" x14ac:dyDescent="0.25">
      <c r="A3885" s="3" t="s">
        <v>3896</v>
      </c>
      <c r="B3885" s="4">
        <v>16.84</v>
      </c>
      <c r="C3885" s="4">
        <v>0.03</v>
      </c>
      <c r="D3885" s="4">
        <v>0.02</v>
      </c>
      <c r="E3885" s="4">
        <v>-2.0751005990847209E-2</v>
      </c>
      <c r="F3885" s="3">
        <v>3883</v>
      </c>
      <c r="G3885" s="3">
        <v>3</v>
      </c>
      <c r="H3885" s="5">
        <v>62989305.079999998</v>
      </c>
      <c r="I3885" s="5">
        <v>52746805.079999998</v>
      </c>
      <c r="J3885" s="5">
        <v>7798330</v>
      </c>
      <c r="K3885" s="5">
        <v>18040830</v>
      </c>
      <c r="L3885" s="5">
        <v>26350820</v>
      </c>
      <c r="M3885" s="5">
        <v>3133140</v>
      </c>
      <c r="N3885" s="5">
        <v>1363680</v>
      </c>
    </row>
    <row r="3886" spans="1:14" x14ac:dyDescent="0.25">
      <c r="A3886" s="3" t="s">
        <v>3897</v>
      </c>
      <c r="B3886" s="4">
        <v>-10.61</v>
      </c>
      <c r="C3886" s="4">
        <v>-5.82</v>
      </c>
      <c r="D3886" s="4">
        <v>-0.43</v>
      </c>
      <c r="E3886" s="4">
        <v>-2.0751202651815299E-2</v>
      </c>
      <c r="F3886" s="3">
        <v>3884</v>
      </c>
      <c r="G3886" s="3">
        <v>3</v>
      </c>
      <c r="H3886" s="5">
        <v>26209500</v>
      </c>
      <c r="I3886" s="5">
        <v>33700990</v>
      </c>
      <c r="J3886" s="5">
        <v>7741410</v>
      </c>
      <c r="K3886" s="5">
        <v>249920</v>
      </c>
      <c r="L3886" s="5">
        <v>33851040</v>
      </c>
      <c r="M3886" s="5">
        <v>-3177140</v>
      </c>
      <c r="N3886" s="5">
        <v>-5730750</v>
      </c>
    </row>
    <row r="3887" spans="1:14" x14ac:dyDescent="0.25">
      <c r="A3887" s="3" t="s">
        <v>3898</v>
      </c>
      <c r="B3887" s="4">
        <v>17.73</v>
      </c>
      <c r="C3887" s="4">
        <v>0.21</v>
      </c>
      <c r="D3887" s="4">
        <v>0.12</v>
      </c>
      <c r="E3887" s="4">
        <v>-2.0762470105851801E-2</v>
      </c>
      <c r="F3887" s="3">
        <v>3885</v>
      </c>
      <c r="G3887" s="3">
        <v>3</v>
      </c>
      <c r="H3887" s="5">
        <v>9727448989</v>
      </c>
      <c r="I3887" s="5">
        <v>9911331989</v>
      </c>
      <c r="J3887" s="5">
        <v>572300000</v>
      </c>
      <c r="K3887" s="5">
        <v>388417000</v>
      </c>
      <c r="L3887" s="5">
        <v>4563424000</v>
      </c>
      <c r="M3887" s="5">
        <v>559009000</v>
      </c>
      <c r="N3887" s="5">
        <v>392988000</v>
      </c>
    </row>
    <row r="3888" spans="1:14" x14ac:dyDescent="0.25">
      <c r="A3888" s="3" t="s">
        <v>3899</v>
      </c>
      <c r="B3888" s="4">
        <v>12.04</v>
      </c>
      <c r="C3888" s="4">
        <v>-1</v>
      </c>
      <c r="D3888" s="4">
        <v>-0.06</v>
      </c>
      <c r="E3888" s="4">
        <v>-2.0771660991359259E-2</v>
      </c>
      <c r="F3888" s="3">
        <v>3886</v>
      </c>
      <c r="G3888" s="3">
        <v>3</v>
      </c>
      <c r="H3888" s="5">
        <v>86306480.219999999</v>
      </c>
      <c r="I3888" s="5">
        <v>516929480.22000003</v>
      </c>
      <c r="J3888" s="5">
        <v>470844000</v>
      </c>
      <c r="K3888" s="5">
        <v>40221000</v>
      </c>
      <c r="L3888" s="5">
        <v>292065000</v>
      </c>
      <c r="M3888" s="5">
        <v>42943000</v>
      </c>
      <c r="N3888" s="5">
        <v>-40672000</v>
      </c>
    </row>
    <row r="3889" spans="1:14" x14ac:dyDescent="0.25">
      <c r="A3889" s="3" t="s">
        <v>3900</v>
      </c>
      <c r="B3889" s="4">
        <v>17.41</v>
      </c>
      <c r="C3889" s="4">
        <v>0.14000000000000001</v>
      </c>
      <c r="D3889" s="4">
        <v>0.08</v>
      </c>
      <c r="E3889" s="4">
        <v>-2.0774386878956549E-2</v>
      </c>
      <c r="F3889" s="3">
        <v>3887</v>
      </c>
      <c r="G3889" s="3">
        <v>3</v>
      </c>
      <c r="H3889" s="5">
        <v>44895861600</v>
      </c>
      <c r="I3889" s="5">
        <v>44407730600</v>
      </c>
      <c r="J3889" s="5">
        <v>7587116000</v>
      </c>
      <c r="K3889" s="5">
        <v>8075247000</v>
      </c>
      <c r="L3889" s="5">
        <v>24121053000</v>
      </c>
      <c r="M3889" s="5">
        <v>2550741000</v>
      </c>
      <c r="N3889" s="5">
        <v>2897047000</v>
      </c>
    </row>
    <row r="3890" spans="1:14" x14ac:dyDescent="0.25">
      <c r="A3890" s="3" t="s">
        <v>3901</v>
      </c>
      <c r="B3890" s="4">
        <v>17.63</v>
      </c>
      <c r="C3890" s="4">
        <v>0.18</v>
      </c>
      <c r="D3890" s="4">
        <v>0.11</v>
      </c>
      <c r="E3890" s="4">
        <v>-2.0789187896501912E-2</v>
      </c>
      <c r="F3890" s="3">
        <v>3888</v>
      </c>
      <c r="G3890" s="3">
        <v>3</v>
      </c>
      <c r="H3890" s="5">
        <v>2662878765.3299999</v>
      </c>
      <c r="I3890" s="5">
        <v>2806594765.3299999</v>
      </c>
      <c r="J3890" s="5">
        <v>148819000</v>
      </c>
      <c r="K3890" s="5">
        <v>5103000</v>
      </c>
      <c r="L3890" s="5">
        <v>974431000</v>
      </c>
      <c r="M3890" s="5">
        <v>159174000</v>
      </c>
      <c r="N3890" s="5">
        <v>84345000</v>
      </c>
    </row>
    <row r="3891" spans="1:14" x14ac:dyDescent="0.25">
      <c r="A3891" s="3" t="s">
        <v>3902</v>
      </c>
      <c r="B3891" s="4">
        <v>18.29</v>
      </c>
      <c r="C3891" s="4">
        <v>0.32</v>
      </c>
      <c r="D3891" s="4">
        <v>0.1</v>
      </c>
      <c r="E3891" s="4">
        <v>-2.0795094000884109E-2</v>
      </c>
      <c r="F3891" s="3">
        <v>3889</v>
      </c>
      <c r="G3891" s="3">
        <v>3</v>
      </c>
      <c r="H3891" s="5">
        <v>25514309846.220001</v>
      </c>
      <c r="I3891" s="5">
        <v>28205109846.220001</v>
      </c>
      <c r="J3891" s="5">
        <v>3252300000</v>
      </c>
      <c r="K3891" s="5">
        <v>561500000</v>
      </c>
      <c r="L3891" s="5">
        <v>6889100000</v>
      </c>
      <c r="M3891" s="5">
        <v>1541700000</v>
      </c>
      <c r="N3891" s="5">
        <v>839600000</v>
      </c>
    </row>
    <row r="3892" spans="1:14" x14ac:dyDescent="0.25">
      <c r="A3892" s="3" t="s">
        <v>3903</v>
      </c>
      <c r="B3892" s="4">
        <v>17.739999999999998</v>
      </c>
      <c r="C3892" s="4">
        <v>0.2</v>
      </c>
      <c r="D3892" s="4">
        <v>0.12</v>
      </c>
      <c r="E3892" s="4">
        <v>-2.079755291856333E-2</v>
      </c>
      <c r="F3892" s="3">
        <v>3890</v>
      </c>
      <c r="G3892" s="3">
        <v>3</v>
      </c>
      <c r="H3892" s="5">
        <v>14557702474.92</v>
      </c>
      <c r="I3892" s="5">
        <v>14053201474.92</v>
      </c>
      <c r="J3892" s="5">
        <v>21770000</v>
      </c>
      <c r="K3892" s="5">
        <v>526271000</v>
      </c>
      <c r="L3892" s="5">
        <v>7618317000</v>
      </c>
      <c r="M3892" s="5">
        <v>792096000</v>
      </c>
      <c r="N3892" s="5">
        <v>536286000</v>
      </c>
    </row>
    <row r="3893" spans="1:14" x14ac:dyDescent="0.25">
      <c r="A3893" s="3" t="s">
        <v>3904</v>
      </c>
      <c r="B3893" s="4">
        <v>-2.3199999999999998</v>
      </c>
      <c r="C3893" s="4">
        <v>-3.95</v>
      </c>
      <c r="D3893" s="4">
        <v>-2.23</v>
      </c>
      <c r="E3893" s="4">
        <v>-2.0826174446939918E-2</v>
      </c>
      <c r="F3893" s="3">
        <v>3891</v>
      </c>
      <c r="G3893" s="3">
        <v>3</v>
      </c>
      <c r="H3893" s="5">
        <v>26262940.171</v>
      </c>
      <c r="I3893" s="5">
        <v>22884940.171</v>
      </c>
      <c r="J3893" s="5">
        <v>0</v>
      </c>
      <c r="K3893" s="5">
        <v>3378000</v>
      </c>
      <c r="L3893" s="5">
        <v>0</v>
      </c>
      <c r="M3893" s="5">
        <v>-9880000</v>
      </c>
      <c r="N3893" s="5">
        <v>-10210000</v>
      </c>
    </row>
    <row r="3894" spans="1:14" x14ac:dyDescent="0.25">
      <c r="A3894" s="3" t="s">
        <v>3905</v>
      </c>
      <c r="B3894" s="4">
        <v>16.77</v>
      </c>
      <c r="C3894" s="4">
        <v>-0.01</v>
      </c>
      <c r="D3894" s="4">
        <v>0</v>
      </c>
      <c r="E3894" s="4">
        <v>-2.0827114032180509E-2</v>
      </c>
      <c r="F3894" s="3">
        <v>3892</v>
      </c>
      <c r="G3894" s="3">
        <v>3</v>
      </c>
      <c r="H3894" s="5">
        <v>5893913065.96</v>
      </c>
      <c r="I3894" s="5">
        <v>8480347065.96</v>
      </c>
      <c r="J3894" s="5">
        <v>2647687000</v>
      </c>
      <c r="K3894" s="5">
        <v>61253000</v>
      </c>
      <c r="L3894" s="5">
        <v>11266472000</v>
      </c>
      <c r="M3894" s="5">
        <v>505660000</v>
      </c>
      <c r="N3894" s="5">
        <v>-18062000</v>
      </c>
    </row>
    <row r="3895" spans="1:14" x14ac:dyDescent="0.25">
      <c r="A3895" s="3" t="s">
        <v>3906</v>
      </c>
      <c r="B3895" s="4">
        <v>17.29</v>
      </c>
      <c r="C3895" s="4">
        <v>0.1</v>
      </c>
      <c r="D3895" s="4">
        <v>0.02</v>
      </c>
      <c r="E3895" s="4">
        <v>-2.0827264998114488E-2</v>
      </c>
      <c r="F3895" s="3">
        <v>3893</v>
      </c>
      <c r="G3895" s="3">
        <v>3</v>
      </c>
      <c r="H3895" s="5">
        <v>83365810912.850006</v>
      </c>
      <c r="I3895" s="5">
        <v>102889810912.85001</v>
      </c>
      <c r="J3895" s="5">
        <v>20368000000</v>
      </c>
      <c r="K3895" s="5">
        <v>844000000</v>
      </c>
      <c r="L3895" s="5">
        <v>11761000000</v>
      </c>
      <c r="M3895" s="5">
        <v>5950000000</v>
      </c>
      <c r="N3895" s="5">
        <v>2754000000</v>
      </c>
    </row>
    <row r="3896" spans="1:14" x14ac:dyDescent="0.25">
      <c r="A3896" s="3" t="s">
        <v>3907</v>
      </c>
      <c r="B3896" s="4">
        <v>17.64</v>
      </c>
      <c r="C3896" s="4">
        <v>0.17</v>
      </c>
      <c r="D3896" s="4">
        <v>7.0000000000000007E-2</v>
      </c>
      <c r="E3896" s="4">
        <v>-2.0831986815523462E-2</v>
      </c>
      <c r="F3896" s="3">
        <v>3894</v>
      </c>
      <c r="G3896" s="3">
        <v>3</v>
      </c>
      <c r="H3896" s="5">
        <v>92627000766.220001</v>
      </c>
      <c r="I3896" s="5">
        <v>100220000766.22</v>
      </c>
      <c r="J3896" s="5">
        <v>9290000000</v>
      </c>
      <c r="K3896" s="5">
        <v>1697000000</v>
      </c>
      <c r="L3896" s="5">
        <v>47716000000</v>
      </c>
      <c r="M3896" s="5">
        <v>5682000000</v>
      </c>
      <c r="N3896" s="5">
        <v>3782000000</v>
      </c>
    </row>
    <row r="3897" spans="1:14" x14ac:dyDescent="0.25">
      <c r="A3897" s="3" t="s">
        <v>3908</v>
      </c>
      <c r="B3897" s="4">
        <v>16.88</v>
      </c>
      <c r="C3897" s="4">
        <v>0.01</v>
      </c>
      <c r="D3897" s="4">
        <v>0.01</v>
      </c>
      <c r="E3897" s="4">
        <v>-2.0835479054241941E-2</v>
      </c>
      <c r="F3897" s="3">
        <v>3895</v>
      </c>
      <c r="G3897" s="3">
        <v>3</v>
      </c>
      <c r="H3897" s="5">
        <v>3049130581.1999998</v>
      </c>
      <c r="I3897" s="5">
        <v>3944447581.1999998</v>
      </c>
      <c r="J3897" s="5">
        <v>1046868000</v>
      </c>
      <c r="K3897" s="5">
        <v>151551000</v>
      </c>
      <c r="L3897" s="5">
        <v>1062076000</v>
      </c>
      <c r="M3897" s="5">
        <v>233701000</v>
      </c>
      <c r="N3897" s="5">
        <v>21876000</v>
      </c>
    </row>
    <row r="3898" spans="1:14" x14ac:dyDescent="0.25">
      <c r="A3898" s="3" t="s">
        <v>3909</v>
      </c>
      <c r="B3898" s="4">
        <v>17.079999999999998</v>
      </c>
      <c r="C3898" s="4">
        <v>0.05</v>
      </c>
      <c r="D3898" s="4">
        <v>0.03</v>
      </c>
      <c r="E3898" s="4">
        <v>-2.0839830686970651E-2</v>
      </c>
      <c r="F3898" s="3">
        <v>3896</v>
      </c>
      <c r="G3898" s="3">
        <v>3</v>
      </c>
      <c r="H3898" s="5">
        <v>14570952645.76</v>
      </c>
      <c r="I3898" s="5">
        <v>21969581645.759998</v>
      </c>
      <c r="J3898" s="5">
        <v>8039002000</v>
      </c>
      <c r="K3898" s="5">
        <v>640373000</v>
      </c>
      <c r="L3898" s="5">
        <v>1583018000</v>
      </c>
      <c r="M3898" s="5">
        <v>1286014000</v>
      </c>
      <c r="N3898" s="5">
        <v>460839000</v>
      </c>
    </row>
    <row r="3899" spans="1:14" x14ac:dyDescent="0.25">
      <c r="A3899" s="3" t="s">
        <v>3910</v>
      </c>
      <c r="B3899" s="4">
        <v>17.190000000000001</v>
      </c>
      <c r="C3899" s="4">
        <v>7.0000000000000007E-2</v>
      </c>
      <c r="D3899" s="4">
        <v>0.02</v>
      </c>
      <c r="E3899" s="4">
        <v>-2.085205376218709E-2</v>
      </c>
      <c r="F3899" s="3">
        <v>3897</v>
      </c>
      <c r="G3899" s="3">
        <v>3</v>
      </c>
      <c r="H3899" s="5">
        <v>63700480250</v>
      </c>
      <c r="I3899" s="5">
        <v>62098880250</v>
      </c>
      <c r="J3899" s="5">
        <v>13157100000</v>
      </c>
      <c r="K3899" s="5">
        <v>14758700000</v>
      </c>
      <c r="L3899" s="5">
        <v>11554900000</v>
      </c>
      <c r="M3899" s="5">
        <v>3612200000</v>
      </c>
      <c r="N3899" s="5">
        <v>1462700000</v>
      </c>
    </row>
    <row r="3900" spans="1:14" x14ac:dyDescent="0.25">
      <c r="A3900" s="3" t="s">
        <v>3911</v>
      </c>
      <c r="B3900" s="4">
        <v>17.600000000000001</v>
      </c>
      <c r="C3900" s="4">
        <v>0.15</v>
      </c>
      <c r="D3900" s="4">
        <v>0.06</v>
      </c>
      <c r="E3900" s="4">
        <v>-2.0866946233341579E-2</v>
      </c>
      <c r="F3900" s="3">
        <v>3898</v>
      </c>
      <c r="G3900" s="3">
        <v>3</v>
      </c>
      <c r="H3900" s="5">
        <v>26576194293.599998</v>
      </c>
      <c r="I3900" s="5">
        <v>29725194293.599998</v>
      </c>
      <c r="J3900" s="5">
        <v>3824000000</v>
      </c>
      <c r="K3900" s="5">
        <v>675000000</v>
      </c>
      <c r="L3900" s="5">
        <v>4805000000</v>
      </c>
      <c r="M3900" s="5">
        <v>1689000000</v>
      </c>
      <c r="N3900" s="5">
        <v>993000000</v>
      </c>
    </row>
    <row r="3901" spans="1:14" x14ac:dyDescent="0.25">
      <c r="A3901" s="3" t="s">
        <v>3912</v>
      </c>
      <c r="B3901" s="4">
        <v>17.66</v>
      </c>
      <c r="C3901" s="4">
        <v>0.16</v>
      </c>
      <c r="D3901" s="4">
        <v>7.0000000000000007E-2</v>
      </c>
      <c r="E3901" s="4">
        <v>-2.0873258833932071E-2</v>
      </c>
      <c r="F3901" s="3">
        <v>3899</v>
      </c>
      <c r="G3901" s="3">
        <v>3</v>
      </c>
      <c r="H3901" s="5">
        <v>19543959083.32</v>
      </c>
      <c r="I3901" s="5">
        <v>21725842083.32</v>
      </c>
      <c r="J3901" s="5">
        <v>2508545000</v>
      </c>
      <c r="K3901" s="5">
        <v>326662000</v>
      </c>
      <c r="L3901" s="5">
        <v>15940899000</v>
      </c>
      <c r="M3901" s="5">
        <v>1230332000</v>
      </c>
      <c r="N3901" s="5">
        <v>546520000</v>
      </c>
    </row>
    <row r="3902" spans="1:14" x14ac:dyDescent="0.25">
      <c r="A3902" s="3" t="s">
        <v>3913</v>
      </c>
      <c r="B3902" s="4">
        <v>15.09</v>
      </c>
      <c r="C3902" s="4">
        <v>-0.4</v>
      </c>
      <c r="D3902" s="4">
        <v>0.13</v>
      </c>
      <c r="E3902" s="4">
        <v>-2.0889100803127791E-2</v>
      </c>
      <c r="F3902" s="3">
        <v>3900</v>
      </c>
      <c r="G3902" s="3">
        <v>3</v>
      </c>
      <c r="H3902" s="5">
        <v>5949998162.2399998</v>
      </c>
      <c r="I3902" s="5">
        <v>7526533162.2399998</v>
      </c>
      <c r="J3902" s="5">
        <v>2387713000</v>
      </c>
      <c r="K3902" s="5">
        <v>811178000</v>
      </c>
      <c r="L3902" s="5">
        <v>2808332000</v>
      </c>
      <c r="M3902" s="5">
        <v>498717000</v>
      </c>
      <c r="N3902" s="5">
        <v>303281000</v>
      </c>
    </row>
    <row r="3903" spans="1:14" x14ac:dyDescent="0.25">
      <c r="A3903" s="3" t="s">
        <v>3914</v>
      </c>
      <c r="B3903" s="4">
        <v>17.77</v>
      </c>
      <c r="C3903" s="4">
        <v>0.17</v>
      </c>
      <c r="D3903" s="4">
        <v>0.14000000000000001</v>
      </c>
      <c r="E3903" s="4">
        <v>-2.089894330354293E-2</v>
      </c>
      <c r="F3903" s="3">
        <v>3901</v>
      </c>
      <c r="G3903" s="3">
        <v>3</v>
      </c>
      <c r="H3903" s="5">
        <v>211581473.22</v>
      </c>
      <c r="I3903" s="5">
        <v>196294473.22</v>
      </c>
      <c r="J3903" s="5">
        <v>0</v>
      </c>
      <c r="K3903" s="5">
        <v>15287000</v>
      </c>
      <c r="L3903" s="5">
        <v>64000000</v>
      </c>
      <c r="M3903" s="5">
        <v>11044000</v>
      </c>
      <c r="N3903" s="5">
        <v>7537000</v>
      </c>
    </row>
    <row r="3904" spans="1:14" x14ac:dyDescent="0.25">
      <c r="A3904" s="3" t="s">
        <v>3915</v>
      </c>
      <c r="B3904" s="4">
        <v>17.399999999999999</v>
      </c>
      <c r="C3904" s="4">
        <v>0.09</v>
      </c>
      <c r="D3904" s="4">
        <v>0.08</v>
      </c>
      <c r="E3904" s="4">
        <v>-2.0912665708331769E-2</v>
      </c>
      <c r="F3904" s="3">
        <v>3902</v>
      </c>
      <c r="G3904" s="3">
        <v>3</v>
      </c>
      <c r="H3904" s="5">
        <v>264817355</v>
      </c>
      <c r="I3904" s="5">
        <v>249589355</v>
      </c>
      <c r="J3904" s="5">
        <v>6885000</v>
      </c>
      <c r="K3904" s="5">
        <v>22113000</v>
      </c>
      <c r="L3904" s="5">
        <v>28747000</v>
      </c>
      <c r="M3904" s="5">
        <v>14342000</v>
      </c>
      <c r="N3904" s="5">
        <v>11613000</v>
      </c>
    </row>
    <row r="3905" spans="1:14" x14ac:dyDescent="0.25">
      <c r="A3905" s="3" t="s">
        <v>3916</v>
      </c>
      <c r="B3905" s="4">
        <v>17.149999999999999</v>
      </c>
      <c r="C3905" s="4">
        <v>0.04</v>
      </c>
      <c r="D3905" s="4">
        <v>0.02</v>
      </c>
      <c r="E3905" s="4">
        <v>-2.091397776044215E-2</v>
      </c>
      <c r="F3905" s="3">
        <v>3903</v>
      </c>
      <c r="G3905" s="3">
        <v>3</v>
      </c>
      <c r="H3905" s="5">
        <v>13835074482.360001</v>
      </c>
      <c r="I3905" s="5">
        <v>21631828482.360001</v>
      </c>
      <c r="J3905" s="5">
        <v>8485376000</v>
      </c>
      <c r="K3905" s="5">
        <v>688622000</v>
      </c>
      <c r="L3905" s="5">
        <v>2037014000</v>
      </c>
      <c r="M3905" s="5">
        <v>1261221000</v>
      </c>
      <c r="N3905" s="5">
        <v>410785000</v>
      </c>
    </row>
    <row r="3906" spans="1:14" x14ac:dyDescent="0.25">
      <c r="A3906" s="3" t="s">
        <v>3917</v>
      </c>
      <c r="B3906" s="4">
        <v>17.82</v>
      </c>
      <c r="C3906" s="4">
        <v>0.18</v>
      </c>
      <c r="D3906" s="4">
        <v>7.0000000000000007E-2</v>
      </c>
      <c r="E3906" s="4">
        <v>-2.0914498911056401E-2</v>
      </c>
      <c r="F3906" s="3">
        <v>3904</v>
      </c>
      <c r="G3906" s="3">
        <v>3</v>
      </c>
      <c r="H3906" s="5">
        <v>18646493799.310001</v>
      </c>
      <c r="I3906" s="5">
        <v>19726052799.310001</v>
      </c>
      <c r="J3906" s="5">
        <v>2224354000</v>
      </c>
      <c r="K3906" s="5">
        <v>1144795000</v>
      </c>
      <c r="L3906" s="5">
        <v>11500941000</v>
      </c>
      <c r="M3906" s="5">
        <v>1107181000</v>
      </c>
      <c r="N3906" s="5">
        <v>806093000</v>
      </c>
    </row>
    <row r="3907" spans="1:14" x14ac:dyDescent="0.25">
      <c r="A3907" s="3" t="s">
        <v>3918</v>
      </c>
      <c r="B3907" s="4">
        <v>17.41</v>
      </c>
      <c r="C3907" s="4">
        <v>0.09</v>
      </c>
      <c r="D3907" s="4">
        <v>0.04</v>
      </c>
      <c r="E3907" s="4">
        <v>-2.0926571020338861E-2</v>
      </c>
      <c r="F3907" s="3">
        <v>3905</v>
      </c>
      <c r="G3907" s="3">
        <v>3</v>
      </c>
      <c r="H3907" s="5">
        <v>27704763118.889999</v>
      </c>
      <c r="I3907" s="5">
        <v>35267798118.889999</v>
      </c>
      <c r="J3907" s="5">
        <v>7870375000</v>
      </c>
      <c r="K3907" s="5">
        <v>307340000</v>
      </c>
      <c r="L3907" s="5">
        <v>4165187000</v>
      </c>
      <c r="M3907" s="5">
        <v>2025334000</v>
      </c>
      <c r="N3907" s="5">
        <v>1042895000</v>
      </c>
    </row>
    <row r="3908" spans="1:14" x14ac:dyDescent="0.25">
      <c r="A3908" s="3" t="s">
        <v>3919</v>
      </c>
      <c r="B3908" s="4">
        <v>17.62</v>
      </c>
      <c r="C3908" s="4">
        <v>0.13</v>
      </c>
      <c r="D3908" s="4">
        <v>0.04</v>
      </c>
      <c r="E3908" s="4">
        <v>-2.0940969911919662E-2</v>
      </c>
      <c r="F3908" s="3">
        <v>3906</v>
      </c>
      <c r="G3908" s="3">
        <v>3</v>
      </c>
      <c r="H3908" s="5">
        <v>7041646910.8199997</v>
      </c>
      <c r="I3908" s="5">
        <v>7320647910.8199997</v>
      </c>
      <c r="J3908" s="5">
        <v>734826000</v>
      </c>
      <c r="K3908" s="5">
        <v>455825000</v>
      </c>
      <c r="L3908" s="5">
        <v>6366838000</v>
      </c>
      <c r="M3908" s="5">
        <v>415416000</v>
      </c>
      <c r="N3908" s="5">
        <v>180888000</v>
      </c>
    </row>
    <row r="3909" spans="1:14" x14ac:dyDescent="0.25">
      <c r="A3909" s="3" t="s">
        <v>3920</v>
      </c>
      <c r="B3909" s="4">
        <v>16.670000000000002</v>
      </c>
      <c r="C3909" s="4">
        <v>-7.0000000000000007E-2</v>
      </c>
      <c r="D3909" s="4">
        <v>-0.02</v>
      </c>
      <c r="E3909" s="4">
        <v>-2.0942441670451499E-2</v>
      </c>
      <c r="F3909" s="3">
        <v>3907</v>
      </c>
      <c r="G3909" s="3">
        <v>3</v>
      </c>
      <c r="H3909" s="5">
        <v>61851000</v>
      </c>
      <c r="I3909" s="5">
        <v>135895000</v>
      </c>
      <c r="J3909" s="5">
        <v>101183000</v>
      </c>
      <c r="K3909" s="5">
        <v>27139000</v>
      </c>
      <c r="L3909" s="5">
        <v>48828000</v>
      </c>
      <c r="M3909" s="5">
        <v>8152000</v>
      </c>
      <c r="N3909" s="5">
        <v>-4802000</v>
      </c>
    </row>
    <row r="3910" spans="1:14" x14ac:dyDescent="0.25">
      <c r="A3910" s="3" t="s">
        <v>3921</v>
      </c>
      <c r="B3910" s="4">
        <v>17.61</v>
      </c>
      <c r="C3910" s="4">
        <v>0.12</v>
      </c>
      <c r="D3910" s="4">
        <v>0.01</v>
      </c>
      <c r="E3910" s="4">
        <v>-2.0969461392969551E-2</v>
      </c>
      <c r="F3910" s="3">
        <v>3908</v>
      </c>
      <c r="G3910" s="3">
        <v>3</v>
      </c>
      <c r="H3910" s="5">
        <v>281601089.25</v>
      </c>
      <c r="I3910" s="5">
        <v>394998089.25</v>
      </c>
      <c r="J3910" s="5">
        <v>122444000</v>
      </c>
      <c r="K3910" s="5">
        <v>9047000</v>
      </c>
      <c r="L3910" s="5">
        <v>52692000</v>
      </c>
      <c r="M3910" s="5">
        <v>22431000</v>
      </c>
      <c r="N3910" s="5">
        <v>5789000</v>
      </c>
    </row>
    <row r="3911" spans="1:14" x14ac:dyDescent="0.25">
      <c r="A3911" s="3" t="s">
        <v>3922</v>
      </c>
      <c r="B3911" s="4">
        <v>15.26</v>
      </c>
      <c r="C3911" s="4">
        <v>-0.38</v>
      </c>
      <c r="D3911" s="4">
        <v>-0.05</v>
      </c>
      <c r="E3911" s="4">
        <v>-2.0971252564344289E-2</v>
      </c>
      <c r="F3911" s="3">
        <v>3909</v>
      </c>
      <c r="G3911" s="3">
        <v>3</v>
      </c>
      <c r="H3911" s="5">
        <v>793173781.91999996</v>
      </c>
      <c r="I3911" s="5">
        <v>1155634781.9200001</v>
      </c>
      <c r="J3911" s="5">
        <v>469055000</v>
      </c>
      <c r="K3911" s="5">
        <v>106594000</v>
      </c>
      <c r="L3911" s="5">
        <v>900219000</v>
      </c>
      <c r="M3911" s="5">
        <v>75705000</v>
      </c>
      <c r="N3911" s="5">
        <v>-41704000</v>
      </c>
    </row>
    <row r="3912" spans="1:14" x14ac:dyDescent="0.25">
      <c r="A3912" s="3" t="s">
        <v>3923</v>
      </c>
      <c r="B3912" s="4">
        <v>18.71</v>
      </c>
      <c r="C3912" s="4">
        <v>0.34</v>
      </c>
      <c r="D3912" s="4">
        <v>0.23</v>
      </c>
      <c r="E3912" s="4">
        <v>-2.097217608062487E-2</v>
      </c>
      <c r="F3912" s="3">
        <v>3910</v>
      </c>
      <c r="G3912" s="3">
        <v>3</v>
      </c>
      <c r="H3912" s="5">
        <v>1602929525312.1499</v>
      </c>
      <c r="I3912" s="5">
        <v>1595793525312.1499</v>
      </c>
      <c r="J3912" s="5">
        <v>29535000000</v>
      </c>
      <c r="K3912" s="5">
        <v>36671000000</v>
      </c>
      <c r="L3912" s="5">
        <v>164501000000</v>
      </c>
      <c r="M3912" s="5">
        <v>85270000000</v>
      </c>
      <c r="N3912" s="5">
        <v>62360000000</v>
      </c>
    </row>
    <row r="3913" spans="1:14" x14ac:dyDescent="0.25">
      <c r="A3913" s="3" t="s">
        <v>3924</v>
      </c>
      <c r="B3913" s="4">
        <v>16.510000000000002</v>
      </c>
      <c r="C3913" s="4">
        <v>-0.12</v>
      </c>
      <c r="D3913" s="4">
        <v>-0.04</v>
      </c>
      <c r="E3913" s="4">
        <v>-2.0991740467525562E-2</v>
      </c>
      <c r="F3913" s="3">
        <v>3911</v>
      </c>
      <c r="G3913" s="3">
        <v>3</v>
      </c>
      <c r="H3913" s="5">
        <v>913753582.24000001</v>
      </c>
      <c r="I3913" s="5">
        <v>5093477582.2399998</v>
      </c>
      <c r="J3913" s="5">
        <v>4242980000</v>
      </c>
      <c r="K3913" s="5">
        <v>63256000</v>
      </c>
      <c r="L3913" s="5">
        <v>842082000</v>
      </c>
      <c r="M3913" s="5">
        <v>308552000</v>
      </c>
      <c r="N3913" s="5">
        <v>-352291000</v>
      </c>
    </row>
    <row r="3914" spans="1:14" x14ac:dyDescent="0.25">
      <c r="A3914" s="3" t="s">
        <v>3925</v>
      </c>
      <c r="B3914" s="4">
        <v>17.52</v>
      </c>
      <c r="C3914" s="4">
        <v>0.09</v>
      </c>
      <c r="D3914" s="4">
        <v>0.03</v>
      </c>
      <c r="E3914" s="4">
        <v>-2.099658130958422E-2</v>
      </c>
      <c r="F3914" s="3">
        <v>3912</v>
      </c>
      <c r="G3914" s="3">
        <v>3</v>
      </c>
      <c r="H3914" s="5">
        <v>60281927438.139999</v>
      </c>
      <c r="I3914" s="5">
        <v>94564927438.139999</v>
      </c>
      <c r="J3914" s="5">
        <v>35848000000</v>
      </c>
      <c r="K3914" s="5">
        <v>1565000000</v>
      </c>
      <c r="L3914" s="5">
        <v>13185000000</v>
      </c>
      <c r="M3914" s="5">
        <v>5399000000</v>
      </c>
      <c r="N3914" s="5">
        <v>2862000000</v>
      </c>
    </row>
    <row r="3915" spans="1:14" x14ac:dyDescent="0.25">
      <c r="A3915" s="3" t="s">
        <v>3926</v>
      </c>
      <c r="B3915" s="4">
        <v>17.190000000000001</v>
      </c>
      <c r="C3915" s="4">
        <v>0.02</v>
      </c>
      <c r="D3915" s="4">
        <v>0.01</v>
      </c>
      <c r="E3915" s="4">
        <v>-2.0998450823836879E-2</v>
      </c>
      <c r="F3915" s="3">
        <v>3913</v>
      </c>
      <c r="G3915" s="3">
        <v>3</v>
      </c>
      <c r="H3915" s="5">
        <v>1264823142.8</v>
      </c>
      <c r="I3915" s="5">
        <v>1779825142.8</v>
      </c>
      <c r="J3915" s="5">
        <v>614722000</v>
      </c>
      <c r="K3915" s="5">
        <v>99720000</v>
      </c>
      <c r="L3915" s="5">
        <v>240552000</v>
      </c>
      <c r="M3915" s="5">
        <v>103545000</v>
      </c>
      <c r="N3915" s="5">
        <v>21635000</v>
      </c>
    </row>
    <row r="3916" spans="1:14" x14ac:dyDescent="0.25">
      <c r="A3916" s="3" t="s">
        <v>3927</v>
      </c>
      <c r="B3916" s="4">
        <v>15.44</v>
      </c>
      <c r="C3916" s="4">
        <v>-0.36</v>
      </c>
      <c r="D3916" s="4">
        <v>0.05</v>
      </c>
      <c r="E3916" s="4">
        <v>-2.100558078708771E-2</v>
      </c>
      <c r="F3916" s="3">
        <v>3914</v>
      </c>
      <c r="G3916" s="3">
        <v>3</v>
      </c>
      <c r="H3916" s="5">
        <v>216618048</v>
      </c>
      <c r="I3916" s="5">
        <v>233757048</v>
      </c>
      <c r="J3916" s="5">
        <v>56735000</v>
      </c>
      <c r="K3916" s="5">
        <v>39596000</v>
      </c>
      <c r="L3916" s="5">
        <v>191244000</v>
      </c>
      <c r="M3916" s="5">
        <v>15142000</v>
      </c>
      <c r="N3916" s="5">
        <v>4572000</v>
      </c>
    </row>
    <row r="3917" spans="1:14" x14ac:dyDescent="0.25">
      <c r="A3917" s="3" t="s">
        <v>3928</v>
      </c>
      <c r="B3917" s="4">
        <v>17.59</v>
      </c>
      <c r="C3917" s="4">
        <v>0.1</v>
      </c>
      <c r="D3917" s="4">
        <v>0.04</v>
      </c>
      <c r="E3917" s="4">
        <v>-2.10090831158718E-2</v>
      </c>
      <c r="F3917" s="3">
        <v>3915</v>
      </c>
      <c r="G3917" s="3">
        <v>3</v>
      </c>
      <c r="H3917" s="5">
        <v>9676454835.5200005</v>
      </c>
      <c r="I3917" s="5">
        <v>9050661835.5200005</v>
      </c>
      <c r="J3917" s="5">
        <v>300474000</v>
      </c>
      <c r="K3917" s="5">
        <v>926267000</v>
      </c>
      <c r="L3917" s="5">
        <v>8128382000</v>
      </c>
      <c r="M3917" s="5">
        <v>514515000</v>
      </c>
      <c r="N3917" s="5">
        <v>245893000</v>
      </c>
    </row>
    <row r="3918" spans="1:14" x14ac:dyDescent="0.25">
      <c r="A3918" s="3" t="s">
        <v>3929</v>
      </c>
      <c r="B3918" s="4">
        <v>18.04</v>
      </c>
      <c r="C3918" s="4">
        <v>0.19</v>
      </c>
      <c r="D3918" s="4">
        <v>0.11</v>
      </c>
      <c r="E3918" s="4">
        <v>-2.1014051723067629E-2</v>
      </c>
      <c r="F3918" s="3">
        <v>3916</v>
      </c>
      <c r="G3918" s="3">
        <v>3</v>
      </c>
      <c r="H3918" s="5">
        <v>141723095.84</v>
      </c>
      <c r="I3918" s="5">
        <v>252967385.84</v>
      </c>
      <c r="J3918" s="5">
        <v>111244760</v>
      </c>
      <c r="K3918" s="5">
        <v>470</v>
      </c>
      <c r="L3918" s="5">
        <v>22005670</v>
      </c>
      <c r="M3918" s="5">
        <v>14025380</v>
      </c>
      <c r="N3918" s="5">
        <v>29704930</v>
      </c>
    </row>
    <row r="3919" spans="1:14" x14ac:dyDescent="0.25">
      <c r="A3919" s="3" t="s">
        <v>3930</v>
      </c>
      <c r="B3919" s="4">
        <v>17.57</v>
      </c>
      <c r="C3919" s="4">
        <v>0.09</v>
      </c>
      <c r="D3919" s="4">
        <v>0.06</v>
      </c>
      <c r="E3919" s="4">
        <v>-2.1021740258337088E-2</v>
      </c>
      <c r="F3919" s="3">
        <v>3917</v>
      </c>
      <c r="G3919" s="3">
        <v>3</v>
      </c>
      <c r="H3919" s="5">
        <v>23950945567.080002</v>
      </c>
      <c r="I3919" s="5">
        <v>25822945567.080002</v>
      </c>
      <c r="J3919" s="5">
        <v>2043701000</v>
      </c>
      <c r="K3919" s="5">
        <v>171701000</v>
      </c>
      <c r="L3919" s="5">
        <v>5459515000</v>
      </c>
      <c r="M3919" s="5">
        <v>1469942000</v>
      </c>
      <c r="N3919" s="5">
        <v>614641000</v>
      </c>
    </row>
    <row r="3920" spans="1:14" x14ac:dyDescent="0.25">
      <c r="A3920" s="3" t="s">
        <v>3931</v>
      </c>
      <c r="B3920" s="4">
        <v>16.989999999999998</v>
      </c>
      <c r="C3920" s="4">
        <v>-0.03</v>
      </c>
      <c r="D3920" s="4">
        <v>-0.01</v>
      </c>
      <c r="E3920" s="4">
        <v>-2.1022992798122631E-2</v>
      </c>
      <c r="F3920" s="3">
        <v>3918</v>
      </c>
      <c r="G3920" s="3">
        <v>3</v>
      </c>
      <c r="H3920" s="5">
        <v>1956150660.0999999</v>
      </c>
      <c r="I3920" s="5">
        <v>2232204660.0999999</v>
      </c>
      <c r="J3920" s="5">
        <v>350002000</v>
      </c>
      <c r="K3920" s="5">
        <v>73948000</v>
      </c>
      <c r="L3920" s="5">
        <v>1823320000</v>
      </c>
      <c r="M3920" s="5">
        <v>131350000</v>
      </c>
      <c r="N3920" s="5">
        <v>-28499000</v>
      </c>
    </row>
    <row r="3921" spans="1:14" x14ac:dyDescent="0.25">
      <c r="A3921" s="3" t="s">
        <v>3932</v>
      </c>
      <c r="B3921" s="4">
        <v>17.28</v>
      </c>
      <c r="C3921" s="4">
        <v>0.03</v>
      </c>
      <c r="D3921" s="4">
        <v>0.01</v>
      </c>
      <c r="E3921" s="4">
        <v>-2.1025260068096119E-2</v>
      </c>
      <c r="F3921" s="3">
        <v>3919</v>
      </c>
      <c r="G3921" s="3">
        <v>3</v>
      </c>
      <c r="H3921" s="5">
        <v>11358797633.4</v>
      </c>
      <c r="I3921" s="5">
        <v>17184436633.400002</v>
      </c>
      <c r="J3921" s="5">
        <v>5826965000</v>
      </c>
      <c r="K3921" s="5">
        <v>1326000</v>
      </c>
      <c r="L3921" s="5">
        <v>1671842000</v>
      </c>
      <c r="M3921" s="5">
        <v>994206000</v>
      </c>
      <c r="N3921" s="5">
        <v>89585000</v>
      </c>
    </row>
    <row r="3922" spans="1:14" x14ac:dyDescent="0.25">
      <c r="A3922" s="3" t="s">
        <v>3933</v>
      </c>
      <c r="B3922" s="4">
        <v>17.53</v>
      </c>
      <c r="C3922" s="4">
        <v>0.08</v>
      </c>
      <c r="D3922" s="4">
        <v>0.05</v>
      </c>
      <c r="E3922" s="4">
        <v>-2.1027806069140752E-2</v>
      </c>
      <c r="F3922" s="3">
        <v>3920</v>
      </c>
      <c r="G3922" s="3">
        <v>3</v>
      </c>
      <c r="H3922" s="5">
        <v>30976654968</v>
      </c>
      <c r="I3922" s="5">
        <v>34192954968</v>
      </c>
      <c r="J3922" s="5">
        <v>4757500000</v>
      </c>
      <c r="K3922" s="5">
        <v>1541200000</v>
      </c>
      <c r="L3922" s="5">
        <v>7235000000</v>
      </c>
      <c r="M3922" s="5">
        <v>1950600000</v>
      </c>
      <c r="N3922" s="5">
        <v>838600000</v>
      </c>
    </row>
    <row r="3923" spans="1:14" x14ac:dyDescent="0.25">
      <c r="A3923" s="3" t="s">
        <v>3934</v>
      </c>
      <c r="B3923" s="4">
        <v>17.739999999999998</v>
      </c>
      <c r="C3923" s="4">
        <v>0.12</v>
      </c>
      <c r="D3923" s="4">
        <v>0.05</v>
      </c>
      <c r="E3923" s="4">
        <v>-2.1042204960721539E-2</v>
      </c>
      <c r="F3923" s="3">
        <v>3921</v>
      </c>
      <c r="G3923" s="3">
        <v>3</v>
      </c>
      <c r="H3923" s="5">
        <v>12034562979.120001</v>
      </c>
      <c r="I3923" s="5">
        <v>14406562979.120001</v>
      </c>
      <c r="J3923" s="5">
        <v>3203000000</v>
      </c>
      <c r="K3923" s="5">
        <v>831000000</v>
      </c>
      <c r="L3923" s="5">
        <v>11535000000</v>
      </c>
      <c r="M3923" s="5">
        <v>812000000</v>
      </c>
      <c r="N3923" s="5">
        <v>550000000</v>
      </c>
    </row>
    <row r="3924" spans="1:14" x14ac:dyDescent="0.25">
      <c r="A3924" s="3" t="s">
        <v>3935</v>
      </c>
      <c r="B3924" s="4">
        <v>19.190000000000001</v>
      </c>
      <c r="C3924" s="4">
        <v>0.42</v>
      </c>
      <c r="D3924" s="4">
        <v>0.2</v>
      </c>
      <c r="E3924" s="4">
        <v>-2.104389617770144E-2</v>
      </c>
      <c r="F3924" s="3">
        <v>3922</v>
      </c>
      <c r="G3924" s="3">
        <v>3</v>
      </c>
      <c r="H3924" s="5">
        <v>9932763052.6399994</v>
      </c>
      <c r="I3924" s="5">
        <v>9877175052.6399994</v>
      </c>
      <c r="J3924" s="5">
        <v>471772000</v>
      </c>
      <c r="K3924" s="5">
        <v>527360000</v>
      </c>
      <c r="L3924" s="5">
        <v>868516000</v>
      </c>
      <c r="M3924" s="5">
        <v>514825000</v>
      </c>
      <c r="N3924" s="5">
        <v>358614000</v>
      </c>
    </row>
    <row r="3925" spans="1:14" x14ac:dyDescent="0.25">
      <c r="A3925" s="3" t="s">
        <v>3936</v>
      </c>
      <c r="B3925" s="4">
        <v>19.47</v>
      </c>
      <c r="C3925" s="4">
        <v>0.48</v>
      </c>
      <c r="D3925" s="4">
        <v>0.1</v>
      </c>
      <c r="E3925" s="4">
        <v>-2.1063122560907921E-2</v>
      </c>
      <c r="F3925" s="3">
        <v>3923</v>
      </c>
      <c r="G3925" s="3">
        <v>3</v>
      </c>
      <c r="H3925" s="5">
        <v>91598677.439999998</v>
      </c>
      <c r="I3925" s="5">
        <v>204756677.44</v>
      </c>
      <c r="J3925" s="5">
        <v>128072000</v>
      </c>
      <c r="K3925" s="5">
        <v>14914000</v>
      </c>
      <c r="L3925" s="5">
        <v>28678000</v>
      </c>
      <c r="M3925" s="5">
        <v>10514000</v>
      </c>
      <c r="N3925" s="5">
        <v>15852000</v>
      </c>
    </row>
    <row r="3926" spans="1:14" x14ac:dyDescent="0.25">
      <c r="A3926" s="3" t="s">
        <v>3937</v>
      </c>
      <c r="B3926" s="4">
        <v>17.920000000000002</v>
      </c>
      <c r="C3926" s="4">
        <v>0.15</v>
      </c>
      <c r="D3926" s="4">
        <v>0.04</v>
      </c>
      <c r="E3926" s="4">
        <v>-2.106885886880307E-2</v>
      </c>
      <c r="F3926" s="3">
        <v>3924</v>
      </c>
      <c r="G3926" s="3">
        <v>3</v>
      </c>
      <c r="H3926" s="5">
        <v>3834335323.2800002</v>
      </c>
      <c r="I3926" s="5">
        <v>5211102323.2800007</v>
      </c>
      <c r="J3926" s="5">
        <v>1423759000</v>
      </c>
      <c r="K3926" s="5">
        <v>46992000</v>
      </c>
      <c r="L3926" s="5">
        <v>526063000</v>
      </c>
      <c r="M3926" s="5">
        <v>290868000</v>
      </c>
      <c r="N3926" s="5">
        <v>98595000</v>
      </c>
    </row>
    <row r="3927" spans="1:14" x14ac:dyDescent="0.25">
      <c r="A3927" s="3" t="s">
        <v>3938</v>
      </c>
      <c r="B3927" s="4">
        <v>17.36</v>
      </c>
      <c r="C3927" s="4">
        <v>0.03</v>
      </c>
      <c r="D3927" s="4">
        <v>0.01</v>
      </c>
      <c r="E3927" s="4">
        <v>-2.107477371367274E-2</v>
      </c>
      <c r="F3927" s="3">
        <v>3925</v>
      </c>
      <c r="G3927" s="3">
        <v>3</v>
      </c>
      <c r="H3927" s="5">
        <v>12418753337.01</v>
      </c>
      <c r="I3927" s="5">
        <v>21014984337.009998</v>
      </c>
      <c r="J3927" s="5">
        <v>8716049000</v>
      </c>
      <c r="K3927" s="5">
        <v>119818000</v>
      </c>
      <c r="L3927" s="5">
        <v>2700449000</v>
      </c>
      <c r="M3927" s="5">
        <v>1210737000</v>
      </c>
      <c r="N3927" s="5">
        <v>243142000</v>
      </c>
    </row>
    <row r="3928" spans="1:14" x14ac:dyDescent="0.25">
      <c r="A3928" s="3" t="s">
        <v>3939</v>
      </c>
      <c r="B3928" s="4">
        <v>18.22</v>
      </c>
      <c r="C3928" s="4">
        <v>0.21</v>
      </c>
      <c r="D3928" s="4">
        <v>7.0000000000000007E-2</v>
      </c>
      <c r="E3928" s="4">
        <v>-2.1075386317896131E-2</v>
      </c>
      <c r="F3928" s="3">
        <v>3926</v>
      </c>
      <c r="G3928" s="3">
        <v>3</v>
      </c>
      <c r="H3928" s="5">
        <v>13174007147.84</v>
      </c>
      <c r="I3928" s="5">
        <v>14230135147.84</v>
      </c>
      <c r="J3928" s="5">
        <v>1082979000</v>
      </c>
      <c r="K3928" s="5">
        <v>26851000</v>
      </c>
      <c r="L3928" s="5">
        <v>860387000</v>
      </c>
      <c r="M3928" s="5">
        <v>780809000</v>
      </c>
      <c r="N3928" s="5">
        <v>359245000</v>
      </c>
    </row>
    <row r="3929" spans="1:14" x14ac:dyDescent="0.25">
      <c r="A3929" s="3" t="s">
        <v>3940</v>
      </c>
      <c r="B3929" s="4">
        <v>17.66</v>
      </c>
      <c r="C3929" s="4">
        <v>0.09</v>
      </c>
      <c r="D3929" s="4">
        <v>0.04</v>
      </c>
      <c r="E3929" s="4">
        <v>-2.1081301162765801E-2</v>
      </c>
      <c r="F3929" s="3">
        <v>3927</v>
      </c>
      <c r="G3929" s="3">
        <v>3</v>
      </c>
      <c r="H3929" s="5">
        <v>12713657580</v>
      </c>
      <c r="I3929" s="5">
        <v>17034176580</v>
      </c>
      <c r="J3929" s="5">
        <v>4838859000</v>
      </c>
      <c r="K3929" s="5">
        <v>518340000</v>
      </c>
      <c r="L3929" s="5">
        <v>1051390000</v>
      </c>
      <c r="M3929" s="5">
        <v>964311000</v>
      </c>
      <c r="N3929" s="5">
        <v>406326000</v>
      </c>
    </row>
    <row r="3930" spans="1:14" x14ac:dyDescent="0.25">
      <c r="A3930" s="3" t="s">
        <v>3941</v>
      </c>
      <c r="B3930" s="4">
        <v>16.34</v>
      </c>
      <c r="C3930" s="4">
        <v>-0.19</v>
      </c>
      <c r="D3930" s="4">
        <v>-7.0000000000000007E-2</v>
      </c>
      <c r="E3930" s="4">
        <v>-2.1094566299508968E-2</v>
      </c>
      <c r="F3930" s="3">
        <v>3928</v>
      </c>
      <c r="G3930" s="3">
        <v>3</v>
      </c>
      <c r="H3930" s="5">
        <v>1030335323.3099999</v>
      </c>
      <c r="I3930" s="5">
        <v>3796655323.3099999</v>
      </c>
      <c r="J3930" s="5">
        <v>2910904000</v>
      </c>
      <c r="K3930" s="5">
        <v>144584000</v>
      </c>
      <c r="L3930" s="5">
        <v>1495427000</v>
      </c>
      <c r="M3930" s="5">
        <v>232367000</v>
      </c>
      <c r="N3930" s="5">
        <v>-370255000</v>
      </c>
    </row>
    <row r="3931" spans="1:14" x14ac:dyDescent="0.25">
      <c r="A3931" s="3" t="s">
        <v>3942</v>
      </c>
      <c r="B3931" s="4">
        <v>17.11</v>
      </c>
      <c r="C3931" s="4">
        <v>-0.03</v>
      </c>
      <c r="D3931" s="4">
        <v>-0.02</v>
      </c>
      <c r="E3931" s="4">
        <v>-2.1099192293065071E-2</v>
      </c>
      <c r="F3931" s="3">
        <v>3929</v>
      </c>
      <c r="G3931" s="3">
        <v>3</v>
      </c>
      <c r="H3931" s="5">
        <v>3062257528.8800001</v>
      </c>
      <c r="I3931" s="5">
        <v>2652349528.8800001</v>
      </c>
      <c r="J3931" s="5">
        <v>34853000</v>
      </c>
      <c r="K3931" s="5">
        <v>444761000</v>
      </c>
      <c r="L3931" s="5">
        <v>2237788000</v>
      </c>
      <c r="M3931" s="5">
        <v>154992000</v>
      </c>
      <c r="N3931" s="5">
        <v>-146236000</v>
      </c>
    </row>
    <row r="3932" spans="1:14" x14ac:dyDescent="0.25">
      <c r="A3932" s="3" t="s">
        <v>3943</v>
      </c>
      <c r="B3932" s="4">
        <v>17.690000000000001</v>
      </c>
      <c r="C3932" s="4">
        <v>0.09</v>
      </c>
      <c r="D3932" s="4">
        <v>0.03</v>
      </c>
      <c r="E3932" s="4">
        <v>-2.1101797806434539E-2</v>
      </c>
      <c r="F3932" s="3">
        <v>3930</v>
      </c>
      <c r="G3932" s="3">
        <v>3</v>
      </c>
      <c r="H3932" s="5">
        <v>1805492225.04</v>
      </c>
      <c r="I3932" s="5">
        <v>1971157225.04</v>
      </c>
      <c r="J3932" s="5">
        <v>266257000</v>
      </c>
      <c r="K3932" s="5">
        <v>100592000</v>
      </c>
      <c r="L3932" s="5">
        <v>352208000</v>
      </c>
      <c r="M3932" s="5">
        <v>111458000</v>
      </c>
      <c r="N3932" s="5">
        <v>26059000</v>
      </c>
    </row>
    <row r="3933" spans="1:14" x14ac:dyDescent="0.25">
      <c r="A3933" s="3" t="s">
        <v>3944</v>
      </c>
      <c r="B3933" s="4">
        <v>17.79</v>
      </c>
      <c r="C3933" s="4">
        <v>0.11</v>
      </c>
      <c r="D3933" s="4">
        <v>0.05</v>
      </c>
      <c r="E3933" s="4">
        <v>-2.1102044596221389E-2</v>
      </c>
      <c r="F3933" s="3">
        <v>3931</v>
      </c>
      <c r="G3933" s="3">
        <v>3</v>
      </c>
      <c r="H3933" s="5">
        <v>6018290306.3199997</v>
      </c>
      <c r="I3933" s="5">
        <v>12844775306.32</v>
      </c>
      <c r="J3933" s="5">
        <v>7056091000</v>
      </c>
      <c r="K3933" s="5">
        <v>229606000</v>
      </c>
      <c r="L3933" s="5">
        <v>1326901000</v>
      </c>
      <c r="M3933" s="5">
        <v>722119000</v>
      </c>
      <c r="N3933" s="5">
        <v>694097000</v>
      </c>
    </row>
    <row r="3934" spans="1:14" x14ac:dyDescent="0.25">
      <c r="A3934" s="3" t="s">
        <v>3945</v>
      </c>
      <c r="B3934" s="4">
        <v>17.75</v>
      </c>
      <c r="C3934" s="4">
        <v>0.1</v>
      </c>
      <c r="D3934" s="4">
        <v>0.06</v>
      </c>
      <c r="E3934" s="4">
        <v>-2.1104252353870031E-2</v>
      </c>
      <c r="F3934" s="3">
        <v>3932</v>
      </c>
      <c r="G3934" s="3">
        <v>3</v>
      </c>
      <c r="H3934" s="5">
        <v>35220599459.720001</v>
      </c>
      <c r="I3934" s="5">
        <v>38485599459.720001</v>
      </c>
      <c r="J3934" s="5">
        <v>3980000000</v>
      </c>
      <c r="K3934" s="5">
        <v>715000000</v>
      </c>
      <c r="L3934" s="5">
        <v>10387000000</v>
      </c>
      <c r="M3934" s="5">
        <v>2168000000</v>
      </c>
      <c r="N3934" s="5">
        <v>1056000000</v>
      </c>
    </row>
    <row r="3935" spans="1:14" x14ac:dyDescent="0.25">
      <c r="A3935" s="3" t="s">
        <v>3946</v>
      </c>
      <c r="B3935" s="4">
        <v>16.88</v>
      </c>
      <c r="C3935" s="4">
        <v>-0.08</v>
      </c>
      <c r="D3935" s="4">
        <v>-0.06</v>
      </c>
      <c r="E3935" s="4">
        <v>-2.1109024703414601E-2</v>
      </c>
      <c r="F3935" s="3">
        <v>3933</v>
      </c>
      <c r="G3935" s="3">
        <v>3</v>
      </c>
      <c r="H3935" s="5">
        <v>150093939.59999999</v>
      </c>
      <c r="I3935" s="5">
        <v>101561939.59999999</v>
      </c>
      <c r="J3935" s="5">
        <v>240000</v>
      </c>
      <c r="K3935" s="5">
        <v>48772000</v>
      </c>
      <c r="L3935" s="5">
        <v>139236000</v>
      </c>
      <c r="M3935" s="5">
        <v>6016000</v>
      </c>
      <c r="N3935" s="5">
        <v>-10055000</v>
      </c>
    </row>
    <row r="3936" spans="1:14" x14ac:dyDescent="0.25">
      <c r="A3936" s="3" t="s">
        <v>3947</v>
      </c>
      <c r="B3936" s="4">
        <v>12.82</v>
      </c>
      <c r="C3936" s="4">
        <v>-0.93</v>
      </c>
      <c r="D3936" s="4">
        <v>-0.38</v>
      </c>
      <c r="E3936" s="4">
        <v>-2.111389263711028E-2</v>
      </c>
      <c r="F3936" s="3">
        <v>3934</v>
      </c>
      <c r="G3936" s="3">
        <v>3</v>
      </c>
      <c r="H3936" s="5">
        <v>387549862.24000001</v>
      </c>
      <c r="I3936" s="5">
        <v>525289862.24000001</v>
      </c>
      <c r="J3936" s="5">
        <v>243118000</v>
      </c>
      <c r="K3936" s="5">
        <v>105378000</v>
      </c>
      <c r="L3936" s="5">
        <v>252202000</v>
      </c>
      <c r="M3936" s="5">
        <v>40990000</v>
      </c>
      <c r="N3936" s="5">
        <v>-413124000</v>
      </c>
    </row>
    <row r="3937" spans="1:14" x14ac:dyDescent="0.25">
      <c r="A3937" s="3" t="s">
        <v>3948</v>
      </c>
      <c r="B3937" s="4">
        <v>17.72</v>
      </c>
      <c r="C3937" s="4">
        <v>0.09</v>
      </c>
      <c r="D3937" s="4">
        <v>0.04</v>
      </c>
      <c r="E3937" s="4">
        <v>-2.111843639694827E-2</v>
      </c>
      <c r="F3937" s="3">
        <v>3935</v>
      </c>
      <c r="G3937" s="3">
        <v>3</v>
      </c>
      <c r="H3937" s="5">
        <v>952739978.27999997</v>
      </c>
      <c r="I3937" s="5">
        <v>2386202978.2800002</v>
      </c>
      <c r="J3937" s="5">
        <v>1450421000</v>
      </c>
      <c r="K3937" s="5">
        <v>16958000</v>
      </c>
      <c r="L3937" s="5">
        <v>286169000</v>
      </c>
      <c r="M3937" s="5">
        <v>134660000</v>
      </c>
      <c r="N3937" s="5">
        <v>110289000</v>
      </c>
    </row>
    <row r="3938" spans="1:14" x14ac:dyDescent="0.25">
      <c r="A3938" s="3" t="s">
        <v>3949</v>
      </c>
      <c r="B3938" s="4">
        <v>17.34</v>
      </c>
      <c r="C3938" s="4">
        <v>0.01</v>
      </c>
      <c r="D3938" s="4">
        <v>0.01</v>
      </c>
      <c r="E3938" s="4">
        <v>-2.1120182516307501E-2</v>
      </c>
      <c r="F3938" s="3">
        <v>3936</v>
      </c>
      <c r="G3938" s="3">
        <v>3</v>
      </c>
      <c r="H3938" s="5">
        <v>2125218624.4000001</v>
      </c>
      <c r="I3938" s="5">
        <v>2778238624.4000001</v>
      </c>
      <c r="J3938" s="5">
        <v>740415000</v>
      </c>
      <c r="K3938" s="5">
        <v>87395000</v>
      </c>
      <c r="L3938" s="5">
        <v>273974000</v>
      </c>
      <c r="M3938" s="5">
        <v>160188000</v>
      </c>
      <c r="N3938" s="5">
        <v>13658000</v>
      </c>
    </row>
    <row r="3939" spans="1:14" x14ac:dyDescent="0.25">
      <c r="A3939" s="3" t="s">
        <v>3950</v>
      </c>
      <c r="B3939" s="4">
        <v>-0.56999999999999995</v>
      </c>
      <c r="C3939" s="4">
        <v>-3.78</v>
      </c>
      <c r="D3939" s="4">
        <v>-0.7</v>
      </c>
      <c r="E3939" s="4">
        <v>-2.112295305832429E-2</v>
      </c>
      <c r="F3939" s="3">
        <v>3937</v>
      </c>
      <c r="G3939" s="3">
        <v>3</v>
      </c>
      <c r="H3939" s="5">
        <v>4802494.84</v>
      </c>
      <c r="I3939" s="5">
        <v>7299494.8399999999</v>
      </c>
      <c r="J3939" s="5">
        <v>6919000</v>
      </c>
      <c r="K3939" s="5">
        <v>4422000</v>
      </c>
      <c r="L3939" s="5">
        <v>24382000</v>
      </c>
      <c r="M3939" s="5">
        <v>-12817000</v>
      </c>
      <c r="N3939" s="5">
        <v>-15164000</v>
      </c>
    </row>
    <row r="3940" spans="1:14" x14ac:dyDescent="0.25">
      <c r="A3940" s="3" t="s">
        <v>3951</v>
      </c>
      <c r="B3940" s="4">
        <v>17.649999999999999</v>
      </c>
      <c r="C3940" s="4">
        <v>7.0000000000000007E-2</v>
      </c>
      <c r="D3940" s="4">
        <v>0.02</v>
      </c>
      <c r="E3940" s="4">
        <v>-2.113675722425265E-2</v>
      </c>
      <c r="F3940" s="3">
        <v>3938</v>
      </c>
      <c r="G3940" s="3">
        <v>3</v>
      </c>
      <c r="H3940" s="5">
        <v>353320619.12</v>
      </c>
      <c r="I3940" s="5">
        <v>942759549.11999989</v>
      </c>
      <c r="J3940" s="5">
        <v>794162850</v>
      </c>
      <c r="K3940" s="5">
        <v>204723920</v>
      </c>
      <c r="L3940" s="5">
        <v>148855240</v>
      </c>
      <c r="M3940" s="5">
        <v>53414630</v>
      </c>
      <c r="N3940" s="5">
        <v>28086260</v>
      </c>
    </row>
    <row r="3941" spans="1:14" x14ac:dyDescent="0.25">
      <c r="A3941" s="3" t="s">
        <v>3952</v>
      </c>
      <c r="B3941" s="4">
        <v>17.23</v>
      </c>
      <c r="C3941" s="4">
        <v>-0.02</v>
      </c>
      <c r="D3941" s="4">
        <v>-0.01</v>
      </c>
      <c r="E3941" s="4">
        <v>-2.114264012783804E-2</v>
      </c>
      <c r="F3941" s="3">
        <v>3939</v>
      </c>
      <c r="G3941" s="3">
        <v>3</v>
      </c>
      <c r="H3941" s="5">
        <v>18903660.300000001</v>
      </c>
      <c r="I3941" s="5">
        <v>24667660.300000001</v>
      </c>
      <c r="J3941" s="5">
        <v>6032000</v>
      </c>
      <c r="K3941" s="5">
        <v>268000</v>
      </c>
      <c r="L3941" s="5">
        <v>43701000</v>
      </c>
      <c r="M3941" s="5">
        <v>1432000</v>
      </c>
      <c r="N3941" s="5">
        <v>-370000</v>
      </c>
    </row>
    <row r="3942" spans="1:14" x14ac:dyDescent="0.25">
      <c r="A3942" s="3" t="s">
        <v>3953</v>
      </c>
      <c r="B3942" s="4">
        <v>17.77</v>
      </c>
      <c r="C3942" s="4">
        <v>0.08</v>
      </c>
      <c r="D3942" s="4">
        <v>0.03</v>
      </c>
      <c r="E3942" s="4">
        <v>-2.1180205059025611E-2</v>
      </c>
      <c r="F3942" s="3">
        <v>3940</v>
      </c>
      <c r="G3942" s="3">
        <v>3</v>
      </c>
      <c r="H3942" s="5">
        <v>54769069880.550003</v>
      </c>
      <c r="I3942" s="5">
        <v>73093069880.550003</v>
      </c>
      <c r="J3942" s="5">
        <v>20062000000</v>
      </c>
      <c r="K3942" s="5">
        <v>1738000000</v>
      </c>
      <c r="L3942" s="5">
        <v>143153000000</v>
      </c>
      <c r="M3942" s="5">
        <v>4113000000</v>
      </c>
      <c r="N3942" s="5">
        <v>2117000000</v>
      </c>
    </row>
    <row r="3943" spans="1:14" x14ac:dyDescent="0.25">
      <c r="A3943" s="3" t="s">
        <v>3954</v>
      </c>
      <c r="B3943" s="4">
        <v>17.68</v>
      </c>
      <c r="C3943" s="4">
        <v>0.06</v>
      </c>
      <c r="D3943" s="4">
        <v>0.02</v>
      </c>
      <c r="E3943" s="4">
        <v>-2.1184218448358341E-2</v>
      </c>
      <c r="F3943" s="3">
        <v>3941</v>
      </c>
      <c r="G3943" s="3">
        <v>3</v>
      </c>
      <c r="H3943" s="5">
        <v>15707597144.4</v>
      </c>
      <c r="I3943" s="5">
        <v>17531806144.400002</v>
      </c>
      <c r="J3943" s="5">
        <v>2224112000</v>
      </c>
      <c r="K3943" s="5">
        <v>399903000</v>
      </c>
      <c r="L3943" s="5">
        <v>12303464000</v>
      </c>
      <c r="M3943" s="5">
        <v>991663000</v>
      </c>
      <c r="N3943" s="5">
        <v>162788000</v>
      </c>
    </row>
    <row r="3944" spans="1:14" x14ac:dyDescent="0.25">
      <c r="A3944" s="3" t="s">
        <v>3955</v>
      </c>
      <c r="B3944" s="4">
        <v>17.399999999999999</v>
      </c>
      <c r="C3944" s="4">
        <v>0</v>
      </c>
      <c r="D3944" s="4">
        <v>0</v>
      </c>
      <c r="E3944" s="4">
        <v>-2.1188140384081931E-2</v>
      </c>
      <c r="F3944" s="3">
        <v>3942</v>
      </c>
      <c r="G3944" s="3">
        <v>3</v>
      </c>
      <c r="H3944" s="5">
        <v>794161555.70000005</v>
      </c>
      <c r="I3944" s="5">
        <v>2234663555.6999998</v>
      </c>
      <c r="J3944" s="5">
        <v>1463650000</v>
      </c>
      <c r="K3944" s="5">
        <v>23148000</v>
      </c>
      <c r="L3944" s="5">
        <v>259701000</v>
      </c>
      <c r="M3944" s="5">
        <v>128465000</v>
      </c>
      <c r="N3944" s="5">
        <v>1110000</v>
      </c>
    </row>
    <row r="3945" spans="1:14" x14ac:dyDescent="0.25">
      <c r="A3945" s="3" t="s">
        <v>3956</v>
      </c>
      <c r="B3945" s="4">
        <v>17.34</v>
      </c>
      <c r="C3945" s="4">
        <v>-0.02</v>
      </c>
      <c r="D3945" s="4">
        <v>0</v>
      </c>
      <c r="E3945" s="4">
        <v>-2.1208792363928381E-2</v>
      </c>
      <c r="F3945" s="3">
        <v>3943</v>
      </c>
      <c r="G3945" s="3">
        <v>3</v>
      </c>
      <c r="H3945" s="5">
        <v>163443856.44999999</v>
      </c>
      <c r="I3945" s="5">
        <v>242547856.44999999</v>
      </c>
      <c r="J3945" s="5">
        <v>136520000</v>
      </c>
      <c r="K3945" s="5">
        <v>57416000</v>
      </c>
      <c r="L3945" s="5">
        <v>458505000</v>
      </c>
      <c r="M3945" s="5">
        <v>13989000</v>
      </c>
      <c r="N3945" s="5">
        <v>-1591000</v>
      </c>
    </row>
    <row r="3946" spans="1:14" x14ac:dyDescent="0.25">
      <c r="A3946" s="3" t="s">
        <v>3957</v>
      </c>
      <c r="B3946" s="4">
        <v>-0.62</v>
      </c>
      <c r="C3946" s="4">
        <v>-3.77</v>
      </c>
      <c r="D3946" s="4">
        <v>-1.55</v>
      </c>
      <c r="E3946" s="4">
        <v>-2.1227080681912439E-2</v>
      </c>
      <c r="F3946" s="3">
        <v>3944</v>
      </c>
      <c r="G3946" s="3">
        <v>3</v>
      </c>
      <c r="H3946" s="5">
        <v>25174071</v>
      </c>
      <c r="I3946" s="5">
        <v>20664071</v>
      </c>
      <c r="J3946" s="5">
        <v>16076000</v>
      </c>
      <c r="K3946" s="5">
        <v>20586000</v>
      </c>
      <c r="L3946" s="5">
        <v>602000</v>
      </c>
      <c r="M3946" s="5">
        <v>-33558000</v>
      </c>
      <c r="N3946" s="5">
        <v>-75041000</v>
      </c>
    </row>
    <row r="3947" spans="1:14" x14ac:dyDescent="0.25">
      <c r="A3947" s="3" t="s">
        <v>3958</v>
      </c>
      <c r="B3947" s="4">
        <v>18.59</v>
      </c>
      <c r="C3947" s="4">
        <v>0.23</v>
      </c>
      <c r="D3947" s="4">
        <v>0.17</v>
      </c>
      <c r="E3947" s="4">
        <v>-2.122730944888401E-2</v>
      </c>
      <c r="F3947" s="3">
        <v>3945</v>
      </c>
      <c r="G3947" s="3">
        <v>3</v>
      </c>
      <c r="H3947" s="5">
        <v>35793854614.68</v>
      </c>
      <c r="I3947" s="5">
        <v>35252696614.68</v>
      </c>
      <c r="J3947" s="5">
        <v>668292000</v>
      </c>
      <c r="K3947" s="5">
        <v>1209450000</v>
      </c>
      <c r="L3947" s="5">
        <v>5146327000</v>
      </c>
      <c r="M3947" s="5">
        <v>1896097000</v>
      </c>
      <c r="N3947" s="5">
        <v>1400723000</v>
      </c>
    </row>
    <row r="3948" spans="1:14" x14ac:dyDescent="0.25">
      <c r="A3948" s="3" t="s">
        <v>3959</v>
      </c>
      <c r="B3948" s="4">
        <v>17.71</v>
      </c>
      <c r="C3948" s="4">
        <v>0.05</v>
      </c>
      <c r="D3948" s="4">
        <v>0.02</v>
      </c>
      <c r="E3948" s="4">
        <v>-2.1231679672464029E-2</v>
      </c>
      <c r="F3948" s="3">
        <v>3946</v>
      </c>
      <c r="G3948" s="3">
        <v>3</v>
      </c>
      <c r="H3948" s="5">
        <v>149714409.40000001</v>
      </c>
      <c r="I3948" s="5">
        <v>434570409.39999998</v>
      </c>
      <c r="J3948" s="5">
        <v>293900000</v>
      </c>
      <c r="K3948" s="5">
        <v>9044000</v>
      </c>
      <c r="L3948" s="5">
        <v>60527000</v>
      </c>
      <c r="M3948" s="5">
        <v>24532000</v>
      </c>
      <c r="N3948" s="5">
        <v>9704000</v>
      </c>
    </row>
    <row r="3949" spans="1:14" x14ac:dyDescent="0.25">
      <c r="A3949" s="3" t="s">
        <v>3960</v>
      </c>
      <c r="B3949" s="4">
        <v>16.43</v>
      </c>
      <c r="C3949" s="4">
        <v>-0.22</v>
      </c>
      <c r="D3949" s="4">
        <v>-7.0000000000000007E-2</v>
      </c>
      <c r="E3949" s="4">
        <v>-2.1236949971826031E-2</v>
      </c>
      <c r="F3949" s="3">
        <v>3947</v>
      </c>
      <c r="G3949" s="3">
        <v>3</v>
      </c>
      <c r="H3949" s="5">
        <v>1215293291.2</v>
      </c>
      <c r="I3949" s="5">
        <v>1017975291.2</v>
      </c>
      <c r="J3949" s="5">
        <v>98375000</v>
      </c>
      <c r="K3949" s="5">
        <v>295693000</v>
      </c>
      <c r="L3949" s="5">
        <v>1185326000</v>
      </c>
      <c r="M3949" s="5">
        <v>61943000</v>
      </c>
      <c r="N3949" s="5">
        <v>-289670000</v>
      </c>
    </row>
    <row r="3950" spans="1:14" x14ac:dyDescent="0.25">
      <c r="A3950" s="3" t="s">
        <v>3961</v>
      </c>
      <c r="B3950" s="4">
        <v>16.97</v>
      </c>
      <c r="C3950" s="4">
        <v>-0.11</v>
      </c>
      <c r="D3950" s="4">
        <v>-0.04</v>
      </c>
      <c r="E3950" s="4">
        <v>-2.1247550322576671E-2</v>
      </c>
      <c r="F3950" s="3">
        <v>3948</v>
      </c>
      <c r="G3950" s="3">
        <v>3</v>
      </c>
      <c r="H3950" s="5">
        <v>37850000</v>
      </c>
      <c r="I3950" s="5">
        <v>88349000</v>
      </c>
      <c r="J3950" s="5">
        <v>56674000</v>
      </c>
      <c r="K3950" s="5">
        <v>6175000</v>
      </c>
      <c r="L3950" s="5">
        <v>29880000</v>
      </c>
      <c r="M3950" s="5">
        <v>5205000</v>
      </c>
      <c r="N3950" s="5">
        <v>-5235000</v>
      </c>
    </row>
    <row r="3951" spans="1:14" x14ac:dyDescent="0.25">
      <c r="A3951" s="3" t="s">
        <v>3962</v>
      </c>
      <c r="B3951" s="4">
        <v>18.32</v>
      </c>
      <c r="C3951" s="4">
        <v>0.16</v>
      </c>
      <c r="D3951" s="4">
        <v>0.12</v>
      </c>
      <c r="E3951" s="4">
        <v>-2.1272101277051661E-2</v>
      </c>
      <c r="F3951" s="3">
        <v>3949</v>
      </c>
      <c r="G3951" s="3">
        <v>3</v>
      </c>
      <c r="H3951" s="5">
        <v>4370430468.1499996</v>
      </c>
      <c r="I3951" s="5">
        <v>4021885468.1500001</v>
      </c>
      <c r="J3951" s="5">
        <v>7680000</v>
      </c>
      <c r="K3951" s="5">
        <v>356225000</v>
      </c>
      <c r="L3951" s="5">
        <v>2015458000</v>
      </c>
      <c r="M3951" s="5">
        <v>219535000</v>
      </c>
      <c r="N3951" s="5">
        <v>171036000</v>
      </c>
    </row>
    <row r="3952" spans="1:14" x14ac:dyDescent="0.25">
      <c r="A3952" s="3" t="s">
        <v>3963</v>
      </c>
      <c r="B3952" s="4">
        <v>17.59</v>
      </c>
      <c r="C3952" s="4">
        <v>0.01</v>
      </c>
      <c r="D3952" s="4">
        <v>0.01</v>
      </c>
      <c r="E3952" s="4">
        <v>-2.1274912658734439E-2</v>
      </c>
      <c r="F3952" s="3">
        <v>3950</v>
      </c>
      <c r="G3952" s="3">
        <v>3</v>
      </c>
      <c r="H3952" s="5">
        <v>34941511330</v>
      </c>
      <c r="I3952" s="5">
        <v>44098461330</v>
      </c>
      <c r="J3952" s="5">
        <v>9359043000</v>
      </c>
      <c r="K3952" s="5">
        <v>202093000</v>
      </c>
      <c r="L3952" s="5">
        <v>5273309000</v>
      </c>
      <c r="M3952" s="5">
        <v>2506660000</v>
      </c>
      <c r="N3952" s="5">
        <v>230577000</v>
      </c>
    </row>
    <row r="3953" spans="1:14" x14ac:dyDescent="0.25">
      <c r="A3953" s="3" t="s">
        <v>3964</v>
      </c>
      <c r="B3953" s="4">
        <v>18.190000000000001</v>
      </c>
      <c r="C3953" s="4">
        <v>0.14000000000000001</v>
      </c>
      <c r="D3953" s="4">
        <v>-0.04</v>
      </c>
      <c r="E3953" s="4">
        <v>-2.128029324225866E-2</v>
      </c>
      <c r="F3953" s="3">
        <v>3951</v>
      </c>
      <c r="G3953" s="3">
        <v>3</v>
      </c>
      <c r="H3953" s="5">
        <v>3675493049.1300001</v>
      </c>
      <c r="I3953" s="5">
        <v>12348993049.129999</v>
      </c>
      <c r="J3953" s="5">
        <v>9238400000</v>
      </c>
      <c r="K3953" s="5">
        <v>564900000</v>
      </c>
      <c r="L3953" s="5">
        <v>4205800000</v>
      </c>
      <c r="M3953" s="5">
        <v>678800000</v>
      </c>
      <c r="N3953" s="5">
        <v>-315500000</v>
      </c>
    </row>
    <row r="3954" spans="1:14" x14ac:dyDescent="0.25">
      <c r="A3954" s="3" t="s">
        <v>3965</v>
      </c>
      <c r="B3954" s="4">
        <v>18.14</v>
      </c>
      <c r="C3954" s="4">
        <v>0.12</v>
      </c>
      <c r="D3954" s="4">
        <v>0.06</v>
      </c>
      <c r="E3954" s="4">
        <v>-2.1287844162027132E-2</v>
      </c>
      <c r="F3954" s="3">
        <v>3952</v>
      </c>
      <c r="G3954" s="3">
        <v>3</v>
      </c>
      <c r="H3954" s="5">
        <v>4082090575.5</v>
      </c>
      <c r="I3954" s="5">
        <v>4688835575.5</v>
      </c>
      <c r="J3954" s="5">
        <v>633371000</v>
      </c>
      <c r="K3954" s="5">
        <v>26626000</v>
      </c>
      <c r="L3954" s="5">
        <v>1557228000</v>
      </c>
      <c r="M3954" s="5">
        <v>258539000</v>
      </c>
      <c r="N3954" s="5">
        <v>124666000</v>
      </c>
    </row>
    <row r="3955" spans="1:14" x14ac:dyDescent="0.25">
      <c r="A3955" s="3" t="s">
        <v>3966</v>
      </c>
      <c r="B3955" s="4">
        <v>18.149999999999999</v>
      </c>
      <c r="C3955" s="4">
        <v>0.12</v>
      </c>
      <c r="D3955" s="4">
        <v>0.06</v>
      </c>
      <c r="E3955" s="4">
        <v>-2.129403336772422E-2</v>
      </c>
      <c r="F3955" s="3">
        <v>3953</v>
      </c>
      <c r="G3955" s="3">
        <v>3</v>
      </c>
      <c r="H3955" s="5">
        <v>3926028898.48</v>
      </c>
      <c r="I3955" s="5">
        <v>3757344898.48</v>
      </c>
      <c r="J3955" s="5">
        <v>137780000</v>
      </c>
      <c r="K3955" s="5">
        <v>306464000</v>
      </c>
      <c r="L3955" s="5">
        <v>4032966000</v>
      </c>
      <c r="M3955" s="5">
        <v>207054000</v>
      </c>
      <c r="N3955" s="5">
        <v>172885000</v>
      </c>
    </row>
    <row r="3956" spans="1:14" x14ac:dyDescent="0.25">
      <c r="A3956" s="3" t="s">
        <v>3967</v>
      </c>
      <c r="B3956" s="4">
        <v>17.98</v>
      </c>
      <c r="C3956" s="4">
        <v>0.08</v>
      </c>
      <c r="D3956" s="4">
        <v>0.04</v>
      </c>
      <c r="E3956" s="4">
        <v>-2.130824935208674E-2</v>
      </c>
      <c r="F3956" s="3">
        <v>3954</v>
      </c>
      <c r="G3956" s="3">
        <v>3</v>
      </c>
      <c r="H3956" s="5">
        <v>53702872373.699997</v>
      </c>
      <c r="I3956" s="5">
        <v>65323872373.699997</v>
      </c>
      <c r="J3956" s="5">
        <v>12236000000</v>
      </c>
      <c r="K3956" s="5">
        <v>615000000</v>
      </c>
      <c r="L3956" s="5">
        <v>21325000000</v>
      </c>
      <c r="M3956" s="5">
        <v>3633000000</v>
      </c>
      <c r="N3956" s="5">
        <v>1502000000</v>
      </c>
    </row>
    <row r="3957" spans="1:14" x14ac:dyDescent="0.25">
      <c r="A3957" s="3" t="s">
        <v>3968</v>
      </c>
      <c r="B3957" s="4">
        <v>-2.34</v>
      </c>
      <c r="C3957" s="4">
        <v>-4.25</v>
      </c>
      <c r="D3957" s="4">
        <v>-0.31</v>
      </c>
      <c r="E3957" s="4">
        <v>-2.1310231143098369E-2</v>
      </c>
      <c r="F3957" s="3">
        <v>3955</v>
      </c>
      <c r="G3957" s="3">
        <v>3</v>
      </c>
      <c r="H3957" s="5">
        <v>17756904.385000002</v>
      </c>
      <c r="I3957" s="5">
        <v>18107904.385000002</v>
      </c>
      <c r="J3957" s="5">
        <v>2738000</v>
      </c>
      <c r="K3957" s="5">
        <v>2387000</v>
      </c>
      <c r="L3957" s="5">
        <v>48669000</v>
      </c>
      <c r="M3957" s="5">
        <v>-7725000</v>
      </c>
      <c r="N3957" s="5">
        <v>-8910000</v>
      </c>
    </row>
    <row r="3958" spans="1:14" x14ac:dyDescent="0.25">
      <c r="A3958" s="3" t="s">
        <v>3969</v>
      </c>
      <c r="B3958" s="4">
        <v>18.47</v>
      </c>
      <c r="C3958" s="4">
        <v>0.18</v>
      </c>
      <c r="D3958" s="4">
        <v>0.1</v>
      </c>
      <c r="E3958" s="4">
        <v>-2.131101020163392E-2</v>
      </c>
      <c r="F3958" s="3">
        <v>3956</v>
      </c>
      <c r="G3958" s="3">
        <v>3</v>
      </c>
      <c r="H3958" s="5">
        <v>17665140946</v>
      </c>
      <c r="I3958" s="5">
        <v>19194440946</v>
      </c>
      <c r="J3958" s="5">
        <v>1648000000</v>
      </c>
      <c r="K3958" s="5">
        <v>118700000</v>
      </c>
      <c r="L3958" s="5">
        <v>4082800000</v>
      </c>
      <c r="M3958" s="5">
        <v>1039000000</v>
      </c>
      <c r="N3958" s="5">
        <v>625400000</v>
      </c>
    </row>
    <row r="3959" spans="1:14" x14ac:dyDescent="0.25">
      <c r="A3959" s="3" t="s">
        <v>3970</v>
      </c>
      <c r="B3959" s="4">
        <v>17.7</v>
      </c>
      <c r="C3959" s="4">
        <v>0.02</v>
      </c>
      <c r="D3959" s="4">
        <v>0.02</v>
      </c>
      <c r="E3959" s="4">
        <v>-2.1312171287810329E-2</v>
      </c>
      <c r="F3959" s="3">
        <v>3957</v>
      </c>
      <c r="G3959" s="3">
        <v>3</v>
      </c>
      <c r="H3959" s="5">
        <v>1179201501</v>
      </c>
      <c r="I3959" s="5">
        <v>1090726501</v>
      </c>
      <c r="J3959" s="5">
        <v>596000</v>
      </c>
      <c r="K3959" s="5">
        <v>89071000</v>
      </c>
      <c r="L3959" s="5">
        <v>500890000</v>
      </c>
      <c r="M3959" s="5">
        <v>61625000</v>
      </c>
      <c r="N3959" s="5">
        <v>16593000</v>
      </c>
    </row>
    <row r="3960" spans="1:14" x14ac:dyDescent="0.25">
      <c r="A3960" s="3" t="s">
        <v>3971</v>
      </c>
      <c r="B3960" s="4">
        <v>17.3</v>
      </c>
      <c r="C3960" s="4">
        <v>-7.0000000000000007E-2</v>
      </c>
      <c r="D3960" s="4">
        <v>-0.04</v>
      </c>
      <c r="E3960" s="4">
        <v>-2.1336219682522389E-2</v>
      </c>
      <c r="F3960" s="3">
        <v>3958</v>
      </c>
      <c r="G3960" s="3">
        <v>3</v>
      </c>
      <c r="H3960" s="5">
        <v>442.60199999999998</v>
      </c>
      <c r="I3960" s="5">
        <v>-784557.39800000004</v>
      </c>
      <c r="J3960" s="5">
        <v>1136350</v>
      </c>
      <c r="K3960" s="5">
        <v>1921350</v>
      </c>
      <c r="L3960" s="5">
        <v>28270450</v>
      </c>
      <c r="M3960" s="5">
        <v>-45360</v>
      </c>
      <c r="N3960" s="5">
        <v>-602810</v>
      </c>
    </row>
    <row r="3961" spans="1:14" x14ac:dyDescent="0.25">
      <c r="A3961" s="3" t="s">
        <v>3972</v>
      </c>
      <c r="B3961" s="4">
        <v>18.5</v>
      </c>
      <c r="C3961" s="4">
        <v>0.18</v>
      </c>
      <c r="D3961" s="4">
        <v>0.05</v>
      </c>
      <c r="E3961" s="4">
        <v>-2.1339222951612679E-2</v>
      </c>
      <c r="F3961" s="3">
        <v>3959</v>
      </c>
      <c r="G3961" s="3">
        <v>3</v>
      </c>
      <c r="H3961" s="5">
        <v>7910347245.0799999</v>
      </c>
      <c r="I3961" s="5">
        <v>7674777245.0799999</v>
      </c>
      <c r="J3961" s="5">
        <v>162500000</v>
      </c>
      <c r="K3961" s="5">
        <v>398070000</v>
      </c>
      <c r="L3961" s="5">
        <v>1595221000</v>
      </c>
      <c r="M3961" s="5">
        <v>414842000</v>
      </c>
      <c r="N3961" s="5">
        <v>227127000</v>
      </c>
    </row>
    <row r="3962" spans="1:14" x14ac:dyDescent="0.25">
      <c r="A3962" s="3" t="s">
        <v>3973</v>
      </c>
      <c r="B3962" s="4">
        <v>17.7</v>
      </c>
      <c r="C3962" s="4">
        <v>0.01</v>
      </c>
      <c r="D3962" s="4">
        <v>0.01</v>
      </c>
      <c r="E3962" s="4">
        <v>-2.1342993921402299E-2</v>
      </c>
      <c r="F3962" s="3">
        <v>3960</v>
      </c>
      <c r="G3962" s="3">
        <v>3</v>
      </c>
      <c r="H3962" s="5">
        <v>3887977087.3200002</v>
      </c>
      <c r="I3962" s="5">
        <v>6200432087.3199997</v>
      </c>
      <c r="J3962" s="5">
        <v>2333683000</v>
      </c>
      <c r="K3962" s="5">
        <v>21228000</v>
      </c>
      <c r="L3962" s="5">
        <v>640035000</v>
      </c>
      <c r="M3962" s="5">
        <v>350279000</v>
      </c>
      <c r="N3962" s="5">
        <v>39291000</v>
      </c>
    </row>
    <row r="3963" spans="1:14" x14ac:dyDescent="0.25">
      <c r="A3963" s="3" t="s">
        <v>3974</v>
      </c>
      <c r="B3963" s="4">
        <v>17.27</v>
      </c>
      <c r="C3963" s="4">
        <v>-0.08</v>
      </c>
      <c r="D3963" s="4">
        <v>-0.03</v>
      </c>
      <c r="E3963" s="4">
        <v>-2.1344616645868109E-2</v>
      </c>
      <c r="F3963" s="3">
        <v>3961</v>
      </c>
      <c r="G3963" s="3">
        <v>3</v>
      </c>
      <c r="H3963" s="5">
        <v>1110832963.46</v>
      </c>
      <c r="I3963" s="5">
        <v>3535054963.46</v>
      </c>
      <c r="J3963" s="5">
        <v>2570026000</v>
      </c>
      <c r="K3963" s="5">
        <v>145804000</v>
      </c>
      <c r="L3963" s="5">
        <v>547312000</v>
      </c>
      <c r="M3963" s="5">
        <v>204732000</v>
      </c>
      <c r="N3963" s="5">
        <v>-143526000</v>
      </c>
    </row>
    <row r="3964" spans="1:14" x14ac:dyDescent="0.25">
      <c r="A3964" s="3" t="s">
        <v>3975</v>
      </c>
      <c r="B3964" s="4">
        <v>15.42</v>
      </c>
      <c r="C3964" s="4">
        <v>-0.46</v>
      </c>
      <c r="D3964" s="4">
        <v>-0.38</v>
      </c>
      <c r="E3964" s="4">
        <v>-2.1365086588670892E-2</v>
      </c>
      <c r="F3964" s="3">
        <v>3962</v>
      </c>
      <c r="G3964" s="3">
        <v>3</v>
      </c>
      <c r="H3964" s="5">
        <v>1095896246.03</v>
      </c>
      <c r="I3964" s="5">
        <v>1085867246.03</v>
      </c>
      <c r="J3964" s="5">
        <v>7727000</v>
      </c>
      <c r="K3964" s="5">
        <v>17756000</v>
      </c>
      <c r="L3964" s="5">
        <v>217489000</v>
      </c>
      <c r="M3964" s="5">
        <v>70432000</v>
      </c>
      <c r="N3964" s="5">
        <v>-150262000</v>
      </c>
    </row>
    <row r="3965" spans="1:14" x14ac:dyDescent="0.25">
      <c r="A3965" s="3" t="s">
        <v>3976</v>
      </c>
      <c r="B3965" s="4">
        <v>18.420000000000002</v>
      </c>
      <c r="C3965" s="4">
        <v>0.15</v>
      </c>
      <c r="D3965" s="4">
        <v>7.0000000000000007E-2</v>
      </c>
      <c r="E3965" s="4">
        <v>-2.1372532073924418E-2</v>
      </c>
      <c r="F3965" s="3">
        <v>3963</v>
      </c>
      <c r="G3965" s="3">
        <v>3</v>
      </c>
      <c r="H3965" s="5">
        <v>73344977856</v>
      </c>
      <c r="I3965" s="5">
        <v>77783977856</v>
      </c>
      <c r="J3965" s="5">
        <v>5694000000</v>
      </c>
      <c r="K3965" s="5">
        <v>1255000000</v>
      </c>
      <c r="L3965" s="5">
        <v>17262000000</v>
      </c>
      <c r="M3965" s="5">
        <v>4222000000</v>
      </c>
      <c r="N3965" s="5">
        <v>1842000000</v>
      </c>
    </row>
    <row r="3966" spans="1:14" x14ac:dyDescent="0.25">
      <c r="A3966" s="3" t="s">
        <v>3977</v>
      </c>
      <c r="B3966" s="4">
        <v>18.05</v>
      </c>
      <c r="C3966" s="4">
        <v>7.0000000000000007E-2</v>
      </c>
      <c r="D3966" s="4">
        <v>0.04</v>
      </c>
      <c r="E3966" s="4">
        <v>-2.1380467398980741E-2</v>
      </c>
      <c r="F3966" s="3">
        <v>3964</v>
      </c>
      <c r="G3966" s="3">
        <v>3</v>
      </c>
      <c r="H3966" s="5">
        <v>2542785851.6100001</v>
      </c>
      <c r="I3966" s="5">
        <v>3676593851.6100001</v>
      </c>
      <c r="J3966" s="5">
        <v>1137889000</v>
      </c>
      <c r="K3966" s="5">
        <v>4081000</v>
      </c>
      <c r="L3966" s="5">
        <v>268073000</v>
      </c>
      <c r="M3966" s="5">
        <v>203685000</v>
      </c>
      <c r="N3966" s="5">
        <v>100473000</v>
      </c>
    </row>
    <row r="3967" spans="1:14" x14ac:dyDescent="0.25">
      <c r="A3967" s="3" t="s">
        <v>3978</v>
      </c>
      <c r="B3967" s="4">
        <v>19.05</v>
      </c>
      <c r="C3967" s="4">
        <v>0.28000000000000003</v>
      </c>
      <c r="D3967" s="4">
        <v>0.08</v>
      </c>
      <c r="E3967" s="4">
        <v>-2.1384906115074851E-2</v>
      </c>
      <c r="F3967" s="3">
        <v>3965</v>
      </c>
      <c r="G3967" s="3">
        <v>3</v>
      </c>
      <c r="H3967" s="5">
        <v>9177188922.7399998</v>
      </c>
      <c r="I3967" s="5">
        <v>9248097922.7399998</v>
      </c>
      <c r="J3967" s="5">
        <v>184122000</v>
      </c>
      <c r="K3967" s="5">
        <v>113213000</v>
      </c>
      <c r="L3967" s="5">
        <v>1541706000</v>
      </c>
      <c r="M3967" s="5">
        <v>485359000</v>
      </c>
      <c r="N3967" s="5">
        <v>414843000</v>
      </c>
    </row>
    <row r="3968" spans="1:14" x14ac:dyDescent="0.25">
      <c r="A3968" s="3" t="s">
        <v>3979</v>
      </c>
      <c r="B3968" s="4">
        <v>17.22</v>
      </c>
      <c r="C3968" s="4">
        <v>-0.11</v>
      </c>
      <c r="D3968" s="4">
        <v>-0.04</v>
      </c>
      <c r="E3968" s="4">
        <v>-2.1402280465003601E-2</v>
      </c>
      <c r="F3968" s="3">
        <v>3966</v>
      </c>
      <c r="G3968" s="3">
        <v>3</v>
      </c>
      <c r="H3968" s="5">
        <v>5987625488.6800003</v>
      </c>
      <c r="I3968" s="5">
        <v>13380625488.68</v>
      </c>
      <c r="J3968" s="5">
        <v>7447000000</v>
      </c>
      <c r="K3968" s="5">
        <v>54000000</v>
      </c>
      <c r="L3968" s="5">
        <v>19185000000</v>
      </c>
      <c r="M3968" s="5">
        <v>777000000</v>
      </c>
      <c r="N3968" s="5">
        <v>-754000000</v>
      </c>
    </row>
    <row r="3969" spans="1:14" x14ac:dyDescent="0.25">
      <c r="A3969" s="3" t="s">
        <v>3980</v>
      </c>
      <c r="B3969" s="4">
        <v>18.23</v>
      </c>
      <c r="C3969" s="4">
        <v>0.1</v>
      </c>
      <c r="D3969" s="4">
        <v>0.05</v>
      </c>
      <c r="E3969" s="4">
        <v>-2.1403263253907259E-2</v>
      </c>
      <c r="F3969" s="3">
        <v>3967</v>
      </c>
      <c r="G3969" s="3">
        <v>3</v>
      </c>
      <c r="H3969" s="5">
        <v>3616030597.1999998</v>
      </c>
      <c r="I3969" s="5">
        <v>4737782597.1999998</v>
      </c>
      <c r="J3969" s="5">
        <v>1146041000</v>
      </c>
      <c r="K3969" s="5">
        <v>24289000</v>
      </c>
      <c r="L3969" s="5">
        <v>335181000</v>
      </c>
      <c r="M3969" s="5">
        <v>259939000</v>
      </c>
      <c r="N3969" s="5">
        <v>137985000</v>
      </c>
    </row>
    <row r="3970" spans="1:14" x14ac:dyDescent="0.25">
      <c r="A3970" s="3" t="s">
        <v>3981</v>
      </c>
      <c r="B3970" s="4">
        <v>18.170000000000002</v>
      </c>
      <c r="C3970" s="4">
        <v>0.08</v>
      </c>
      <c r="D3970" s="4">
        <v>0.06</v>
      </c>
      <c r="E3970" s="4">
        <v>-2.14219862071762E-2</v>
      </c>
      <c r="F3970" s="3">
        <v>3968</v>
      </c>
      <c r="G3970" s="3">
        <v>3</v>
      </c>
      <c r="H3970" s="5">
        <v>406555271.68000001</v>
      </c>
      <c r="I3970" s="5">
        <v>595126771.68000007</v>
      </c>
      <c r="J3970" s="5">
        <v>189000000</v>
      </c>
      <c r="K3970" s="5">
        <v>428500</v>
      </c>
      <c r="L3970" s="5">
        <v>47934030</v>
      </c>
      <c r="M3970" s="5">
        <v>32755630</v>
      </c>
      <c r="N3970" s="5">
        <v>35476680</v>
      </c>
    </row>
    <row r="3971" spans="1:14" x14ac:dyDescent="0.25">
      <c r="A3971" s="3" t="s">
        <v>3982</v>
      </c>
      <c r="B3971" s="4">
        <v>18.87</v>
      </c>
      <c r="C3971" s="4">
        <v>0.28000000000000003</v>
      </c>
      <c r="D3971" s="4">
        <v>-0.7</v>
      </c>
      <c r="E3971" s="4">
        <v>-2.1423964485572908E-2</v>
      </c>
      <c r="F3971" s="3">
        <v>3969</v>
      </c>
      <c r="G3971" s="3">
        <v>3</v>
      </c>
      <c r="H3971" s="5">
        <v>1724360.0682000001</v>
      </c>
      <c r="I3971" s="5">
        <v>11961220.0682</v>
      </c>
      <c r="J3971" s="5">
        <v>10718880</v>
      </c>
      <c r="K3971" s="5">
        <v>482020</v>
      </c>
      <c r="L3971" s="5">
        <v>2795000</v>
      </c>
      <c r="M3971" s="5">
        <v>633970</v>
      </c>
      <c r="N3971" s="5">
        <v>-2471650</v>
      </c>
    </row>
    <row r="3972" spans="1:14" x14ac:dyDescent="0.25">
      <c r="A3972" s="3" t="s">
        <v>3983</v>
      </c>
      <c r="B3972" s="4">
        <v>17.75</v>
      </c>
      <c r="C3972" s="4">
        <v>-0.01</v>
      </c>
      <c r="D3972" s="4">
        <v>-0.01</v>
      </c>
      <c r="E3972" s="4">
        <v>-2.1435585217071611E-2</v>
      </c>
      <c r="F3972" s="3">
        <v>3970</v>
      </c>
      <c r="G3972" s="3">
        <v>3</v>
      </c>
      <c r="H3972" s="5">
        <v>16312500</v>
      </c>
      <c r="I3972" s="5">
        <v>-44729900</v>
      </c>
      <c r="J3972" s="5">
        <v>2493450</v>
      </c>
      <c r="K3972" s="5">
        <v>63535850</v>
      </c>
      <c r="L3972" s="5">
        <v>20286590</v>
      </c>
      <c r="M3972" s="5">
        <v>-2519810</v>
      </c>
      <c r="N3972" s="5">
        <v>-425710</v>
      </c>
    </row>
    <row r="3973" spans="1:14" x14ac:dyDescent="0.25">
      <c r="A3973" s="3" t="s">
        <v>3984</v>
      </c>
      <c r="B3973" s="4">
        <v>19.02</v>
      </c>
      <c r="C3973" s="4">
        <v>0.25</v>
      </c>
      <c r="D3973" s="4">
        <v>0.17</v>
      </c>
      <c r="E3973" s="4">
        <v>-2.1435658079829421E-2</v>
      </c>
      <c r="F3973" s="3">
        <v>3971</v>
      </c>
      <c r="G3973" s="3">
        <v>3</v>
      </c>
      <c r="H3973" s="5">
        <v>778184964.48000002</v>
      </c>
      <c r="I3973" s="5">
        <v>765701964.48000002</v>
      </c>
      <c r="J3973" s="5">
        <v>38663000</v>
      </c>
      <c r="K3973" s="5">
        <v>51146000</v>
      </c>
      <c r="L3973" s="5">
        <v>302548000</v>
      </c>
      <c r="M3973" s="5">
        <v>40266000</v>
      </c>
      <c r="N3973" s="5">
        <v>64533000</v>
      </c>
    </row>
    <row r="3974" spans="1:14" x14ac:dyDescent="0.25">
      <c r="A3974" s="3" t="s">
        <v>3985</v>
      </c>
      <c r="B3974" s="4">
        <v>18.62</v>
      </c>
      <c r="C3974" s="4">
        <v>0.17</v>
      </c>
      <c r="D3974" s="4">
        <v>7.0000000000000007E-2</v>
      </c>
      <c r="E3974" s="4">
        <v>-2.1438528973837061E-2</v>
      </c>
      <c r="F3974" s="3">
        <v>3972</v>
      </c>
      <c r="G3974" s="3">
        <v>3</v>
      </c>
      <c r="H3974" s="5">
        <v>71947678.859999999</v>
      </c>
      <c r="I3974" s="5">
        <v>312541678.86000001</v>
      </c>
      <c r="J3974" s="5">
        <v>246662000</v>
      </c>
      <c r="K3974" s="5">
        <v>6068000</v>
      </c>
      <c r="L3974" s="5">
        <v>47964000</v>
      </c>
      <c r="M3974" s="5">
        <v>16781000</v>
      </c>
      <c r="N3974" s="5">
        <v>28442000</v>
      </c>
    </row>
    <row r="3975" spans="1:14" x14ac:dyDescent="0.25">
      <c r="A3975" s="3" t="s">
        <v>3986</v>
      </c>
      <c r="B3975" s="4">
        <v>18.100000000000001</v>
      </c>
      <c r="C3975" s="4">
        <v>0.05</v>
      </c>
      <c r="D3975" s="4">
        <v>0.02</v>
      </c>
      <c r="E3975" s="4">
        <v>-2.1473058694650059E-2</v>
      </c>
      <c r="F3975" s="3">
        <v>3973</v>
      </c>
      <c r="G3975" s="3">
        <v>3</v>
      </c>
      <c r="H3975" s="5">
        <v>1031850676.04</v>
      </c>
      <c r="I3975" s="5">
        <v>5340943676.04</v>
      </c>
      <c r="J3975" s="5">
        <v>4317439000</v>
      </c>
      <c r="K3975" s="5">
        <v>8346000</v>
      </c>
      <c r="L3975" s="5">
        <v>365685000</v>
      </c>
      <c r="M3975" s="5">
        <v>295072000</v>
      </c>
      <c r="N3975" s="5">
        <v>105763000</v>
      </c>
    </row>
    <row r="3976" spans="1:14" x14ac:dyDescent="0.25">
      <c r="A3976" s="3" t="s">
        <v>3987</v>
      </c>
      <c r="B3976" s="4">
        <v>-4.87</v>
      </c>
      <c r="C3976" s="4">
        <v>-4.8499999999999996</v>
      </c>
      <c r="D3976" s="4">
        <v>-0.32</v>
      </c>
      <c r="E3976" s="4">
        <v>-2.1479907549182772E-2</v>
      </c>
      <c r="F3976" s="3">
        <v>3974</v>
      </c>
      <c r="G3976" s="3">
        <v>3</v>
      </c>
      <c r="H3976" s="5">
        <v>77891814.768000007</v>
      </c>
      <c r="I3976" s="5">
        <v>104274814.76800001</v>
      </c>
      <c r="J3976" s="5">
        <v>55394000</v>
      </c>
      <c r="K3976" s="5">
        <v>29011000</v>
      </c>
      <c r="L3976" s="5">
        <v>487877000</v>
      </c>
      <c r="M3976" s="5">
        <v>-21413000</v>
      </c>
      <c r="N3976" s="5">
        <v>-97897000</v>
      </c>
    </row>
    <row r="3977" spans="1:14" x14ac:dyDescent="0.25">
      <c r="A3977" s="3" t="s">
        <v>3988</v>
      </c>
      <c r="B3977" s="4">
        <v>-4.0199999999999996</v>
      </c>
      <c r="C3977" s="4">
        <v>-4.6399999999999997</v>
      </c>
      <c r="D3977" s="4">
        <v>-0.77</v>
      </c>
      <c r="E3977" s="4">
        <v>-2.1486030482118491E-2</v>
      </c>
      <c r="F3977" s="3">
        <v>3975</v>
      </c>
      <c r="G3977" s="3">
        <v>3</v>
      </c>
      <c r="H3977" s="5">
        <v>10254523.393212</v>
      </c>
      <c r="I3977" s="5">
        <v>16180843.393212</v>
      </c>
      <c r="J3977" s="5">
        <v>6137520</v>
      </c>
      <c r="K3977" s="5">
        <v>211200</v>
      </c>
      <c r="L3977" s="5">
        <v>1862590</v>
      </c>
      <c r="M3977" s="5">
        <v>-4027060</v>
      </c>
      <c r="N3977" s="5">
        <v>-7559130</v>
      </c>
    </row>
    <row r="3978" spans="1:14" x14ac:dyDescent="0.25">
      <c r="A3978" s="3" t="s">
        <v>3989</v>
      </c>
      <c r="B3978" s="4">
        <v>18.34</v>
      </c>
      <c r="C3978" s="4">
        <v>0.09</v>
      </c>
      <c r="D3978" s="4">
        <v>0.06</v>
      </c>
      <c r="E3978" s="4">
        <v>-2.1498309097012058E-2</v>
      </c>
      <c r="F3978" s="3">
        <v>3976</v>
      </c>
      <c r="G3978" s="3">
        <v>3</v>
      </c>
      <c r="H3978" s="5">
        <v>853515148.32000005</v>
      </c>
      <c r="I3978" s="5">
        <v>759007148.32000005</v>
      </c>
      <c r="J3978" s="5">
        <v>9453000</v>
      </c>
      <c r="K3978" s="5">
        <v>103961000</v>
      </c>
      <c r="L3978" s="5">
        <v>266090000</v>
      </c>
      <c r="M3978" s="5">
        <v>41394000</v>
      </c>
      <c r="N3978" s="5">
        <v>23504000</v>
      </c>
    </row>
    <row r="3979" spans="1:14" x14ac:dyDescent="0.25">
      <c r="A3979" s="3" t="s">
        <v>3990</v>
      </c>
      <c r="B3979" s="4">
        <v>18.73</v>
      </c>
      <c r="C3979" s="4">
        <v>0.17</v>
      </c>
      <c r="D3979" s="4">
        <v>7.0000000000000007E-2</v>
      </c>
      <c r="E3979" s="4">
        <v>-2.1506610236504908E-2</v>
      </c>
      <c r="F3979" s="3">
        <v>3977</v>
      </c>
      <c r="G3979" s="3">
        <v>3</v>
      </c>
      <c r="H3979" s="5">
        <v>24977307135.240002</v>
      </c>
      <c r="I3979" s="5">
        <v>24565049135.240002</v>
      </c>
      <c r="J3979" s="5">
        <v>4757653000</v>
      </c>
      <c r="K3979" s="5">
        <v>5169911000</v>
      </c>
      <c r="L3979" s="5">
        <v>21972042000</v>
      </c>
      <c r="M3979" s="5">
        <v>1311338000</v>
      </c>
      <c r="N3979" s="5">
        <v>1048854000</v>
      </c>
    </row>
    <row r="3980" spans="1:14" x14ac:dyDescent="0.25">
      <c r="A3980" s="3" t="s">
        <v>3991</v>
      </c>
      <c r="B3980" s="4">
        <v>0.12</v>
      </c>
      <c r="C3980" s="4">
        <v>-3.69</v>
      </c>
      <c r="D3980" s="4">
        <v>-1.84</v>
      </c>
      <c r="E3980" s="4">
        <v>-2.1509874818128182E-2</v>
      </c>
      <c r="F3980" s="3">
        <v>3978</v>
      </c>
      <c r="G3980" s="3">
        <v>3</v>
      </c>
      <c r="H3980" s="5">
        <v>1534025.43</v>
      </c>
      <c r="I3980" s="5">
        <v>-678634.57000000007</v>
      </c>
      <c r="J3980" s="5">
        <v>221870</v>
      </c>
      <c r="K3980" s="5">
        <v>2434530</v>
      </c>
      <c r="L3980" s="5">
        <v>0</v>
      </c>
      <c r="M3980" s="5">
        <v>-5729900</v>
      </c>
      <c r="N3980" s="5">
        <v>-5575780</v>
      </c>
    </row>
    <row r="3981" spans="1:14" x14ac:dyDescent="0.25">
      <c r="A3981" s="3" t="s">
        <v>3992</v>
      </c>
      <c r="B3981" s="4">
        <v>19.55</v>
      </c>
      <c r="C3981" s="4">
        <v>0.34</v>
      </c>
      <c r="D3981" s="4">
        <v>0.13</v>
      </c>
      <c r="E3981" s="4">
        <v>-2.1511359624954429E-2</v>
      </c>
      <c r="F3981" s="3">
        <v>3979</v>
      </c>
      <c r="G3981" s="3">
        <v>3</v>
      </c>
      <c r="H3981" s="5">
        <v>30235759862.880001</v>
      </c>
      <c r="I3981" s="5">
        <v>28902304862.880001</v>
      </c>
      <c r="J3981" s="5">
        <v>6095000</v>
      </c>
      <c r="K3981" s="5">
        <v>1339550000</v>
      </c>
      <c r="L3981" s="5">
        <v>14566116000</v>
      </c>
      <c r="M3981" s="5">
        <v>1478543000</v>
      </c>
      <c r="N3981" s="5">
        <v>1007145000</v>
      </c>
    </row>
    <row r="3982" spans="1:14" x14ac:dyDescent="0.25">
      <c r="A3982" s="3" t="s">
        <v>3993</v>
      </c>
      <c r="B3982" s="4">
        <v>18.88</v>
      </c>
      <c r="C3982" s="4">
        <v>0.21</v>
      </c>
      <c r="D3982" s="4">
        <v>-0.08</v>
      </c>
      <c r="E3982" s="4">
        <v>-2.151280929256582E-2</v>
      </c>
      <c r="F3982" s="3">
        <v>3980</v>
      </c>
      <c r="G3982" s="3">
        <v>3</v>
      </c>
      <c r="H3982" s="5">
        <v>485268201.60000002</v>
      </c>
      <c r="I3982" s="5">
        <v>965934201.60000002</v>
      </c>
      <c r="J3982" s="5">
        <v>504065000</v>
      </c>
      <c r="K3982" s="5">
        <v>23399000</v>
      </c>
      <c r="L3982" s="5">
        <v>717333000</v>
      </c>
      <c r="M3982" s="5">
        <v>51151000</v>
      </c>
      <c r="N3982" s="5">
        <v>-59915000</v>
      </c>
    </row>
    <row r="3983" spans="1:14" x14ac:dyDescent="0.25">
      <c r="A3983" s="3" t="s">
        <v>3994</v>
      </c>
      <c r="B3983" s="4">
        <v>18.73</v>
      </c>
      <c r="C3983" s="4">
        <v>0.16</v>
      </c>
      <c r="D3983" s="4">
        <v>0.09</v>
      </c>
      <c r="E3983" s="4">
        <v>-2.1531645790364359E-2</v>
      </c>
      <c r="F3983" s="3">
        <v>3981</v>
      </c>
      <c r="G3983" s="3">
        <v>3</v>
      </c>
      <c r="H3983" s="5">
        <v>5709889484.54</v>
      </c>
      <c r="I3983" s="5">
        <v>5654547484.54</v>
      </c>
      <c r="J3983" s="5">
        <v>14428000</v>
      </c>
      <c r="K3983" s="5">
        <v>69770000</v>
      </c>
      <c r="L3983" s="5">
        <v>1911104000</v>
      </c>
      <c r="M3983" s="5">
        <v>301834000</v>
      </c>
      <c r="N3983" s="5">
        <v>180942000</v>
      </c>
    </row>
    <row r="3984" spans="1:14" x14ac:dyDescent="0.25">
      <c r="A3984" s="3" t="s">
        <v>3995</v>
      </c>
      <c r="B3984" s="4">
        <v>17.809999999999999</v>
      </c>
      <c r="C3984" s="4">
        <v>-0.03</v>
      </c>
      <c r="D3984" s="4">
        <v>-0.02</v>
      </c>
      <c r="E3984" s="4">
        <v>-2.1532436691860501E-2</v>
      </c>
      <c r="F3984" s="3">
        <v>3982</v>
      </c>
      <c r="G3984" s="3">
        <v>3</v>
      </c>
      <c r="H3984" s="5">
        <v>427844973.12</v>
      </c>
      <c r="I3984" s="5">
        <v>346211973.12</v>
      </c>
      <c r="J3984" s="5">
        <v>0</v>
      </c>
      <c r="K3984" s="5">
        <v>81633000</v>
      </c>
      <c r="L3984" s="5">
        <v>1344004000</v>
      </c>
      <c r="M3984" s="5">
        <v>19443000</v>
      </c>
      <c r="N3984" s="5">
        <v>-14556000</v>
      </c>
    </row>
    <row r="3985" spans="1:14" x14ac:dyDescent="0.25">
      <c r="A3985" s="3" t="s">
        <v>3996</v>
      </c>
      <c r="B3985" s="4">
        <v>18.2</v>
      </c>
      <c r="C3985" s="4">
        <v>0.05</v>
      </c>
      <c r="D3985" s="4">
        <v>0.03</v>
      </c>
      <c r="E3985" s="4">
        <v>-2.153302172504332E-2</v>
      </c>
      <c r="F3985" s="3">
        <v>3983</v>
      </c>
      <c r="G3985" s="3">
        <v>3</v>
      </c>
      <c r="H3985" s="5">
        <v>7217890205.5</v>
      </c>
      <c r="I3985" s="5">
        <v>10210741205.5</v>
      </c>
      <c r="J3985" s="5">
        <v>3029135000</v>
      </c>
      <c r="K3985" s="5">
        <v>36284000</v>
      </c>
      <c r="L3985" s="5">
        <v>767384000</v>
      </c>
      <c r="M3985" s="5">
        <v>561022000</v>
      </c>
      <c r="N3985" s="5">
        <v>189220000</v>
      </c>
    </row>
    <row r="3986" spans="1:14" x14ac:dyDescent="0.25">
      <c r="A3986" s="3" t="s">
        <v>3997</v>
      </c>
      <c r="B3986" s="4">
        <v>16.940000000000001</v>
      </c>
      <c r="C3986" s="4">
        <v>-0.22</v>
      </c>
      <c r="D3986" s="4">
        <v>-0.01</v>
      </c>
      <c r="E3986" s="4">
        <v>-2.1541025302911951E-2</v>
      </c>
      <c r="F3986" s="3">
        <v>3984</v>
      </c>
      <c r="G3986" s="3">
        <v>3</v>
      </c>
      <c r="H3986" s="5">
        <v>320564845.19999999</v>
      </c>
      <c r="I3986" s="5">
        <v>378841845.19999999</v>
      </c>
      <c r="J3986" s="5">
        <v>65087000</v>
      </c>
      <c r="K3986" s="5">
        <v>6810000</v>
      </c>
      <c r="L3986" s="5">
        <v>391490000</v>
      </c>
      <c r="M3986" s="5">
        <v>22358000</v>
      </c>
      <c r="N3986" s="5">
        <v>-2952000</v>
      </c>
    </row>
    <row r="3987" spans="1:14" x14ac:dyDescent="0.25">
      <c r="A3987" s="3" t="s">
        <v>3998</v>
      </c>
      <c r="B3987" s="4">
        <v>18.18</v>
      </c>
      <c r="C3987" s="4">
        <v>0.04</v>
      </c>
      <c r="D3987" s="4">
        <v>0.02</v>
      </c>
      <c r="E3987" s="4">
        <v>-2.1551465947241132E-2</v>
      </c>
      <c r="F3987" s="3">
        <v>3985</v>
      </c>
      <c r="G3987" s="3">
        <v>3</v>
      </c>
      <c r="H3987" s="5">
        <v>1477600443</v>
      </c>
      <c r="I3987" s="5">
        <v>3444000443</v>
      </c>
      <c r="J3987" s="5">
        <v>2085496000</v>
      </c>
      <c r="K3987" s="5">
        <v>119096000</v>
      </c>
      <c r="L3987" s="5">
        <v>413277000</v>
      </c>
      <c r="M3987" s="5">
        <v>189398000</v>
      </c>
      <c r="N3987" s="5">
        <v>89263000</v>
      </c>
    </row>
    <row r="3988" spans="1:14" x14ac:dyDescent="0.25">
      <c r="A3988" s="3" t="s">
        <v>3999</v>
      </c>
      <c r="B3988" s="4">
        <v>18.37</v>
      </c>
      <c r="C3988" s="4">
        <v>0.08</v>
      </c>
      <c r="D3988" s="4">
        <v>0.03</v>
      </c>
      <c r="E3988" s="4">
        <v>-2.1551557400850269E-2</v>
      </c>
      <c r="F3988" s="3">
        <v>3986</v>
      </c>
      <c r="G3988" s="3">
        <v>3</v>
      </c>
      <c r="H3988" s="5">
        <v>13416600000</v>
      </c>
      <c r="I3988" s="5">
        <v>17088791000</v>
      </c>
      <c r="J3988" s="5">
        <v>4001404000</v>
      </c>
      <c r="K3988" s="5">
        <v>329213000</v>
      </c>
      <c r="L3988" s="5">
        <v>3241208000</v>
      </c>
      <c r="M3988" s="5">
        <v>930331000</v>
      </c>
      <c r="N3988" s="5">
        <v>292787000</v>
      </c>
    </row>
    <row r="3989" spans="1:14" x14ac:dyDescent="0.25">
      <c r="A3989" s="3" t="s">
        <v>4000</v>
      </c>
      <c r="B3989" s="4">
        <v>18.78</v>
      </c>
      <c r="C3989" s="4">
        <v>0.16</v>
      </c>
      <c r="D3989" s="4">
        <v>0.08</v>
      </c>
      <c r="E3989" s="4">
        <v>-2.1564520845427249E-2</v>
      </c>
      <c r="F3989" s="3">
        <v>3987</v>
      </c>
      <c r="G3989" s="3">
        <v>3</v>
      </c>
      <c r="H3989" s="5">
        <v>13108264489.9</v>
      </c>
      <c r="I3989" s="5">
        <v>15214782489.9</v>
      </c>
      <c r="J3989" s="5">
        <v>2222470000</v>
      </c>
      <c r="K3989" s="5">
        <v>115952000</v>
      </c>
      <c r="L3989" s="5">
        <v>2689921000</v>
      </c>
      <c r="M3989" s="5">
        <v>810176000</v>
      </c>
      <c r="N3989" s="5">
        <v>467284000</v>
      </c>
    </row>
    <row r="3990" spans="1:14" x14ac:dyDescent="0.25">
      <c r="A3990" s="3" t="s">
        <v>4001</v>
      </c>
      <c r="B3990" s="4">
        <v>18.989999999999998</v>
      </c>
      <c r="C3990" s="4">
        <v>0.2</v>
      </c>
      <c r="D3990" s="4">
        <v>0.15</v>
      </c>
      <c r="E3990" s="4">
        <v>-2.1565416550965499E-2</v>
      </c>
      <c r="F3990" s="3">
        <v>3988</v>
      </c>
      <c r="G3990" s="3">
        <v>3</v>
      </c>
      <c r="H3990" s="5">
        <v>1593948906.5999999</v>
      </c>
      <c r="I3990" s="5">
        <v>1455290906.5999999</v>
      </c>
      <c r="J3990" s="5">
        <v>11943000</v>
      </c>
      <c r="K3990" s="5">
        <v>150601000</v>
      </c>
      <c r="L3990" s="5">
        <v>606307000</v>
      </c>
      <c r="M3990" s="5">
        <v>76645000</v>
      </c>
      <c r="N3990" s="5">
        <v>53388000</v>
      </c>
    </row>
    <row r="3991" spans="1:14" x14ac:dyDescent="0.25">
      <c r="A3991" s="3" t="s">
        <v>4002</v>
      </c>
      <c r="B3991" s="4">
        <v>18.25</v>
      </c>
      <c r="C3991" s="4">
        <v>0.05</v>
      </c>
      <c r="D3991" s="4">
        <v>0.01</v>
      </c>
      <c r="E3991" s="4">
        <v>-2.1567825806683719E-2</v>
      </c>
      <c r="F3991" s="3">
        <v>3989</v>
      </c>
      <c r="G3991" s="3">
        <v>3</v>
      </c>
      <c r="H3991" s="5">
        <v>3041142769.6900001</v>
      </c>
      <c r="I3991" s="5">
        <v>4268432769.690001</v>
      </c>
      <c r="J3991" s="5">
        <v>1424981000</v>
      </c>
      <c r="K3991" s="5">
        <v>197691000</v>
      </c>
      <c r="L3991" s="5">
        <v>2738502000</v>
      </c>
      <c r="M3991" s="5">
        <v>233842000</v>
      </c>
      <c r="N3991" s="5">
        <v>61234000</v>
      </c>
    </row>
    <row r="3992" spans="1:14" x14ac:dyDescent="0.25">
      <c r="A3992" s="3" t="s">
        <v>4003</v>
      </c>
      <c r="B3992" s="4">
        <v>18.98</v>
      </c>
      <c r="C3992" s="4">
        <v>0.2</v>
      </c>
      <c r="D3992" s="4">
        <v>0.09</v>
      </c>
      <c r="E3992" s="4">
        <v>-2.157080150473346E-2</v>
      </c>
      <c r="F3992" s="3">
        <v>3990</v>
      </c>
      <c r="G3992" s="3">
        <v>3</v>
      </c>
      <c r="H3992" s="5">
        <v>976652376</v>
      </c>
      <c r="I3992" s="5">
        <v>958590376</v>
      </c>
      <c r="J3992" s="5">
        <v>26868000</v>
      </c>
      <c r="K3992" s="5">
        <v>44930000</v>
      </c>
      <c r="L3992" s="5">
        <v>518781000</v>
      </c>
      <c r="M3992" s="5">
        <v>50512000</v>
      </c>
      <c r="N3992" s="5">
        <v>30875000</v>
      </c>
    </row>
    <row r="3993" spans="1:14" x14ac:dyDescent="0.25">
      <c r="A3993" s="3" t="s">
        <v>4004</v>
      </c>
      <c r="B3993" s="4">
        <v>17.7</v>
      </c>
      <c r="C3993" s="4">
        <v>-0.08</v>
      </c>
      <c r="D3993" s="4">
        <v>-7.0000000000000007E-2</v>
      </c>
      <c r="E3993" s="4">
        <v>-2.1618468597152461E-2</v>
      </c>
      <c r="F3993" s="3">
        <v>3991</v>
      </c>
      <c r="G3993" s="3">
        <v>3</v>
      </c>
      <c r="H3993" s="5">
        <v>476098215.94999999</v>
      </c>
      <c r="I3993" s="5">
        <v>410012215.94999999</v>
      </c>
      <c r="J3993" s="5">
        <v>152273000</v>
      </c>
      <c r="K3993" s="5">
        <v>218359000</v>
      </c>
      <c r="L3993" s="5">
        <v>920448000</v>
      </c>
      <c r="M3993" s="5">
        <v>23162000</v>
      </c>
      <c r="N3993" s="5">
        <v>-94796000</v>
      </c>
    </row>
    <row r="3994" spans="1:14" x14ac:dyDescent="0.25">
      <c r="A3994" s="3" t="s">
        <v>4005</v>
      </c>
      <c r="B3994" s="4">
        <v>21.22</v>
      </c>
      <c r="C3994" s="4">
        <v>0.66</v>
      </c>
      <c r="D3994" s="4">
        <v>0.11</v>
      </c>
      <c r="E3994" s="4">
        <v>-2.1624219605058729E-2</v>
      </c>
      <c r="F3994" s="3">
        <v>3992</v>
      </c>
      <c r="G3994" s="3">
        <v>3</v>
      </c>
      <c r="H3994" s="5">
        <v>83235204860.009995</v>
      </c>
      <c r="I3994" s="5">
        <v>93102504860.009995</v>
      </c>
      <c r="J3994" s="5">
        <v>10077700000</v>
      </c>
      <c r="K3994" s="5">
        <v>210400000</v>
      </c>
      <c r="L3994" s="5">
        <v>23098500000</v>
      </c>
      <c r="M3994" s="5">
        <v>4387400000</v>
      </c>
      <c r="N3994" s="5">
        <v>2681400000</v>
      </c>
    </row>
    <row r="3995" spans="1:14" x14ac:dyDescent="0.25">
      <c r="A3995" s="3" t="s">
        <v>4006</v>
      </c>
      <c r="B3995" s="4">
        <v>18.78</v>
      </c>
      <c r="C3995" s="4">
        <v>0.14000000000000001</v>
      </c>
      <c r="D3995" s="4">
        <v>0.04</v>
      </c>
      <c r="E3995" s="4">
        <v>-2.163002416576619E-2</v>
      </c>
      <c r="F3995" s="3">
        <v>3993</v>
      </c>
      <c r="G3995" s="3">
        <v>3</v>
      </c>
      <c r="H3995" s="5">
        <v>4300884840</v>
      </c>
      <c r="I3995" s="5">
        <v>4930089840</v>
      </c>
      <c r="J3995" s="5">
        <v>1340789000</v>
      </c>
      <c r="K3995" s="5">
        <v>711584000</v>
      </c>
      <c r="L3995" s="5">
        <v>2262818000</v>
      </c>
      <c r="M3995" s="5">
        <v>262530000</v>
      </c>
      <c r="N3995" s="5">
        <v>126988000</v>
      </c>
    </row>
    <row r="3996" spans="1:14" x14ac:dyDescent="0.25">
      <c r="A3996" s="3" t="s">
        <v>4007</v>
      </c>
      <c r="B3996" s="4">
        <v>18.57</v>
      </c>
      <c r="C3996" s="4">
        <v>0.09</v>
      </c>
      <c r="D3996" s="4">
        <v>0.08</v>
      </c>
      <c r="E3996" s="4">
        <v>-2.163680277488983E-2</v>
      </c>
      <c r="F3996" s="3">
        <v>3994</v>
      </c>
      <c r="G3996" s="3">
        <v>3</v>
      </c>
      <c r="H3996" s="5">
        <v>1327366258.6800001</v>
      </c>
      <c r="I3996" s="5">
        <v>1130554258.6800001</v>
      </c>
      <c r="J3996" s="5">
        <v>0</v>
      </c>
      <c r="K3996" s="5">
        <v>196812000</v>
      </c>
      <c r="L3996" s="5">
        <v>167500000</v>
      </c>
      <c r="M3996" s="5">
        <v>60883000</v>
      </c>
      <c r="N3996" s="5">
        <v>18377000</v>
      </c>
    </row>
    <row r="3997" spans="1:14" x14ac:dyDescent="0.25">
      <c r="A3997" s="3" t="s">
        <v>4008</v>
      </c>
      <c r="B3997" s="4">
        <v>-1.36</v>
      </c>
      <c r="C3997" s="4">
        <v>-4.1399999999999997</v>
      </c>
      <c r="D3997" s="4">
        <v>-0.51</v>
      </c>
      <c r="E3997" s="4">
        <v>-2.1637524155803039E-2</v>
      </c>
      <c r="F3997" s="3">
        <v>3995</v>
      </c>
      <c r="G3997" s="3">
        <v>3</v>
      </c>
      <c r="H3997" s="5">
        <v>12427912.529999999</v>
      </c>
      <c r="I3997" s="5">
        <v>23199912.530000001</v>
      </c>
      <c r="J3997" s="5">
        <v>15232000</v>
      </c>
      <c r="K3997" s="5">
        <v>4460000</v>
      </c>
      <c r="L3997" s="5">
        <v>315887000</v>
      </c>
      <c r="M3997" s="5">
        <v>-17054000</v>
      </c>
      <c r="N3997" s="5">
        <v>-55286000</v>
      </c>
    </row>
    <row r="3998" spans="1:14" x14ac:dyDescent="0.25">
      <c r="A3998" s="3" t="s">
        <v>4009</v>
      </c>
      <c r="B3998" s="4">
        <v>19.05</v>
      </c>
      <c r="C3998" s="4">
        <v>0.19</v>
      </c>
      <c r="D3998" s="4">
        <v>0.11</v>
      </c>
      <c r="E3998" s="4">
        <v>-2.1639161498472451E-2</v>
      </c>
      <c r="F3998" s="3">
        <v>3996</v>
      </c>
      <c r="G3998" s="3">
        <v>3</v>
      </c>
      <c r="H3998" s="5">
        <v>14701440000</v>
      </c>
      <c r="I3998" s="5">
        <v>14922340000</v>
      </c>
      <c r="J3998" s="5">
        <v>660200000</v>
      </c>
      <c r="K3998" s="5">
        <v>439300000</v>
      </c>
      <c r="L3998" s="5">
        <v>3630700000</v>
      </c>
      <c r="M3998" s="5">
        <v>783300000</v>
      </c>
      <c r="N3998" s="5">
        <v>518300000</v>
      </c>
    </row>
    <row r="3999" spans="1:14" x14ac:dyDescent="0.25">
      <c r="A3999" s="3" t="s">
        <v>4010</v>
      </c>
      <c r="B3999" s="4">
        <v>18.100000000000001</v>
      </c>
      <c r="C3999" s="4">
        <v>-0.01</v>
      </c>
      <c r="D3999" s="4">
        <v>-0.01</v>
      </c>
      <c r="E3999" s="4">
        <v>-2.1652207416469321E-2</v>
      </c>
      <c r="F3999" s="3">
        <v>3997</v>
      </c>
      <c r="G3999" s="3">
        <v>3</v>
      </c>
      <c r="H3999" s="5">
        <v>1467883330.6500001</v>
      </c>
      <c r="I3999" s="5">
        <v>2160692330.6500001</v>
      </c>
      <c r="J3999" s="5">
        <v>698953000</v>
      </c>
      <c r="K3999" s="5">
        <v>6144000</v>
      </c>
      <c r="L3999" s="5">
        <v>241935000</v>
      </c>
      <c r="M3999" s="5">
        <v>119404000</v>
      </c>
      <c r="N3999" s="5">
        <v>-13103000</v>
      </c>
    </row>
    <row r="4000" spans="1:14" x14ac:dyDescent="0.25">
      <c r="A4000" s="3" t="s">
        <v>4011</v>
      </c>
      <c r="B4000" s="4">
        <v>18.03</v>
      </c>
      <c r="C4000" s="4">
        <v>-0.03</v>
      </c>
      <c r="D4000" s="4">
        <v>0.01</v>
      </c>
      <c r="E4000" s="4">
        <v>-2.1662812137463679E-2</v>
      </c>
      <c r="F4000" s="3">
        <v>3998</v>
      </c>
      <c r="G4000" s="3">
        <v>3</v>
      </c>
      <c r="H4000" s="5">
        <v>6044925927.6099997</v>
      </c>
      <c r="I4000" s="5">
        <v>9545515927.6100006</v>
      </c>
      <c r="J4000" s="5">
        <v>3504196000</v>
      </c>
      <c r="K4000" s="5">
        <v>3606000</v>
      </c>
      <c r="L4000" s="5">
        <v>1482929000</v>
      </c>
      <c r="M4000" s="5">
        <v>529496000</v>
      </c>
      <c r="N4000" s="5">
        <v>80014000</v>
      </c>
    </row>
    <row r="4001" spans="1:14" x14ac:dyDescent="0.25">
      <c r="A4001" s="3" t="s">
        <v>4012</v>
      </c>
      <c r="B4001" s="4">
        <v>18.13</v>
      </c>
      <c r="C4001" s="4">
        <v>-0.01</v>
      </c>
      <c r="D4001" s="4">
        <v>-0.01</v>
      </c>
      <c r="E4001" s="4">
        <v>-2.167077503356055E-2</v>
      </c>
      <c r="F4001" s="3">
        <v>3999</v>
      </c>
      <c r="G4001" s="3">
        <v>3</v>
      </c>
      <c r="H4001" s="5">
        <v>1525000587</v>
      </c>
      <c r="I4001" s="5">
        <v>2388041587</v>
      </c>
      <c r="J4001" s="5">
        <v>869461000</v>
      </c>
      <c r="K4001" s="5">
        <v>6420000</v>
      </c>
      <c r="L4001" s="5">
        <v>162784000</v>
      </c>
      <c r="M4001" s="5">
        <v>131705000</v>
      </c>
      <c r="N4001" s="5">
        <v>-11937000</v>
      </c>
    </row>
    <row r="4002" spans="1:14" x14ac:dyDescent="0.25">
      <c r="A4002" s="3" t="s">
        <v>4013</v>
      </c>
      <c r="B4002" s="4">
        <v>18.63</v>
      </c>
      <c r="C4002" s="4">
        <v>0.09</v>
      </c>
      <c r="D4002" s="4">
        <v>0.05</v>
      </c>
      <c r="E4002" s="4">
        <v>-2.1679725088804811E-2</v>
      </c>
      <c r="F4002" s="3">
        <v>4000</v>
      </c>
      <c r="G4002" s="3">
        <v>3</v>
      </c>
      <c r="H4002" s="5">
        <v>25307158330.279999</v>
      </c>
      <c r="I4002" s="5">
        <v>33295780330.279999</v>
      </c>
      <c r="J4002" s="5">
        <v>8097198000</v>
      </c>
      <c r="K4002" s="5">
        <v>108576000</v>
      </c>
      <c r="L4002" s="5">
        <v>2913757000</v>
      </c>
      <c r="M4002" s="5">
        <v>1786852000</v>
      </c>
      <c r="N4002" s="5">
        <v>1081994000</v>
      </c>
    </row>
    <row r="4003" spans="1:14" x14ac:dyDescent="0.25">
      <c r="A4003" s="3" t="s">
        <v>4014</v>
      </c>
      <c r="B4003" s="4">
        <v>-1.05</v>
      </c>
      <c r="C4003" s="4">
        <v>-4.08</v>
      </c>
      <c r="D4003" s="4">
        <v>-0.68</v>
      </c>
      <c r="E4003" s="4">
        <v>-2.16888213421433E-2</v>
      </c>
      <c r="F4003" s="3">
        <v>4001</v>
      </c>
      <c r="G4003" s="3">
        <v>3</v>
      </c>
      <c r="H4003" s="5">
        <v>19054185.313099999</v>
      </c>
      <c r="I4003" s="5">
        <v>14237185.313100001</v>
      </c>
      <c r="J4003" s="5">
        <v>9168000</v>
      </c>
      <c r="K4003" s="5">
        <v>13985000</v>
      </c>
      <c r="L4003" s="5">
        <v>0</v>
      </c>
      <c r="M4003" s="5">
        <v>-13580000</v>
      </c>
      <c r="N4003" s="5">
        <v>-11161000</v>
      </c>
    </row>
    <row r="4004" spans="1:14" x14ac:dyDescent="0.25">
      <c r="A4004" s="3" t="s">
        <v>4015</v>
      </c>
      <c r="B4004" s="4">
        <v>19.3</v>
      </c>
      <c r="C4004" s="4">
        <v>0.22</v>
      </c>
      <c r="D4004" s="4">
        <v>0.16</v>
      </c>
      <c r="E4004" s="4">
        <v>-2.1697565686968481E-2</v>
      </c>
      <c r="F4004" s="3">
        <v>4002</v>
      </c>
      <c r="G4004" s="3">
        <v>3</v>
      </c>
      <c r="H4004" s="5">
        <v>1178893185.6400001</v>
      </c>
      <c r="I4004" s="5">
        <v>1093307185.6400001</v>
      </c>
      <c r="J4004" s="5">
        <v>18830000</v>
      </c>
      <c r="K4004" s="5">
        <v>104416000</v>
      </c>
      <c r="L4004" s="5">
        <v>348879000</v>
      </c>
      <c r="M4004" s="5">
        <v>56654000</v>
      </c>
      <c r="N4004" s="5">
        <v>42419000</v>
      </c>
    </row>
    <row r="4005" spans="1:14" x14ac:dyDescent="0.25">
      <c r="A4005" s="3" t="s">
        <v>4016</v>
      </c>
      <c r="B4005" s="4">
        <v>18.77</v>
      </c>
      <c r="C4005" s="4">
        <v>0.11</v>
      </c>
      <c r="D4005" s="4">
        <v>0.05</v>
      </c>
      <c r="E4005" s="4">
        <v>-2.1708586754534971E-2</v>
      </c>
      <c r="F4005" s="3">
        <v>4003</v>
      </c>
      <c r="G4005" s="3">
        <v>3</v>
      </c>
      <c r="H4005" s="5">
        <v>14586508108</v>
      </c>
      <c r="I4005" s="5">
        <v>27710508108</v>
      </c>
      <c r="J4005" s="5">
        <v>13759000000</v>
      </c>
      <c r="K4005" s="5">
        <v>635000000</v>
      </c>
      <c r="L4005" s="5">
        <v>2990000000</v>
      </c>
      <c r="M4005" s="5">
        <v>1476000000</v>
      </c>
      <c r="N4005" s="5">
        <v>1522000000</v>
      </c>
    </row>
    <row r="4006" spans="1:14" x14ac:dyDescent="0.25">
      <c r="A4006" s="3" t="s">
        <v>4017</v>
      </c>
      <c r="B4006" s="4">
        <v>19.46</v>
      </c>
      <c r="C4006" s="4">
        <v>0.24</v>
      </c>
      <c r="D4006" s="4">
        <v>0.23</v>
      </c>
      <c r="E4006" s="4">
        <v>-2.1725302578050259E-2</v>
      </c>
      <c r="F4006" s="3">
        <v>4004</v>
      </c>
      <c r="G4006" s="3">
        <v>3</v>
      </c>
      <c r="H4006" s="5">
        <v>325638015.12</v>
      </c>
      <c r="I4006" s="5">
        <v>317601455.12</v>
      </c>
      <c r="J4006" s="5">
        <v>0</v>
      </c>
      <c r="K4006" s="5">
        <v>8036560</v>
      </c>
      <c r="L4006" s="5">
        <v>25874690</v>
      </c>
      <c r="M4006" s="5">
        <v>16318370</v>
      </c>
      <c r="N4006" s="5">
        <v>15064520</v>
      </c>
    </row>
    <row r="4007" spans="1:14" x14ac:dyDescent="0.25">
      <c r="A4007" s="3" t="s">
        <v>4018</v>
      </c>
      <c r="B4007" s="4">
        <v>18.559999999999999</v>
      </c>
      <c r="C4007" s="4">
        <v>0.06</v>
      </c>
      <c r="D4007" s="4">
        <v>0.03</v>
      </c>
      <c r="E4007" s="4">
        <v>-2.1726939523123649E-2</v>
      </c>
      <c r="F4007" s="3">
        <v>4005</v>
      </c>
      <c r="G4007" s="3">
        <v>3</v>
      </c>
      <c r="H4007" s="5">
        <v>12650545440</v>
      </c>
      <c r="I4007" s="5">
        <v>17002962440</v>
      </c>
      <c r="J4007" s="5">
        <v>4408700000</v>
      </c>
      <c r="K4007" s="5">
        <v>56283000</v>
      </c>
      <c r="L4007" s="5">
        <v>1453904000</v>
      </c>
      <c r="M4007" s="5">
        <v>916238000</v>
      </c>
      <c r="N4007" s="5">
        <v>400388000</v>
      </c>
    </row>
    <row r="4008" spans="1:14" x14ac:dyDescent="0.25">
      <c r="A4008" s="3" t="s">
        <v>4019</v>
      </c>
      <c r="B4008" s="4">
        <v>17.03</v>
      </c>
      <c r="C4008" s="4">
        <v>-0.26</v>
      </c>
      <c r="D4008" s="4">
        <v>-0.11</v>
      </c>
      <c r="E4008" s="4">
        <v>-2.1731592848018549E-2</v>
      </c>
      <c r="F4008" s="3">
        <v>4006</v>
      </c>
      <c r="G4008" s="3">
        <v>3</v>
      </c>
      <c r="H4008" s="5">
        <v>186675712.28</v>
      </c>
      <c r="I4008" s="5">
        <v>472060712.27999997</v>
      </c>
      <c r="J4008" s="5">
        <v>344876000</v>
      </c>
      <c r="K4008" s="5">
        <v>59491000</v>
      </c>
      <c r="L4008" s="5">
        <v>271361000</v>
      </c>
      <c r="M4008" s="5">
        <v>27718000</v>
      </c>
      <c r="N4008" s="5">
        <v>-78124000</v>
      </c>
    </row>
    <row r="4009" spans="1:14" x14ac:dyDescent="0.25">
      <c r="A4009" s="3" t="s">
        <v>4020</v>
      </c>
      <c r="B4009" s="4">
        <v>17.48</v>
      </c>
      <c r="C4009" s="4">
        <v>-0.17</v>
      </c>
      <c r="D4009" s="4">
        <v>-0.02</v>
      </c>
      <c r="E4009" s="4">
        <v>-2.173270340205935E-2</v>
      </c>
      <c r="F4009" s="3">
        <v>4007</v>
      </c>
      <c r="G4009" s="3">
        <v>3</v>
      </c>
      <c r="H4009" s="5">
        <v>2703684509.1199999</v>
      </c>
      <c r="I4009" s="5">
        <v>3263024509.1199999</v>
      </c>
      <c r="J4009" s="5">
        <v>645445000</v>
      </c>
      <c r="K4009" s="5">
        <v>86105000</v>
      </c>
      <c r="L4009" s="5">
        <v>666514000</v>
      </c>
      <c r="M4009" s="5">
        <v>186703000</v>
      </c>
      <c r="N4009" s="5">
        <v>-33023000</v>
      </c>
    </row>
    <row r="4010" spans="1:14" x14ac:dyDescent="0.25">
      <c r="A4010" s="3" t="s">
        <v>4021</v>
      </c>
      <c r="B4010" s="4">
        <v>18.57</v>
      </c>
      <c r="C4010" s="4">
        <v>0.06</v>
      </c>
      <c r="D4010" s="4">
        <v>0.03</v>
      </c>
      <c r="E4010" s="4">
        <v>-2.173312872882073E-2</v>
      </c>
      <c r="F4010" s="3">
        <v>4008</v>
      </c>
      <c r="G4010" s="3">
        <v>3</v>
      </c>
      <c r="H4010" s="5">
        <v>28231050615.799999</v>
      </c>
      <c r="I4010" s="5">
        <v>40556627615.800003</v>
      </c>
      <c r="J4010" s="5">
        <v>12463799000</v>
      </c>
      <c r="K4010" s="5">
        <v>138222000</v>
      </c>
      <c r="L4010" s="5">
        <v>3256902000</v>
      </c>
      <c r="M4010" s="5">
        <v>2184052000</v>
      </c>
      <c r="N4010" s="5">
        <v>854681000</v>
      </c>
    </row>
    <row r="4011" spans="1:14" x14ac:dyDescent="0.25">
      <c r="A4011" s="3" t="s">
        <v>4022</v>
      </c>
      <c r="B4011" s="4">
        <v>15.7</v>
      </c>
      <c r="C4011" s="4">
        <v>-0.56000000000000005</v>
      </c>
      <c r="D4011" s="4">
        <v>0.03</v>
      </c>
      <c r="E4011" s="4">
        <v>-2.1748230328655901E-2</v>
      </c>
      <c r="F4011" s="3">
        <v>4009</v>
      </c>
      <c r="G4011" s="3">
        <v>3</v>
      </c>
      <c r="H4011" s="5">
        <v>46756328315.18</v>
      </c>
      <c r="I4011" s="5">
        <v>51409328315.18</v>
      </c>
      <c r="J4011" s="5">
        <v>8527000000</v>
      </c>
      <c r="K4011" s="5">
        <v>3874000000</v>
      </c>
      <c r="L4011" s="5">
        <v>222578000000</v>
      </c>
      <c r="M4011" s="5">
        <v>3274000000</v>
      </c>
      <c r="N4011" s="5">
        <v>1561000000</v>
      </c>
    </row>
    <row r="4012" spans="1:14" x14ac:dyDescent="0.25">
      <c r="A4012" s="3" t="s">
        <v>4023</v>
      </c>
      <c r="B4012" s="4">
        <v>-2.4900000000000002</v>
      </c>
      <c r="C4012" s="4">
        <v>-4.45</v>
      </c>
      <c r="D4012" s="4">
        <v>-0.15</v>
      </c>
      <c r="E4012" s="4">
        <v>-2.1764400772691279E-2</v>
      </c>
      <c r="F4012" s="3">
        <v>4010</v>
      </c>
      <c r="G4012" s="3">
        <v>3</v>
      </c>
      <c r="H4012" s="5">
        <v>182787274.22999999</v>
      </c>
      <c r="I4012" s="5">
        <v>411893274.23000002</v>
      </c>
      <c r="J4012" s="5">
        <v>254757000</v>
      </c>
      <c r="K4012" s="5">
        <v>25651000</v>
      </c>
      <c r="L4012" s="5">
        <v>55911000</v>
      </c>
      <c r="M4012" s="5">
        <v>-165564000</v>
      </c>
      <c r="N4012" s="5">
        <v>-200969000</v>
      </c>
    </row>
    <row r="4013" spans="1:14" x14ac:dyDescent="0.25">
      <c r="A4013" s="3" t="s">
        <v>4024</v>
      </c>
      <c r="B4013" s="4">
        <v>16.809999999999999</v>
      </c>
      <c r="C4013" s="4">
        <v>-0.34</v>
      </c>
      <c r="D4013" s="4">
        <v>0.15</v>
      </c>
      <c r="E4013" s="4">
        <v>-2.1776424487783351E-2</v>
      </c>
      <c r="F4013" s="3">
        <v>4011</v>
      </c>
      <c r="G4013" s="3">
        <v>3</v>
      </c>
      <c r="H4013" s="5">
        <v>35557674245.239998</v>
      </c>
      <c r="I4013" s="5">
        <v>41581674245.239998</v>
      </c>
      <c r="J4013" s="5">
        <v>8324000000</v>
      </c>
      <c r="K4013" s="5">
        <v>2300000000</v>
      </c>
      <c r="L4013" s="5">
        <v>14261000000</v>
      </c>
      <c r="M4013" s="5">
        <v>2474000000</v>
      </c>
      <c r="N4013" s="5">
        <v>1645000000</v>
      </c>
    </row>
    <row r="4014" spans="1:14" x14ac:dyDescent="0.25">
      <c r="A4014" s="3" t="s">
        <v>4025</v>
      </c>
      <c r="B4014" s="4">
        <v>-0.59</v>
      </c>
      <c r="C4014" s="4">
        <v>-4.01</v>
      </c>
      <c r="D4014" s="4">
        <v>-0.8</v>
      </c>
      <c r="E4014" s="4">
        <v>-2.1794417874037721E-2</v>
      </c>
      <c r="F4014" s="3">
        <v>4012</v>
      </c>
      <c r="G4014" s="3">
        <v>3</v>
      </c>
      <c r="H4014" s="5">
        <v>11628601.779999999</v>
      </c>
      <c r="I4014" s="5">
        <v>9821601.7799999993</v>
      </c>
      <c r="J4014" s="5">
        <v>4098000</v>
      </c>
      <c r="K4014" s="5">
        <v>5905000</v>
      </c>
      <c r="L4014" s="5">
        <v>37321000</v>
      </c>
      <c r="M4014" s="5">
        <v>-16789000</v>
      </c>
      <c r="N4014" s="5">
        <v>-17759000</v>
      </c>
    </row>
    <row r="4015" spans="1:14" x14ac:dyDescent="0.25">
      <c r="A4015" s="3" t="s">
        <v>4026</v>
      </c>
      <c r="B4015" s="4">
        <v>18.579999999999998</v>
      </c>
      <c r="C4015" s="4">
        <v>0.03</v>
      </c>
      <c r="D4015" s="4">
        <v>0.01</v>
      </c>
      <c r="E4015" s="4">
        <v>-2.1829856808716189E-2</v>
      </c>
      <c r="F4015" s="3">
        <v>4013</v>
      </c>
      <c r="G4015" s="3">
        <v>3</v>
      </c>
      <c r="H4015" s="5">
        <v>280122008.39999998</v>
      </c>
      <c r="I4015" s="5">
        <v>316258008.39999998</v>
      </c>
      <c r="J4015" s="5">
        <v>59211000</v>
      </c>
      <c r="K4015" s="5">
        <v>23075000</v>
      </c>
      <c r="L4015" s="5">
        <v>247585000</v>
      </c>
      <c r="M4015" s="5">
        <v>17022000</v>
      </c>
      <c r="N4015" s="5">
        <v>2839000</v>
      </c>
    </row>
    <row r="4016" spans="1:14" x14ac:dyDescent="0.25">
      <c r="A4016" s="3" t="s">
        <v>4027</v>
      </c>
      <c r="B4016" s="4">
        <v>18.52</v>
      </c>
      <c r="C4016" s="4">
        <v>0.01</v>
      </c>
      <c r="D4016" s="4">
        <v>0.01</v>
      </c>
      <c r="E4016" s="4">
        <v>-2.185050878856264E-2</v>
      </c>
      <c r="F4016" s="3">
        <v>4014</v>
      </c>
      <c r="G4016" s="3">
        <v>3</v>
      </c>
      <c r="H4016" s="5">
        <v>1043675561.46</v>
      </c>
      <c r="I4016" s="5">
        <v>1544547521.46</v>
      </c>
      <c r="J4016" s="5">
        <v>504282960</v>
      </c>
      <c r="K4016" s="5">
        <v>3411000</v>
      </c>
      <c r="L4016" s="5">
        <v>92927630</v>
      </c>
      <c r="M4016" s="5">
        <v>83394510</v>
      </c>
      <c r="N4016" s="5">
        <v>12069220</v>
      </c>
    </row>
    <row r="4017" spans="1:14" x14ac:dyDescent="0.25">
      <c r="A4017" s="3" t="s">
        <v>4028</v>
      </c>
      <c r="B4017" s="4">
        <v>19.63</v>
      </c>
      <c r="C4017" s="4">
        <v>0.24</v>
      </c>
      <c r="D4017" s="4">
        <v>0.12</v>
      </c>
      <c r="E4017" s="4">
        <v>-2.185173836725314E-2</v>
      </c>
      <c r="F4017" s="3">
        <v>4015</v>
      </c>
      <c r="G4017" s="3">
        <v>3</v>
      </c>
      <c r="H4017" s="5">
        <v>24874932621.119999</v>
      </c>
      <c r="I4017" s="5">
        <v>26113932621.119999</v>
      </c>
      <c r="J4017" s="5">
        <v>1568100000</v>
      </c>
      <c r="K4017" s="5">
        <v>329100000</v>
      </c>
      <c r="L4017" s="5">
        <v>5628500000</v>
      </c>
      <c r="M4017" s="5">
        <v>1330300000</v>
      </c>
      <c r="N4017" s="5">
        <v>777800000</v>
      </c>
    </row>
    <row r="4018" spans="1:14" x14ac:dyDescent="0.25">
      <c r="A4018" s="3" t="s">
        <v>4029</v>
      </c>
      <c r="B4018" s="4">
        <v>18.440000000000001</v>
      </c>
      <c r="C4018" s="4">
        <v>-0.01</v>
      </c>
      <c r="D4018" s="4">
        <v>-0.01</v>
      </c>
      <c r="E4018" s="4">
        <v>-2.1862640410169949E-2</v>
      </c>
      <c r="F4018" s="3">
        <v>4016</v>
      </c>
      <c r="G4018" s="3">
        <v>3</v>
      </c>
      <c r="H4018" s="5">
        <v>158118870.02000001</v>
      </c>
      <c r="I4018" s="5">
        <v>122217870.02</v>
      </c>
      <c r="J4018" s="5">
        <v>0</v>
      </c>
      <c r="K4018" s="5">
        <v>35901000</v>
      </c>
      <c r="L4018" s="5">
        <v>208909000</v>
      </c>
      <c r="M4018" s="5">
        <v>6629000</v>
      </c>
      <c r="N4018" s="5">
        <v>-1143000</v>
      </c>
    </row>
    <row r="4019" spans="1:14" x14ac:dyDescent="0.25">
      <c r="A4019" s="3" t="s">
        <v>4030</v>
      </c>
      <c r="B4019" s="4">
        <v>16.989999999999998</v>
      </c>
      <c r="C4019" s="4">
        <v>-0.31</v>
      </c>
      <c r="D4019" s="4">
        <v>-0.21</v>
      </c>
      <c r="E4019" s="4">
        <v>-2.1870594326077578E-2</v>
      </c>
      <c r="F4019" s="3">
        <v>4017</v>
      </c>
      <c r="G4019" s="3">
        <v>3</v>
      </c>
      <c r="H4019" s="5">
        <v>1961899407.3599999</v>
      </c>
      <c r="I4019" s="5">
        <v>2035099407.3599999</v>
      </c>
      <c r="J4019" s="5">
        <v>203300000</v>
      </c>
      <c r="K4019" s="5">
        <v>130100000</v>
      </c>
      <c r="L4019" s="5">
        <v>553500000</v>
      </c>
      <c r="M4019" s="5">
        <v>119800000</v>
      </c>
      <c r="N4019" s="5">
        <v>-237800000</v>
      </c>
    </row>
    <row r="4020" spans="1:14" x14ac:dyDescent="0.25">
      <c r="A4020" s="3" t="s">
        <v>4031</v>
      </c>
      <c r="B4020" s="4">
        <v>19.23</v>
      </c>
      <c r="C4020" s="4">
        <v>0.15</v>
      </c>
      <c r="D4020" s="4">
        <v>0.08</v>
      </c>
      <c r="E4020" s="4">
        <v>-2.18719287088102E-2</v>
      </c>
      <c r="F4020" s="3">
        <v>4018</v>
      </c>
      <c r="G4020" s="3">
        <v>3</v>
      </c>
      <c r="H4020" s="5">
        <v>5930260498.2799997</v>
      </c>
      <c r="I4020" s="5">
        <v>5534408498.2799997</v>
      </c>
      <c r="J4020" s="5">
        <v>86982000</v>
      </c>
      <c r="K4020" s="5">
        <v>482834000</v>
      </c>
      <c r="L4020" s="5">
        <v>1531595000</v>
      </c>
      <c r="M4020" s="5">
        <v>287832000</v>
      </c>
      <c r="N4020" s="5">
        <v>181114000</v>
      </c>
    </row>
    <row r="4021" spans="1:14" x14ac:dyDescent="0.25">
      <c r="A4021" s="3" t="s">
        <v>4032</v>
      </c>
      <c r="B4021" s="4">
        <v>20.46</v>
      </c>
      <c r="C4021" s="4">
        <v>0.41</v>
      </c>
      <c r="D4021" s="4">
        <v>0.13</v>
      </c>
      <c r="E4021" s="4">
        <v>-2.1872322094287279E-2</v>
      </c>
      <c r="F4021" s="3">
        <v>4019</v>
      </c>
      <c r="G4021" s="3">
        <v>3</v>
      </c>
      <c r="H4021" s="5">
        <v>24809870712.400002</v>
      </c>
      <c r="I4021" s="5">
        <v>26307870712.400002</v>
      </c>
      <c r="J4021" s="5">
        <v>2599000000</v>
      </c>
      <c r="K4021" s="5">
        <v>1101000000</v>
      </c>
      <c r="L4021" s="5">
        <v>5193000000</v>
      </c>
      <c r="M4021" s="5">
        <v>1286000000</v>
      </c>
      <c r="N4021" s="5">
        <v>833000000</v>
      </c>
    </row>
    <row r="4022" spans="1:14" x14ac:dyDescent="0.25">
      <c r="A4022" s="3" t="s">
        <v>4033</v>
      </c>
      <c r="B4022" s="4">
        <v>21.26</v>
      </c>
      <c r="C4022" s="4">
        <v>0.57999999999999996</v>
      </c>
      <c r="D4022" s="4">
        <v>0.15</v>
      </c>
      <c r="E4022" s="4">
        <v>-2.187240917765268E-2</v>
      </c>
      <c r="F4022" s="3">
        <v>4020</v>
      </c>
      <c r="G4022" s="3">
        <v>3</v>
      </c>
      <c r="H4022" s="5">
        <v>159929298375</v>
      </c>
      <c r="I4022" s="5">
        <v>157460298375</v>
      </c>
      <c r="J4022" s="5">
        <v>2866000000</v>
      </c>
      <c r="K4022" s="5">
        <v>5335000000</v>
      </c>
      <c r="L4022" s="5">
        <v>56360000000</v>
      </c>
      <c r="M4022" s="5">
        <v>7406000000</v>
      </c>
      <c r="N4022" s="5">
        <v>4864000000</v>
      </c>
    </row>
    <row r="4023" spans="1:14" x14ac:dyDescent="0.25">
      <c r="A4023" s="3" t="s">
        <v>4034</v>
      </c>
      <c r="B4023" s="4">
        <v>22.93</v>
      </c>
      <c r="C4023" s="4">
        <v>0.93</v>
      </c>
      <c r="D4023" s="4">
        <v>0.11</v>
      </c>
      <c r="E4023" s="4">
        <v>-2.1902446389868609E-2</v>
      </c>
      <c r="F4023" s="3">
        <v>4021</v>
      </c>
      <c r="G4023" s="3">
        <v>3</v>
      </c>
      <c r="H4023" s="5">
        <v>65704281161.019997</v>
      </c>
      <c r="I4023" s="5">
        <v>69602281161.019989</v>
      </c>
      <c r="J4023" s="5">
        <v>5997000000</v>
      </c>
      <c r="K4023" s="5">
        <v>2099000000</v>
      </c>
      <c r="L4023" s="5">
        <v>10817000000</v>
      </c>
      <c r="M4023" s="5">
        <v>3036000000</v>
      </c>
      <c r="N4023" s="5">
        <v>1577000000</v>
      </c>
    </row>
    <row r="4024" spans="1:14" x14ac:dyDescent="0.25">
      <c r="A4024" s="3" t="s">
        <v>4035</v>
      </c>
      <c r="B4024" s="4">
        <v>19.43</v>
      </c>
      <c r="C4024" s="4">
        <v>0.18</v>
      </c>
      <c r="D4024" s="4">
        <v>0.1</v>
      </c>
      <c r="E4024" s="4">
        <v>-2.190517394855335E-2</v>
      </c>
      <c r="F4024" s="3">
        <v>4022</v>
      </c>
      <c r="G4024" s="3">
        <v>3</v>
      </c>
      <c r="H4024" s="5">
        <v>12570326574</v>
      </c>
      <c r="I4024" s="5">
        <v>11613819574</v>
      </c>
      <c r="J4024" s="5">
        <v>14500000</v>
      </c>
      <c r="K4024" s="5">
        <v>971007000</v>
      </c>
      <c r="L4024" s="5">
        <v>2389416000</v>
      </c>
      <c r="M4024" s="5">
        <v>597591000</v>
      </c>
      <c r="N4024" s="5">
        <v>399711000</v>
      </c>
    </row>
    <row r="4025" spans="1:14" x14ac:dyDescent="0.25">
      <c r="A4025" s="3" t="s">
        <v>4036</v>
      </c>
      <c r="B4025" s="4">
        <v>18.829999999999998</v>
      </c>
      <c r="C4025" s="4">
        <v>0.06</v>
      </c>
      <c r="D4025" s="4">
        <v>-0.05</v>
      </c>
      <c r="E4025" s="4">
        <v>-2.1909480289564791E-2</v>
      </c>
      <c r="F4025" s="3">
        <v>4023</v>
      </c>
      <c r="G4025" s="3">
        <v>3</v>
      </c>
      <c r="H4025" s="5">
        <v>76567553.700000003</v>
      </c>
      <c r="I4025" s="5">
        <v>268576553.69999999</v>
      </c>
      <c r="J4025" s="5">
        <v>197093000</v>
      </c>
      <c r="K4025" s="5">
        <v>5084000</v>
      </c>
      <c r="L4025" s="5">
        <v>64378000</v>
      </c>
      <c r="M4025" s="5">
        <v>14267000</v>
      </c>
      <c r="N4025" s="5">
        <v>-5348000</v>
      </c>
    </row>
    <row r="4026" spans="1:14" x14ac:dyDescent="0.25">
      <c r="A4026" s="3" t="s">
        <v>4037</v>
      </c>
      <c r="B4026" s="4">
        <v>18.86</v>
      </c>
      <c r="C4026" s="4">
        <v>0.06</v>
      </c>
      <c r="D4026" s="4">
        <v>0.03</v>
      </c>
      <c r="E4026" s="4">
        <v>-2.1912615694035971E-2</v>
      </c>
      <c r="F4026" s="3">
        <v>4024</v>
      </c>
      <c r="G4026" s="3">
        <v>3</v>
      </c>
      <c r="H4026" s="5">
        <v>11905077143.68</v>
      </c>
      <c r="I4026" s="5">
        <v>16716426143.68</v>
      </c>
      <c r="J4026" s="5">
        <v>5010762000</v>
      </c>
      <c r="K4026" s="5">
        <v>199413000</v>
      </c>
      <c r="L4026" s="5">
        <v>1728697000</v>
      </c>
      <c r="M4026" s="5">
        <v>886493000</v>
      </c>
      <c r="N4026" s="5">
        <v>412426000</v>
      </c>
    </row>
    <row r="4027" spans="1:14" x14ac:dyDescent="0.25">
      <c r="A4027" s="3" t="s">
        <v>4038</v>
      </c>
      <c r="B4027" s="4">
        <v>18.84</v>
      </c>
      <c r="C4027" s="4">
        <v>0.05</v>
      </c>
      <c r="D4027" s="4">
        <v>0.02</v>
      </c>
      <c r="E4027" s="4">
        <v>-2.193105991623379E-2</v>
      </c>
      <c r="F4027" s="3">
        <v>4025</v>
      </c>
      <c r="G4027" s="3">
        <v>3</v>
      </c>
      <c r="H4027" s="5">
        <v>906832685.75999999</v>
      </c>
      <c r="I4027" s="5">
        <v>1095355685.76</v>
      </c>
      <c r="J4027" s="5">
        <v>224625000</v>
      </c>
      <c r="K4027" s="5">
        <v>36102000</v>
      </c>
      <c r="L4027" s="5">
        <v>529968000</v>
      </c>
      <c r="M4027" s="5">
        <v>58145000</v>
      </c>
      <c r="N4027" s="5">
        <v>13166000</v>
      </c>
    </row>
    <row r="4028" spans="1:14" x14ac:dyDescent="0.25">
      <c r="A4028" s="3" t="s">
        <v>4039</v>
      </c>
      <c r="B4028" s="4">
        <v>19.54</v>
      </c>
      <c r="C4028" s="4">
        <v>0.19</v>
      </c>
      <c r="D4028" s="4">
        <v>0.15</v>
      </c>
      <c r="E4028" s="4">
        <v>-2.193471647131922E-2</v>
      </c>
      <c r="F4028" s="3">
        <v>4026</v>
      </c>
      <c r="G4028" s="3">
        <v>3</v>
      </c>
      <c r="H4028" s="5">
        <v>13631592381.959999</v>
      </c>
      <c r="I4028" s="5">
        <v>12984793381.959999</v>
      </c>
      <c r="J4028" s="5">
        <v>28537000</v>
      </c>
      <c r="K4028" s="5">
        <v>675336000</v>
      </c>
      <c r="L4028" s="5">
        <v>2113316000</v>
      </c>
      <c r="M4028" s="5">
        <v>664547000</v>
      </c>
      <c r="N4028" s="5">
        <v>486084000</v>
      </c>
    </row>
    <row r="4029" spans="1:14" x14ac:dyDescent="0.25">
      <c r="A4029" s="3" t="s">
        <v>4040</v>
      </c>
      <c r="B4029" s="4">
        <v>19.66</v>
      </c>
      <c r="C4029" s="4">
        <v>0.22</v>
      </c>
      <c r="D4029" s="4">
        <v>0.08</v>
      </c>
      <c r="E4029" s="4">
        <v>-2.193580930468331E-2</v>
      </c>
      <c r="F4029" s="3">
        <v>4027</v>
      </c>
      <c r="G4029" s="3">
        <v>3</v>
      </c>
      <c r="H4029" s="5">
        <v>284126265866.79999</v>
      </c>
      <c r="I4029" s="5">
        <v>303873265866.79999</v>
      </c>
      <c r="J4029" s="5">
        <v>28093000000</v>
      </c>
      <c r="K4029" s="5">
        <v>8346000000</v>
      </c>
      <c r="L4029" s="5">
        <v>56654000000</v>
      </c>
      <c r="M4029" s="5">
        <v>15458000000</v>
      </c>
      <c r="N4029" s="5">
        <v>10180000000</v>
      </c>
    </row>
    <row r="4030" spans="1:14" x14ac:dyDescent="0.25">
      <c r="A4030" s="3" t="s">
        <v>4041</v>
      </c>
      <c r="B4030" s="4">
        <v>0.19</v>
      </c>
      <c r="C4030" s="4">
        <v>-3.81</v>
      </c>
      <c r="D4030" s="4">
        <v>-2.0499999999999998</v>
      </c>
      <c r="E4030" s="4">
        <v>-2.194043210030884E-2</v>
      </c>
      <c r="F4030" s="3">
        <v>4028</v>
      </c>
      <c r="G4030" s="3">
        <v>3</v>
      </c>
      <c r="H4030" s="5">
        <v>2865910.11</v>
      </c>
      <c r="I4030" s="5">
        <v>-2920839.89</v>
      </c>
      <c r="J4030" s="5">
        <v>0</v>
      </c>
      <c r="K4030" s="5">
        <v>5786750</v>
      </c>
      <c r="L4030" s="5">
        <v>0</v>
      </c>
      <c r="M4030" s="5">
        <v>-15365010</v>
      </c>
      <c r="N4030" s="5">
        <v>-15022030</v>
      </c>
    </row>
    <row r="4031" spans="1:14" x14ac:dyDescent="0.25">
      <c r="A4031" s="3" t="s">
        <v>4042</v>
      </c>
      <c r="B4031" s="4">
        <v>19.010000000000002</v>
      </c>
      <c r="C4031" s="4">
        <v>0.08</v>
      </c>
      <c r="D4031" s="4">
        <v>0.03</v>
      </c>
      <c r="E4031" s="4">
        <v>-2.1947666565463229E-2</v>
      </c>
      <c r="F4031" s="3">
        <v>4029</v>
      </c>
      <c r="G4031" s="3">
        <v>3</v>
      </c>
      <c r="H4031" s="5">
        <v>998548260.15999997</v>
      </c>
      <c r="I4031" s="5">
        <v>2779129260.1599998</v>
      </c>
      <c r="J4031" s="5">
        <v>1860901000</v>
      </c>
      <c r="K4031" s="5">
        <v>80320000</v>
      </c>
      <c r="L4031" s="5">
        <v>371666000</v>
      </c>
      <c r="M4031" s="5">
        <v>146222000</v>
      </c>
      <c r="N4031" s="5">
        <v>113443000</v>
      </c>
    </row>
    <row r="4032" spans="1:14" x14ac:dyDescent="0.25">
      <c r="A4032" s="3" t="s">
        <v>4043</v>
      </c>
      <c r="B4032" s="4">
        <v>19.079999999999998</v>
      </c>
      <c r="C4032" s="4">
        <v>0.09</v>
      </c>
      <c r="D4032" s="4">
        <v>0.03</v>
      </c>
      <c r="E4032" s="4">
        <v>-2.1962097398328301E-2</v>
      </c>
      <c r="F4032" s="3">
        <v>4030</v>
      </c>
      <c r="G4032" s="3">
        <v>3</v>
      </c>
      <c r="H4032" s="5">
        <v>392897702.36000001</v>
      </c>
      <c r="I4032" s="5">
        <v>1194286952.3599999</v>
      </c>
      <c r="J4032" s="5">
        <v>804155660</v>
      </c>
      <c r="K4032" s="5">
        <v>2766410</v>
      </c>
      <c r="L4032" s="5">
        <v>143513300</v>
      </c>
      <c r="M4032" s="5">
        <v>62600380</v>
      </c>
      <c r="N4032" s="5">
        <v>47665770</v>
      </c>
    </row>
    <row r="4033" spans="1:14" x14ac:dyDescent="0.25">
      <c r="A4033" s="3" t="s">
        <v>4044</v>
      </c>
      <c r="B4033" s="4">
        <v>18.86</v>
      </c>
      <c r="C4033" s="4">
        <v>0.04</v>
      </c>
      <c r="D4033" s="4">
        <v>0.02</v>
      </c>
      <c r="E4033" s="4">
        <v>-2.1972331934642399E-2</v>
      </c>
      <c r="F4033" s="3">
        <v>4031</v>
      </c>
      <c r="G4033" s="3">
        <v>3</v>
      </c>
      <c r="H4033" s="5">
        <v>716578539.36000001</v>
      </c>
      <c r="I4033" s="5">
        <v>866373539.36000001</v>
      </c>
      <c r="J4033" s="5">
        <v>157100000</v>
      </c>
      <c r="K4033" s="5">
        <v>7305000</v>
      </c>
      <c r="L4033" s="5">
        <v>282810000</v>
      </c>
      <c r="M4033" s="5">
        <v>45942000</v>
      </c>
      <c r="N4033" s="5">
        <v>23496000</v>
      </c>
    </row>
    <row r="4034" spans="1:14" x14ac:dyDescent="0.25">
      <c r="A4034" s="3" t="s">
        <v>4045</v>
      </c>
      <c r="B4034" s="4">
        <v>18.97</v>
      </c>
      <c r="C4034" s="4">
        <v>7.0000000000000007E-2</v>
      </c>
      <c r="D4034" s="4">
        <v>-0.19</v>
      </c>
      <c r="E4034" s="4">
        <v>-2.19942419343945E-2</v>
      </c>
      <c r="F4034" s="3">
        <v>4032</v>
      </c>
      <c r="G4034" s="3">
        <v>3</v>
      </c>
      <c r="H4034" s="5">
        <v>3340550.85</v>
      </c>
      <c r="I4034" s="5">
        <v>140476550.84999999</v>
      </c>
      <c r="J4034" s="5">
        <v>141606000</v>
      </c>
      <c r="K4034" s="5">
        <v>4470000</v>
      </c>
      <c r="L4034" s="5">
        <v>46363000</v>
      </c>
      <c r="M4034" s="5">
        <v>7405000</v>
      </c>
      <c r="N4034" s="5">
        <v>-9110000</v>
      </c>
    </row>
    <row r="4035" spans="1:14" x14ac:dyDescent="0.25">
      <c r="A4035" s="3" t="s">
        <v>4046</v>
      </c>
      <c r="B4035" s="4">
        <v>18.05</v>
      </c>
      <c r="C4035" s="4">
        <v>-0.14000000000000001</v>
      </c>
      <c r="D4035" s="4">
        <v>-0.02</v>
      </c>
      <c r="E4035" s="4">
        <v>-2.199880730574939E-2</v>
      </c>
      <c r="F4035" s="3">
        <v>4033</v>
      </c>
      <c r="G4035" s="3">
        <v>3</v>
      </c>
      <c r="H4035" s="5">
        <v>1073675.925</v>
      </c>
      <c r="I4035" s="5">
        <v>3037685.9249999998</v>
      </c>
      <c r="J4035" s="5">
        <v>1967140</v>
      </c>
      <c r="K4035" s="5">
        <v>3130</v>
      </c>
      <c r="L4035" s="5">
        <v>3361220</v>
      </c>
      <c r="M4035" s="5">
        <v>168290</v>
      </c>
      <c r="N4035" s="5">
        <v>-73430</v>
      </c>
    </row>
    <row r="4036" spans="1:14" x14ac:dyDescent="0.25">
      <c r="A4036" s="3" t="s">
        <v>4047</v>
      </c>
      <c r="B4036" s="4">
        <v>20.18</v>
      </c>
      <c r="C4036" s="4">
        <v>0.3</v>
      </c>
      <c r="D4036" s="4">
        <v>0.21</v>
      </c>
      <c r="E4036" s="4">
        <v>-2.2001421799308109E-2</v>
      </c>
      <c r="F4036" s="3">
        <v>4034</v>
      </c>
      <c r="G4036" s="3">
        <v>3</v>
      </c>
      <c r="H4036" s="5">
        <v>15067848362.879999</v>
      </c>
      <c r="I4036" s="5">
        <v>14793010362.879999</v>
      </c>
      <c r="J4036" s="5">
        <v>0</v>
      </c>
      <c r="K4036" s="5">
        <v>274838000</v>
      </c>
      <c r="L4036" s="5">
        <v>3795115000</v>
      </c>
      <c r="M4036" s="5">
        <v>732985000</v>
      </c>
      <c r="N4036" s="5">
        <v>600314000</v>
      </c>
    </row>
    <row r="4037" spans="1:14" x14ac:dyDescent="0.25">
      <c r="A4037" s="3" t="s">
        <v>4048</v>
      </c>
      <c r="B4037" s="4">
        <v>19.11</v>
      </c>
      <c r="C4037" s="4">
        <v>0.08</v>
      </c>
      <c r="D4037" s="4">
        <v>0.03</v>
      </c>
      <c r="E4037" s="4">
        <v>-2.2009558622433999E-2</v>
      </c>
      <c r="F4037" s="3">
        <v>4035</v>
      </c>
      <c r="G4037" s="3">
        <v>3</v>
      </c>
      <c r="H4037" s="5">
        <v>233294317908</v>
      </c>
      <c r="I4037" s="5">
        <v>268977317908</v>
      </c>
      <c r="J4037" s="5">
        <v>41261000000</v>
      </c>
      <c r="K4037" s="5">
        <v>5578000000</v>
      </c>
      <c r="L4037" s="5">
        <v>80738000000</v>
      </c>
      <c r="M4037" s="5">
        <v>14078000000</v>
      </c>
      <c r="N4037" s="5">
        <v>4774000000</v>
      </c>
    </row>
    <row r="4038" spans="1:14" x14ac:dyDescent="0.25">
      <c r="A4038" s="3" t="s">
        <v>4049</v>
      </c>
      <c r="B4038" s="4">
        <v>20.84</v>
      </c>
      <c r="C4038" s="4">
        <v>0.43</v>
      </c>
      <c r="D4038" s="4">
        <v>0.19</v>
      </c>
      <c r="E4038" s="4">
        <v>-2.203815053728227E-2</v>
      </c>
      <c r="F4038" s="3">
        <v>4036</v>
      </c>
      <c r="G4038" s="3">
        <v>3</v>
      </c>
      <c r="H4038" s="5">
        <v>49441250</v>
      </c>
      <c r="I4038" s="5">
        <v>49729030</v>
      </c>
      <c r="J4038" s="5">
        <v>432400</v>
      </c>
      <c r="K4038" s="5">
        <v>144620</v>
      </c>
      <c r="L4038" s="5">
        <v>9702150</v>
      </c>
      <c r="M4038" s="5">
        <v>2386800</v>
      </c>
      <c r="N4038" s="5">
        <v>1993260</v>
      </c>
    </row>
    <row r="4039" spans="1:14" x14ac:dyDescent="0.25">
      <c r="A4039" s="3" t="s">
        <v>4050</v>
      </c>
      <c r="B4039" s="4">
        <v>19.45</v>
      </c>
      <c r="C4039" s="4">
        <v>0.14000000000000001</v>
      </c>
      <c r="D4039" s="4">
        <v>0.04</v>
      </c>
      <c r="E4039" s="4">
        <v>-2.204470094747038E-2</v>
      </c>
      <c r="F4039" s="3">
        <v>4037</v>
      </c>
      <c r="G4039" s="3">
        <v>3</v>
      </c>
      <c r="H4039" s="5">
        <v>171065559443.76001</v>
      </c>
      <c r="I4039" s="5">
        <v>251911559443.76001</v>
      </c>
      <c r="J4039" s="5">
        <v>82333000000</v>
      </c>
      <c r="K4039" s="5">
        <v>1487000000</v>
      </c>
      <c r="L4039" s="5">
        <v>24753000000</v>
      </c>
      <c r="M4039" s="5">
        <v>12955000000</v>
      </c>
      <c r="N4039" s="5">
        <v>6946000000</v>
      </c>
    </row>
    <row r="4040" spans="1:14" x14ac:dyDescent="0.25">
      <c r="A4040" s="3" t="s">
        <v>4051</v>
      </c>
      <c r="B4040" s="4">
        <v>19.29</v>
      </c>
      <c r="C4040" s="4">
        <v>0.09</v>
      </c>
      <c r="D4040" s="4">
        <v>0.06</v>
      </c>
      <c r="E4040" s="4">
        <v>-2.2086283638234411E-2</v>
      </c>
      <c r="F4040" s="3">
        <v>4038</v>
      </c>
      <c r="G4040" s="3">
        <v>3</v>
      </c>
      <c r="H4040" s="5">
        <v>24071301525.029999</v>
      </c>
      <c r="I4040" s="5">
        <v>26070501525.029999</v>
      </c>
      <c r="J4040" s="5">
        <v>2649000000</v>
      </c>
      <c r="K4040" s="5">
        <v>649800000</v>
      </c>
      <c r="L4040" s="5">
        <v>5670000000</v>
      </c>
      <c r="M4040" s="5">
        <v>1351500000</v>
      </c>
      <c r="N4040" s="5">
        <v>819200000</v>
      </c>
    </row>
    <row r="4041" spans="1:14" x14ac:dyDescent="0.25">
      <c r="A4041" s="3" t="s">
        <v>4052</v>
      </c>
      <c r="B4041" s="4">
        <v>19.95</v>
      </c>
      <c r="C4041" s="4">
        <v>0.22</v>
      </c>
      <c r="D4041" s="4">
        <v>0.2</v>
      </c>
      <c r="E4041" s="4">
        <v>-2.2092147950968491E-2</v>
      </c>
      <c r="F4041" s="3">
        <v>4039</v>
      </c>
      <c r="G4041" s="3">
        <v>3</v>
      </c>
      <c r="H4041" s="5">
        <v>3252862938.4200001</v>
      </c>
      <c r="I4041" s="5">
        <v>2974831938.4200001</v>
      </c>
      <c r="J4041" s="5">
        <v>0</v>
      </c>
      <c r="K4041" s="5">
        <v>278031000</v>
      </c>
      <c r="L4041" s="5">
        <v>317721000</v>
      </c>
      <c r="M4041" s="5">
        <v>149092000</v>
      </c>
      <c r="N4041" s="5">
        <v>108839000</v>
      </c>
    </row>
    <row r="4042" spans="1:14" x14ac:dyDescent="0.25">
      <c r="A4042" s="3" t="s">
        <v>4053</v>
      </c>
      <c r="B4042" s="4">
        <v>19.75</v>
      </c>
      <c r="C4042" s="4">
        <v>0.17</v>
      </c>
      <c r="D4042" s="4">
        <v>0.15</v>
      </c>
      <c r="E4042" s="4">
        <v>-2.2122477004986759E-2</v>
      </c>
      <c r="F4042" s="3">
        <v>4040</v>
      </c>
      <c r="G4042" s="3">
        <v>3</v>
      </c>
      <c r="H4042" s="5">
        <v>40581295301.82</v>
      </c>
      <c r="I4042" s="5">
        <v>37803469301.82</v>
      </c>
      <c r="J4042" s="5">
        <v>2705000</v>
      </c>
      <c r="K4042" s="5">
        <v>2780531000</v>
      </c>
      <c r="L4042" s="5">
        <v>4646958000</v>
      </c>
      <c r="M4042" s="5">
        <v>1914498000</v>
      </c>
      <c r="N4042" s="5">
        <v>1552449000</v>
      </c>
    </row>
    <row r="4043" spans="1:14" x14ac:dyDescent="0.25">
      <c r="A4043" s="3" t="s">
        <v>4054</v>
      </c>
      <c r="B4043" s="4">
        <v>19.489999999999998</v>
      </c>
      <c r="C4043" s="4">
        <v>0.12</v>
      </c>
      <c r="D4043" s="4">
        <v>0.04</v>
      </c>
      <c r="E4043" s="4">
        <v>-2.21272449842876E-2</v>
      </c>
      <c r="F4043" s="3">
        <v>4041</v>
      </c>
      <c r="G4043" s="3">
        <v>3</v>
      </c>
      <c r="H4043" s="5">
        <v>902692137.72000003</v>
      </c>
      <c r="I4043" s="5">
        <v>876119137.72000003</v>
      </c>
      <c r="J4043" s="5">
        <v>0</v>
      </c>
      <c r="K4043" s="5">
        <v>26573000</v>
      </c>
      <c r="L4043" s="5">
        <v>319788000</v>
      </c>
      <c r="M4043" s="5">
        <v>44959000</v>
      </c>
      <c r="N4043" s="5">
        <v>47090000</v>
      </c>
    </row>
    <row r="4044" spans="1:14" x14ac:dyDescent="0.25">
      <c r="A4044" s="3" t="s">
        <v>4055</v>
      </c>
      <c r="B4044" s="4">
        <v>16.399999999999999</v>
      </c>
      <c r="C4044" s="4">
        <v>-0.53</v>
      </c>
      <c r="D4044" s="4">
        <v>-0.32</v>
      </c>
      <c r="E4044" s="4">
        <v>-2.2162309836620649E-2</v>
      </c>
      <c r="F4044" s="3">
        <v>4042</v>
      </c>
      <c r="G4044" s="3">
        <v>3</v>
      </c>
      <c r="H4044" s="5">
        <v>1349424467.46</v>
      </c>
      <c r="I4044" s="5">
        <v>2114531467.46</v>
      </c>
      <c r="J4044" s="5">
        <v>894111000</v>
      </c>
      <c r="K4044" s="5">
        <v>129004000</v>
      </c>
      <c r="L4044" s="5">
        <v>894661000</v>
      </c>
      <c r="M4044" s="5">
        <v>128903000</v>
      </c>
      <c r="N4044" s="5">
        <v>-1092044000</v>
      </c>
    </row>
    <row r="4045" spans="1:14" x14ac:dyDescent="0.25">
      <c r="A4045" s="3" t="s">
        <v>4056</v>
      </c>
      <c r="B4045" s="4">
        <v>19.98</v>
      </c>
      <c r="C4045" s="4">
        <v>0.21</v>
      </c>
      <c r="D4045" s="4">
        <v>7.0000000000000007E-2</v>
      </c>
      <c r="E4045" s="4">
        <v>-2.2164686520581751E-2</v>
      </c>
      <c r="F4045" s="3">
        <v>4043</v>
      </c>
      <c r="G4045" s="3">
        <v>3</v>
      </c>
      <c r="H4045" s="5">
        <v>809005203349.33997</v>
      </c>
      <c r="I4045" s="5">
        <v>845758203349.33997</v>
      </c>
      <c r="J4045" s="5">
        <v>45790000000</v>
      </c>
      <c r="K4045" s="5">
        <v>9037000000</v>
      </c>
      <c r="L4045" s="5">
        <v>680985000000</v>
      </c>
      <c r="M4045" s="5">
        <v>42321000000</v>
      </c>
      <c r="N4045" s="5">
        <v>19436000000</v>
      </c>
    </row>
    <row r="4046" spans="1:14" x14ac:dyDescent="0.25">
      <c r="A4046" s="3" t="s">
        <v>4057</v>
      </c>
      <c r="B4046" s="4">
        <v>14.54</v>
      </c>
      <c r="C4046" s="4">
        <v>-0.95</v>
      </c>
      <c r="D4046" s="4">
        <v>-0.03</v>
      </c>
      <c r="E4046" s="4">
        <v>-2.216870730082381E-2</v>
      </c>
      <c r="F4046" s="3">
        <v>4044</v>
      </c>
      <c r="G4046" s="3">
        <v>3</v>
      </c>
      <c r="H4046" s="5">
        <v>2201536490.04</v>
      </c>
      <c r="I4046" s="5">
        <v>6259300490.04</v>
      </c>
      <c r="J4046" s="5">
        <v>4366689000</v>
      </c>
      <c r="K4046" s="5">
        <v>308925000</v>
      </c>
      <c r="L4046" s="5">
        <v>3125487000</v>
      </c>
      <c r="M4046" s="5">
        <v>430526000</v>
      </c>
      <c r="N4046" s="5">
        <v>-201935000</v>
      </c>
    </row>
    <row r="4047" spans="1:14" x14ac:dyDescent="0.25">
      <c r="A4047" s="3" t="s">
        <v>4058</v>
      </c>
      <c r="B4047" s="4">
        <v>19.059999999999999</v>
      </c>
      <c r="C4047" s="4">
        <v>0.01</v>
      </c>
      <c r="D4047" s="4">
        <v>0</v>
      </c>
      <c r="E4047" s="4">
        <v>-2.218665492278233E-2</v>
      </c>
      <c r="F4047" s="3">
        <v>4045</v>
      </c>
      <c r="G4047" s="3">
        <v>3</v>
      </c>
      <c r="H4047" s="5">
        <v>5714416440</v>
      </c>
      <c r="I4047" s="5">
        <v>6464364440</v>
      </c>
      <c r="J4047" s="5">
        <v>1133251000</v>
      </c>
      <c r="K4047" s="5">
        <v>383303000</v>
      </c>
      <c r="L4047" s="5">
        <v>1557283000</v>
      </c>
      <c r="M4047" s="5">
        <v>339193000</v>
      </c>
      <c r="N4047" s="5">
        <v>13536000</v>
      </c>
    </row>
    <row r="4048" spans="1:14" x14ac:dyDescent="0.25">
      <c r="A4048" s="3" t="s">
        <v>4059</v>
      </c>
      <c r="B4048" s="4">
        <v>18.93</v>
      </c>
      <c r="C4048" s="4">
        <v>-0.02</v>
      </c>
      <c r="D4048" s="4">
        <v>0</v>
      </c>
      <c r="E4048" s="4">
        <v>-2.2192876069763699E-2</v>
      </c>
      <c r="F4048" s="3">
        <v>4046</v>
      </c>
      <c r="G4048" s="3">
        <v>3</v>
      </c>
      <c r="H4048" s="5">
        <v>10.255813</v>
      </c>
      <c r="I4048" s="5">
        <v>196538330.255813</v>
      </c>
      <c r="J4048" s="5">
        <v>219177140</v>
      </c>
      <c r="K4048" s="5">
        <v>22638820</v>
      </c>
      <c r="L4048" s="5">
        <v>273260810</v>
      </c>
      <c r="M4048" s="5">
        <v>10381780</v>
      </c>
      <c r="N4048" s="5">
        <v>-1012070</v>
      </c>
    </row>
    <row r="4049" spans="1:14" x14ac:dyDescent="0.25">
      <c r="A4049" s="3" t="s">
        <v>4060</v>
      </c>
      <c r="B4049" s="4">
        <v>-1.33</v>
      </c>
      <c r="C4049" s="4">
        <v>-4.3</v>
      </c>
      <c r="D4049" s="4">
        <v>-0.96</v>
      </c>
      <c r="E4049" s="4">
        <v>-2.2205195681113371E-2</v>
      </c>
      <c r="F4049" s="3">
        <v>4047</v>
      </c>
      <c r="G4049" s="3">
        <v>3</v>
      </c>
      <c r="H4049" s="5">
        <v>165970387.69850001</v>
      </c>
      <c r="I4049" s="5">
        <v>124052387.69850001</v>
      </c>
      <c r="J4049" s="5">
        <v>0</v>
      </c>
      <c r="K4049" s="5">
        <v>41918000</v>
      </c>
      <c r="L4049" s="5">
        <v>57800000</v>
      </c>
      <c r="M4049" s="5">
        <v>-93041000</v>
      </c>
      <c r="N4049" s="5">
        <v>-97941000</v>
      </c>
    </row>
    <row r="4050" spans="1:14" x14ac:dyDescent="0.25">
      <c r="A4050" s="3" t="s">
        <v>4061</v>
      </c>
      <c r="B4050" s="4">
        <v>19.2</v>
      </c>
      <c r="C4050" s="4">
        <v>0.03</v>
      </c>
      <c r="D4050" s="4">
        <v>0.02</v>
      </c>
      <c r="E4050" s="4">
        <v>-2.221165853535749E-2</v>
      </c>
      <c r="F4050" s="3">
        <v>4048</v>
      </c>
      <c r="G4050" s="3">
        <v>3</v>
      </c>
      <c r="H4050" s="5">
        <v>1509944537.2349999</v>
      </c>
      <c r="I4050" s="5">
        <v>1579221537.2349999</v>
      </c>
      <c r="J4050" s="5">
        <v>102286000</v>
      </c>
      <c r="K4050" s="5">
        <v>33009000</v>
      </c>
      <c r="L4050" s="5">
        <v>666295000</v>
      </c>
      <c r="M4050" s="5">
        <v>82251000</v>
      </c>
      <c r="N4050" s="5">
        <v>11192000</v>
      </c>
    </row>
    <row r="4051" spans="1:14" x14ac:dyDescent="0.25">
      <c r="A4051" s="3" t="s">
        <v>4062</v>
      </c>
      <c r="B4051" s="4">
        <v>19.489999999999998</v>
      </c>
      <c r="C4051" s="4">
        <v>0.09</v>
      </c>
      <c r="D4051" s="4">
        <v>0.05</v>
      </c>
      <c r="E4051" s="4">
        <v>-2.2211996778753469E-2</v>
      </c>
      <c r="F4051" s="3">
        <v>4049</v>
      </c>
      <c r="G4051" s="3">
        <v>3</v>
      </c>
      <c r="H4051" s="5">
        <v>580671781.20000005</v>
      </c>
      <c r="I4051" s="5">
        <v>1117437781.2</v>
      </c>
      <c r="J4051" s="5">
        <v>565141000</v>
      </c>
      <c r="K4051" s="5">
        <v>28375000</v>
      </c>
      <c r="L4051" s="5">
        <v>134828000</v>
      </c>
      <c r="M4051" s="5">
        <v>57322000</v>
      </c>
      <c r="N4051" s="5">
        <v>56553000</v>
      </c>
    </row>
    <row r="4052" spans="1:14" x14ac:dyDescent="0.25">
      <c r="A4052" s="3" t="s">
        <v>4063</v>
      </c>
      <c r="B4052" s="4">
        <v>20.079999999999998</v>
      </c>
      <c r="C4052" s="4">
        <v>0.21</v>
      </c>
      <c r="D4052" s="4">
        <v>0.12</v>
      </c>
      <c r="E4052" s="4">
        <v>-2.2216933444665E-2</v>
      </c>
      <c r="F4052" s="3">
        <v>4050</v>
      </c>
      <c r="G4052" s="3">
        <v>3</v>
      </c>
      <c r="H4052" s="5">
        <v>6263923930.9499998</v>
      </c>
      <c r="I4052" s="5">
        <v>6400836930.9499998</v>
      </c>
      <c r="J4052" s="5">
        <v>290268000</v>
      </c>
      <c r="K4052" s="5">
        <v>153355000</v>
      </c>
      <c r="L4052" s="5">
        <v>1838372000</v>
      </c>
      <c r="M4052" s="5">
        <v>318841000</v>
      </c>
      <c r="N4052" s="5">
        <v>198297000</v>
      </c>
    </row>
    <row r="4053" spans="1:14" x14ac:dyDescent="0.25">
      <c r="A4053" s="3" t="s">
        <v>4064</v>
      </c>
      <c r="B4053" s="4">
        <v>19.11</v>
      </c>
      <c r="C4053" s="4">
        <v>0</v>
      </c>
      <c r="D4053" s="4">
        <v>0</v>
      </c>
      <c r="E4053" s="4">
        <v>-2.224649455828218E-2</v>
      </c>
      <c r="F4053" s="3">
        <v>4051</v>
      </c>
      <c r="G4053" s="3">
        <v>3</v>
      </c>
      <c r="H4053" s="5">
        <v>37897899525.959999</v>
      </c>
      <c r="I4053" s="5">
        <v>41172899525.959999</v>
      </c>
      <c r="J4053" s="5">
        <v>6736000000</v>
      </c>
      <c r="K4053" s="5">
        <v>3461000000</v>
      </c>
      <c r="L4053" s="5">
        <v>14048000000</v>
      </c>
      <c r="M4053" s="5">
        <v>2155000000</v>
      </c>
      <c r="N4053" s="5">
        <v>43000000</v>
      </c>
    </row>
    <row r="4054" spans="1:14" x14ac:dyDescent="0.25">
      <c r="A4054" s="3" t="s">
        <v>4065</v>
      </c>
      <c r="B4054" s="4">
        <v>19.399999999999999</v>
      </c>
      <c r="C4054" s="4">
        <v>0.06</v>
      </c>
      <c r="D4054" s="4">
        <v>0.02</v>
      </c>
      <c r="E4054" s="4">
        <v>-2.2248761828255661E-2</v>
      </c>
      <c r="F4054" s="3">
        <v>4052</v>
      </c>
      <c r="G4054" s="3">
        <v>3</v>
      </c>
      <c r="H4054" s="5">
        <v>562807609</v>
      </c>
      <c r="I4054" s="5">
        <v>532795609</v>
      </c>
      <c r="J4054" s="5">
        <v>29261000</v>
      </c>
      <c r="K4054" s="5">
        <v>59273000</v>
      </c>
      <c r="L4054" s="5">
        <v>440064000</v>
      </c>
      <c r="M4054" s="5">
        <v>27458000</v>
      </c>
      <c r="N4054" s="5">
        <v>9891000</v>
      </c>
    </row>
    <row r="4055" spans="1:14" x14ac:dyDescent="0.25">
      <c r="A4055" s="3" t="s">
        <v>4066</v>
      </c>
      <c r="B4055" s="4">
        <v>18.489999999999998</v>
      </c>
      <c r="C4055" s="4">
        <v>-0.13</v>
      </c>
      <c r="D4055" s="4">
        <v>-0.06</v>
      </c>
      <c r="E4055" s="4">
        <v>-2.2249954855716361E-2</v>
      </c>
      <c r="F4055" s="3">
        <v>4053</v>
      </c>
      <c r="G4055" s="3">
        <v>3</v>
      </c>
      <c r="H4055" s="5">
        <v>541368909.69000006</v>
      </c>
      <c r="I4055" s="5">
        <v>549722909.69000006</v>
      </c>
      <c r="J4055" s="5">
        <v>72483000</v>
      </c>
      <c r="K4055" s="5">
        <v>64129000</v>
      </c>
      <c r="L4055" s="5">
        <v>853699000</v>
      </c>
      <c r="M4055" s="5">
        <v>29731000</v>
      </c>
      <c r="N4055" s="5">
        <v>-30313000</v>
      </c>
    </row>
    <row r="4056" spans="1:14" x14ac:dyDescent="0.25">
      <c r="A4056" s="3" t="s">
        <v>4067</v>
      </c>
      <c r="B4056" s="4">
        <v>19.440000000000001</v>
      </c>
      <c r="C4056" s="4">
        <v>0.06</v>
      </c>
      <c r="D4056" s="4">
        <v>0.04</v>
      </c>
      <c r="E4056" s="4">
        <v>-2.2269660597888961E-2</v>
      </c>
      <c r="F4056" s="3">
        <v>4054</v>
      </c>
      <c r="G4056" s="3">
        <v>3</v>
      </c>
      <c r="H4056" s="5">
        <v>5878948857.8400002</v>
      </c>
      <c r="I4056" s="5">
        <v>7955752857.8400002</v>
      </c>
      <c r="J4056" s="5">
        <v>2117517000</v>
      </c>
      <c r="K4056" s="5">
        <v>40713000</v>
      </c>
      <c r="L4056" s="5">
        <v>449610000</v>
      </c>
      <c r="M4056" s="5">
        <v>409222000</v>
      </c>
      <c r="N4056" s="5">
        <v>203004000</v>
      </c>
    </row>
    <row r="4057" spans="1:14" x14ac:dyDescent="0.25">
      <c r="A4057" s="3" t="s">
        <v>4068</v>
      </c>
      <c r="B4057" s="4">
        <v>19.79</v>
      </c>
      <c r="C4057" s="4">
        <v>0.13</v>
      </c>
      <c r="D4057" s="4">
        <v>0.05</v>
      </c>
      <c r="E4057" s="4">
        <v>-2.2282098521607958E-2</v>
      </c>
      <c r="F4057" s="3">
        <v>4055</v>
      </c>
      <c r="G4057" s="3">
        <v>3</v>
      </c>
      <c r="H4057" s="5">
        <v>166510707000</v>
      </c>
      <c r="I4057" s="5">
        <v>166062707000</v>
      </c>
      <c r="J4057" s="5">
        <v>12314000000</v>
      </c>
      <c r="K4057" s="5">
        <v>12762000000</v>
      </c>
      <c r="L4057" s="5">
        <v>20407000000</v>
      </c>
      <c r="M4057" s="5">
        <v>8391000000</v>
      </c>
      <c r="N4057" s="5">
        <v>6369000000</v>
      </c>
    </row>
    <row r="4058" spans="1:14" x14ac:dyDescent="0.25">
      <c r="A4058" s="3" t="s">
        <v>4069</v>
      </c>
      <c r="B4058" s="4">
        <v>20.059999999999999</v>
      </c>
      <c r="C4058" s="4">
        <v>0.18</v>
      </c>
      <c r="D4058" s="4">
        <v>0.12</v>
      </c>
      <c r="E4058" s="4">
        <v>-2.229123585431422E-2</v>
      </c>
      <c r="F4058" s="3">
        <v>4056</v>
      </c>
      <c r="G4058" s="3">
        <v>3</v>
      </c>
      <c r="H4058" s="5">
        <v>6875625801.3900003</v>
      </c>
      <c r="I4058" s="5">
        <v>7008325801.3900003</v>
      </c>
      <c r="J4058" s="5">
        <v>223800000</v>
      </c>
      <c r="K4058" s="5">
        <v>91100000</v>
      </c>
      <c r="L4058" s="5">
        <v>1861500000</v>
      </c>
      <c r="M4058" s="5">
        <v>349300000</v>
      </c>
      <c r="N4058" s="5">
        <v>216300000</v>
      </c>
    </row>
    <row r="4059" spans="1:14" x14ac:dyDescent="0.25">
      <c r="A4059" s="3" t="s">
        <v>4070</v>
      </c>
      <c r="B4059" s="4">
        <v>19.98</v>
      </c>
      <c r="C4059" s="4">
        <v>0.16</v>
      </c>
      <c r="D4059" s="4">
        <v>7.0000000000000007E-2</v>
      </c>
      <c r="E4059" s="4">
        <v>-2.2309154555654052E-2</v>
      </c>
      <c r="F4059" s="3">
        <v>4057</v>
      </c>
      <c r="G4059" s="3">
        <v>3</v>
      </c>
      <c r="H4059" s="5">
        <v>4781478372.9899998</v>
      </c>
      <c r="I4059" s="5">
        <v>5324707372.9899998</v>
      </c>
      <c r="J4059" s="5">
        <v>649634000</v>
      </c>
      <c r="K4059" s="5">
        <v>106405000</v>
      </c>
      <c r="L4059" s="5">
        <v>1713166000</v>
      </c>
      <c r="M4059" s="5">
        <v>266459000</v>
      </c>
      <c r="N4059" s="5">
        <v>149637000</v>
      </c>
    </row>
    <row r="4060" spans="1:14" x14ac:dyDescent="0.25">
      <c r="A4060" s="3" t="s">
        <v>4071</v>
      </c>
      <c r="B4060" s="4">
        <v>18.989999999999998</v>
      </c>
      <c r="C4060" s="4">
        <v>-0.05</v>
      </c>
      <c r="D4060" s="4">
        <v>-0.03</v>
      </c>
      <c r="E4060" s="4">
        <v>-2.2322479204722051E-2</v>
      </c>
      <c r="F4060" s="3">
        <v>4058</v>
      </c>
      <c r="G4060" s="3">
        <v>3</v>
      </c>
      <c r="H4060" s="5">
        <v>41619546.435000002</v>
      </c>
      <c r="I4060" s="5">
        <v>-565959453.56500006</v>
      </c>
      <c r="J4060" s="5">
        <v>0</v>
      </c>
      <c r="K4060" s="5">
        <v>607579000</v>
      </c>
      <c r="L4060" s="5">
        <v>703695000</v>
      </c>
      <c r="M4060" s="5">
        <v>-29804000</v>
      </c>
      <c r="N4060" s="5">
        <v>-53554000</v>
      </c>
    </row>
    <row r="4061" spans="1:14" x14ac:dyDescent="0.25">
      <c r="A4061" s="3" t="s">
        <v>4072</v>
      </c>
      <c r="B4061" s="4">
        <v>8.93</v>
      </c>
      <c r="C4061" s="4">
        <v>-2.2000000000000002</v>
      </c>
      <c r="D4061" s="4">
        <v>-0.21</v>
      </c>
      <c r="E4061" s="4">
        <v>-2.2342986259965711E-2</v>
      </c>
      <c r="F4061" s="3">
        <v>4059</v>
      </c>
      <c r="G4061" s="3">
        <v>3</v>
      </c>
      <c r="H4061" s="5">
        <v>1985953881.0999999</v>
      </c>
      <c r="I4061" s="5">
        <v>3318953881.0999999</v>
      </c>
      <c r="J4061" s="5">
        <v>1401000000</v>
      </c>
      <c r="K4061" s="5">
        <v>68000000</v>
      </c>
      <c r="L4061" s="5">
        <v>1406400000</v>
      </c>
      <c r="M4061" s="5">
        <v>371500000</v>
      </c>
      <c r="N4061" s="5">
        <v>-430300000</v>
      </c>
    </row>
    <row r="4062" spans="1:14" x14ac:dyDescent="0.25">
      <c r="A4062" s="3" t="s">
        <v>4073</v>
      </c>
      <c r="B4062" s="4">
        <v>12.65</v>
      </c>
      <c r="C4062" s="4">
        <v>-1.45</v>
      </c>
      <c r="D4062" s="4">
        <v>0.45</v>
      </c>
      <c r="E4062" s="4">
        <v>-2.2351034499078781E-2</v>
      </c>
      <c r="F4062" s="3">
        <v>4060</v>
      </c>
      <c r="G4062" s="3">
        <v>3</v>
      </c>
      <c r="H4062" s="5">
        <v>451236533.39999998</v>
      </c>
      <c r="I4062" s="5">
        <v>473907533.39999998</v>
      </c>
      <c r="J4062" s="5">
        <v>50473000</v>
      </c>
      <c r="K4062" s="5">
        <v>27802000</v>
      </c>
      <c r="L4062" s="5">
        <v>148182000</v>
      </c>
      <c r="M4062" s="5">
        <v>37454000</v>
      </c>
      <c r="N4062" s="5">
        <v>24026000</v>
      </c>
    </row>
    <row r="4063" spans="1:14" x14ac:dyDescent="0.25">
      <c r="A4063" s="3" t="s">
        <v>4074</v>
      </c>
      <c r="B4063" s="4">
        <v>20.170000000000002</v>
      </c>
      <c r="C4063" s="4">
        <v>0.18</v>
      </c>
      <c r="D4063" s="4">
        <v>0.1</v>
      </c>
      <c r="E4063" s="4">
        <v>-2.2363175170137091E-2</v>
      </c>
      <c r="F4063" s="3">
        <v>4061</v>
      </c>
      <c r="G4063" s="3">
        <v>3</v>
      </c>
      <c r="H4063" s="5">
        <v>5116312154.2200003</v>
      </c>
      <c r="I4063" s="5">
        <v>7160432154.2200003</v>
      </c>
      <c r="J4063" s="5">
        <v>2122371000</v>
      </c>
      <c r="K4063" s="5">
        <v>78251000</v>
      </c>
      <c r="L4063" s="5">
        <v>541026000</v>
      </c>
      <c r="M4063" s="5">
        <v>355059000</v>
      </c>
      <c r="N4063" s="5">
        <v>508080000</v>
      </c>
    </row>
    <row r="4064" spans="1:14" x14ac:dyDescent="0.25">
      <c r="A4064" s="3" t="s">
        <v>4075</v>
      </c>
      <c r="B4064" s="4">
        <v>19.7</v>
      </c>
      <c r="C4064" s="4">
        <v>0.08</v>
      </c>
      <c r="D4064" s="4">
        <v>0.03</v>
      </c>
      <c r="E4064" s="4">
        <v>-2.2374721758561571E-2</v>
      </c>
      <c r="F4064" s="3">
        <v>4062</v>
      </c>
      <c r="G4064" s="3">
        <v>3</v>
      </c>
      <c r="H4064" s="5">
        <v>15130657224.08</v>
      </c>
      <c r="I4064" s="5">
        <v>17396657224.080002</v>
      </c>
      <c r="J4064" s="5">
        <v>2765000000</v>
      </c>
      <c r="K4064" s="5">
        <v>499000000</v>
      </c>
      <c r="L4064" s="5">
        <v>7018000000</v>
      </c>
      <c r="M4064" s="5">
        <v>883000000</v>
      </c>
      <c r="N4064" s="5">
        <v>250000000</v>
      </c>
    </row>
    <row r="4065" spans="1:14" x14ac:dyDescent="0.25">
      <c r="A4065" s="3" t="s">
        <v>4076</v>
      </c>
      <c r="B4065" s="4">
        <v>0.22</v>
      </c>
      <c r="C4065" s="4">
        <v>-4.01</v>
      </c>
      <c r="D4065" s="4">
        <v>-1.21</v>
      </c>
      <c r="E4065" s="4">
        <v>-2.2374833625178739E-2</v>
      </c>
      <c r="F4065" s="3">
        <v>4063</v>
      </c>
      <c r="G4065" s="3">
        <v>3</v>
      </c>
      <c r="H4065" s="5">
        <v>221.42330000000001</v>
      </c>
      <c r="I4065" s="5">
        <v>-4433048.5767000001</v>
      </c>
      <c r="J4065" s="5">
        <v>7777590</v>
      </c>
      <c r="K4065" s="5">
        <v>12210860</v>
      </c>
      <c r="L4065" s="5">
        <v>6366220</v>
      </c>
      <c r="M4065" s="5">
        <v>-20242460</v>
      </c>
      <c r="N4065" s="5">
        <v>-21594480</v>
      </c>
    </row>
    <row r="4066" spans="1:14" x14ac:dyDescent="0.25">
      <c r="A4066" s="3" t="s">
        <v>4077</v>
      </c>
      <c r="B4066" s="4">
        <v>-1.3</v>
      </c>
      <c r="C4066" s="4">
        <v>-4.38</v>
      </c>
      <c r="D4066" s="4">
        <v>-0.59</v>
      </c>
      <c r="E4066" s="4">
        <v>-2.2383538170952549E-2</v>
      </c>
      <c r="F4066" s="3">
        <v>4064</v>
      </c>
      <c r="G4066" s="3">
        <v>3</v>
      </c>
      <c r="H4066" s="5">
        <v>6716.2557539999998</v>
      </c>
      <c r="I4066" s="5">
        <v>385186.25575399998</v>
      </c>
      <c r="J4066" s="5">
        <v>378500</v>
      </c>
      <c r="K4066" s="5">
        <v>30</v>
      </c>
      <c r="L4066" s="5">
        <v>11040</v>
      </c>
      <c r="M4066" s="5">
        <v>-295260</v>
      </c>
      <c r="N4066" s="5">
        <v>-740910</v>
      </c>
    </row>
    <row r="4067" spans="1:14" x14ac:dyDescent="0.25">
      <c r="A4067" s="3" t="s">
        <v>4078</v>
      </c>
      <c r="B4067" s="4">
        <v>18.66</v>
      </c>
      <c r="C4067" s="4">
        <v>-0.15</v>
      </c>
      <c r="D4067" s="4">
        <v>7.0000000000000007E-2</v>
      </c>
      <c r="E4067" s="4">
        <v>-2.2387881221088021E-2</v>
      </c>
      <c r="F4067" s="3">
        <v>4065</v>
      </c>
      <c r="G4067" s="3">
        <v>3</v>
      </c>
      <c r="H4067" s="5">
        <v>20905085670</v>
      </c>
      <c r="I4067" s="5">
        <v>34310119670</v>
      </c>
      <c r="J4067" s="5">
        <v>13594875000</v>
      </c>
      <c r="K4067" s="5">
        <v>189841000</v>
      </c>
      <c r="L4067" s="5">
        <v>2679634000</v>
      </c>
      <c r="M4067" s="5">
        <v>1839151000</v>
      </c>
      <c r="N4067" s="5">
        <v>749536000</v>
      </c>
    </row>
    <row r="4068" spans="1:14" x14ac:dyDescent="0.25">
      <c r="A4068" s="3" t="s">
        <v>4079</v>
      </c>
      <c r="B4068" s="4">
        <v>-3.24</v>
      </c>
      <c r="C4068" s="4">
        <v>-4.7</v>
      </c>
      <c r="D4068" s="4">
        <v>-2.0499999999999998</v>
      </c>
      <c r="E4068" s="4">
        <v>-2.238906557049803E-2</v>
      </c>
      <c r="F4068" s="3">
        <v>4066</v>
      </c>
      <c r="G4068" s="3">
        <v>3</v>
      </c>
      <c r="H4068" s="5">
        <v>47200443.848200001</v>
      </c>
      <c r="I4068" s="5">
        <v>41681443.848200001</v>
      </c>
      <c r="J4068" s="5">
        <v>0</v>
      </c>
      <c r="K4068" s="5">
        <v>5519000</v>
      </c>
      <c r="L4068" s="5">
        <v>8950000</v>
      </c>
      <c r="M4068" s="5">
        <v>-12880000</v>
      </c>
      <c r="N4068" s="5">
        <v>-18650000</v>
      </c>
    </row>
    <row r="4069" spans="1:14" x14ac:dyDescent="0.25">
      <c r="A4069" s="3" t="s">
        <v>4080</v>
      </c>
      <c r="B4069" s="4">
        <v>19.73</v>
      </c>
      <c r="C4069" s="4">
        <v>0.08</v>
      </c>
      <c r="D4069" s="4">
        <v>0.05</v>
      </c>
      <c r="E4069" s="4">
        <v>-2.238943132249779E-2</v>
      </c>
      <c r="F4069" s="3">
        <v>4067</v>
      </c>
      <c r="G4069" s="3">
        <v>3</v>
      </c>
      <c r="H4069" s="5">
        <v>47987995416.900002</v>
      </c>
      <c r="I4069" s="5">
        <v>55422795416.900002</v>
      </c>
      <c r="J4069" s="5">
        <v>7623000000</v>
      </c>
      <c r="K4069" s="5">
        <v>188200000</v>
      </c>
      <c r="L4069" s="5">
        <v>7039200000</v>
      </c>
      <c r="M4069" s="5">
        <v>2809600000</v>
      </c>
      <c r="N4069" s="5">
        <v>1549300000</v>
      </c>
    </row>
    <row r="4070" spans="1:14" x14ac:dyDescent="0.25">
      <c r="A4070" s="3" t="s">
        <v>4081</v>
      </c>
      <c r="B4070" s="4">
        <v>19.78</v>
      </c>
      <c r="C4070" s="4">
        <v>0.09</v>
      </c>
      <c r="D4070" s="4">
        <v>0.05</v>
      </c>
      <c r="E4070" s="4">
        <v>-2.239148374396872E-2</v>
      </c>
      <c r="F4070" s="3">
        <v>4068</v>
      </c>
      <c r="G4070" s="3">
        <v>3</v>
      </c>
      <c r="H4070" s="5">
        <v>5164773503.2799997</v>
      </c>
      <c r="I4070" s="5">
        <v>5517609503.2799997</v>
      </c>
      <c r="J4070" s="5">
        <v>729551000</v>
      </c>
      <c r="K4070" s="5">
        <v>376715000</v>
      </c>
      <c r="L4070" s="5">
        <v>1356514000</v>
      </c>
      <c r="M4070" s="5">
        <v>278925000</v>
      </c>
      <c r="N4070" s="5">
        <v>120357000</v>
      </c>
    </row>
    <row r="4071" spans="1:14" x14ac:dyDescent="0.25">
      <c r="A4071" s="3" t="s">
        <v>4082</v>
      </c>
      <c r="B4071" s="4">
        <v>20.18</v>
      </c>
      <c r="C4071" s="4">
        <v>0.17</v>
      </c>
      <c r="D4071" s="4">
        <v>0.09</v>
      </c>
      <c r="E4071" s="4">
        <v>-2.2400187009426129E-2</v>
      </c>
      <c r="F4071" s="3">
        <v>4069</v>
      </c>
      <c r="G4071" s="3">
        <v>3</v>
      </c>
      <c r="H4071" s="5">
        <v>1808181935.74</v>
      </c>
      <c r="I4071" s="5">
        <v>1984201935.74</v>
      </c>
      <c r="J4071" s="5">
        <v>189470000</v>
      </c>
      <c r="K4071" s="5">
        <v>13450000</v>
      </c>
      <c r="L4071" s="5">
        <v>504421000</v>
      </c>
      <c r="M4071" s="5">
        <v>98309000</v>
      </c>
      <c r="N4071" s="5">
        <v>58981000</v>
      </c>
    </row>
    <row r="4072" spans="1:14" x14ac:dyDescent="0.25">
      <c r="A4072" s="3" t="s">
        <v>4083</v>
      </c>
      <c r="B4072" s="4">
        <v>18.829999999999998</v>
      </c>
      <c r="C4072" s="4">
        <v>-0.11</v>
      </c>
      <c r="D4072" s="4">
        <v>-0.05</v>
      </c>
      <c r="E4072" s="4">
        <v>-2.2400671608810579E-2</v>
      </c>
      <c r="F4072" s="3">
        <v>4070</v>
      </c>
      <c r="G4072" s="3">
        <v>3</v>
      </c>
      <c r="H4072" s="5">
        <v>3267396.06</v>
      </c>
      <c r="I4072" s="5">
        <v>9578586.0600000005</v>
      </c>
      <c r="J4072" s="5">
        <v>7887820</v>
      </c>
      <c r="K4072" s="5">
        <v>1576630</v>
      </c>
      <c r="L4072" s="5">
        <v>36672510</v>
      </c>
      <c r="M4072" s="5">
        <v>508760</v>
      </c>
      <c r="N4072" s="5">
        <v>-1819390</v>
      </c>
    </row>
    <row r="4073" spans="1:14" x14ac:dyDescent="0.25">
      <c r="A4073" s="3" t="s">
        <v>4084</v>
      </c>
      <c r="B4073" s="4">
        <v>20.39</v>
      </c>
      <c r="C4073" s="4">
        <v>0.21</v>
      </c>
      <c r="D4073" s="4">
        <v>0.11</v>
      </c>
      <c r="E4073" s="4">
        <v>-2.2410727847851909E-2</v>
      </c>
      <c r="F4073" s="3">
        <v>4071</v>
      </c>
      <c r="G4073" s="3">
        <v>3</v>
      </c>
      <c r="H4073" s="5">
        <v>36824144587.230003</v>
      </c>
      <c r="I4073" s="5">
        <v>41788144587.230003</v>
      </c>
      <c r="J4073" s="5">
        <v>5634000000</v>
      </c>
      <c r="K4073" s="5">
        <v>670000000</v>
      </c>
      <c r="L4073" s="5">
        <v>6536000000</v>
      </c>
      <c r="M4073" s="5">
        <v>2049000000</v>
      </c>
      <c r="N4073" s="5">
        <v>1995000000</v>
      </c>
    </row>
    <row r="4074" spans="1:14" x14ac:dyDescent="0.25">
      <c r="A4074" s="3" t="s">
        <v>4085</v>
      </c>
      <c r="B4074" s="4">
        <v>7.0000000000000007E-2</v>
      </c>
      <c r="C4074" s="4">
        <v>-4.04</v>
      </c>
      <c r="D4074" s="4">
        <v>-1.46</v>
      </c>
      <c r="E4074" s="4">
        <v>-2.2416902025203599E-2</v>
      </c>
      <c r="F4074" s="3">
        <v>4072</v>
      </c>
      <c r="G4074" s="3">
        <v>3</v>
      </c>
      <c r="H4074" s="5">
        <v>378549.72</v>
      </c>
      <c r="I4074" s="5">
        <v>-837090.28</v>
      </c>
      <c r="J4074" s="5">
        <v>0</v>
      </c>
      <c r="K4074" s="5">
        <v>1215640</v>
      </c>
      <c r="L4074" s="5">
        <v>0</v>
      </c>
      <c r="M4074" s="5">
        <v>-12333400</v>
      </c>
      <c r="N4074" s="5">
        <v>-12154030</v>
      </c>
    </row>
    <row r="4075" spans="1:14" x14ac:dyDescent="0.25">
      <c r="A4075" s="3" t="s">
        <v>4086</v>
      </c>
      <c r="B4075" s="4">
        <v>19.34</v>
      </c>
      <c r="C4075" s="4">
        <v>-0.01</v>
      </c>
      <c r="D4075" s="4">
        <v>0</v>
      </c>
      <c r="E4075" s="4">
        <v>-2.2417739896329409E-2</v>
      </c>
      <c r="F4075" s="3">
        <v>4073</v>
      </c>
      <c r="G4075" s="3">
        <v>3</v>
      </c>
      <c r="H4075" s="5">
        <v>1133842270.4000001</v>
      </c>
      <c r="I4075" s="5">
        <v>1217180270.4000001</v>
      </c>
      <c r="J4075" s="5">
        <v>114047000</v>
      </c>
      <c r="K4075" s="5">
        <v>30709000</v>
      </c>
      <c r="L4075" s="5">
        <v>362114000</v>
      </c>
      <c r="M4075" s="5">
        <v>62951000</v>
      </c>
      <c r="N4075" s="5">
        <v>-3759000</v>
      </c>
    </row>
    <row r="4076" spans="1:14" x14ac:dyDescent="0.25">
      <c r="A4076" s="3" t="s">
        <v>4087</v>
      </c>
      <c r="B4076" s="4">
        <v>19.2</v>
      </c>
      <c r="C4076" s="4">
        <v>-0.04</v>
      </c>
      <c r="D4076" s="4">
        <v>-0.02</v>
      </c>
      <c r="E4076" s="4">
        <v>-2.2421629890768721E-2</v>
      </c>
      <c r="F4076" s="3">
        <v>4074</v>
      </c>
      <c r="G4076" s="3">
        <v>3</v>
      </c>
      <c r="H4076" s="5">
        <v>447192111</v>
      </c>
      <c r="I4076" s="5">
        <v>777492111</v>
      </c>
      <c r="J4076" s="5">
        <v>406400000</v>
      </c>
      <c r="K4076" s="5">
        <v>76100000</v>
      </c>
      <c r="L4076" s="5">
        <v>368900000</v>
      </c>
      <c r="M4076" s="5">
        <v>40500000</v>
      </c>
      <c r="N4076" s="5">
        <v>-21500000</v>
      </c>
    </row>
    <row r="4077" spans="1:14" x14ac:dyDescent="0.25">
      <c r="A4077" s="3" t="s">
        <v>4088</v>
      </c>
      <c r="B4077" s="4">
        <v>0.13</v>
      </c>
      <c r="C4077" s="4">
        <v>-3.94</v>
      </c>
      <c r="D4077" s="4">
        <v>-2.8</v>
      </c>
      <c r="E4077" s="4">
        <v>-2.2423590750627269E-2</v>
      </c>
      <c r="F4077" s="3">
        <v>4075</v>
      </c>
      <c r="G4077" s="3">
        <v>3</v>
      </c>
      <c r="H4077" s="5">
        <v>28491.624299999999</v>
      </c>
      <c r="I4077" s="5">
        <v>-2619508.3757000002</v>
      </c>
      <c r="J4077" s="5">
        <v>19000</v>
      </c>
      <c r="K4077" s="5">
        <v>2667000</v>
      </c>
      <c r="L4077" s="5">
        <v>18000</v>
      </c>
      <c r="M4077" s="5">
        <v>-19676000</v>
      </c>
      <c r="N4077" s="5">
        <v>-23748000</v>
      </c>
    </row>
    <row r="4078" spans="1:14" x14ac:dyDescent="0.25">
      <c r="A4078" s="3" t="s">
        <v>4089</v>
      </c>
      <c r="B4078" s="4">
        <v>19.88</v>
      </c>
      <c r="C4078" s="4">
        <v>0.1</v>
      </c>
      <c r="D4078" s="4">
        <v>0.04</v>
      </c>
      <c r="E4078" s="4">
        <v>-2.242641122050253E-2</v>
      </c>
      <c r="F4078" s="3">
        <v>4076</v>
      </c>
      <c r="G4078" s="3">
        <v>3</v>
      </c>
      <c r="H4078" s="5">
        <v>423771650.06</v>
      </c>
      <c r="I4078" s="5">
        <v>1246018650.0599999</v>
      </c>
      <c r="J4078" s="5">
        <v>872108000</v>
      </c>
      <c r="K4078" s="5">
        <v>49861000</v>
      </c>
      <c r="L4078" s="5">
        <v>143818000</v>
      </c>
      <c r="M4078" s="5">
        <v>62672000</v>
      </c>
      <c r="N4078" s="5">
        <v>48851000</v>
      </c>
    </row>
    <row r="4079" spans="1:14" x14ac:dyDescent="0.25">
      <c r="A4079" s="3" t="s">
        <v>4090</v>
      </c>
      <c r="B4079" s="4">
        <v>19.84</v>
      </c>
      <c r="C4079" s="4">
        <v>0.09</v>
      </c>
      <c r="D4079" s="4">
        <v>-0.01</v>
      </c>
      <c r="E4079" s="4">
        <v>-2.2440193137616221E-2</v>
      </c>
      <c r="F4079" s="3">
        <v>4077</v>
      </c>
      <c r="G4079" s="3">
        <v>3</v>
      </c>
      <c r="H4079" s="5">
        <v>1924073745.3299999</v>
      </c>
      <c r="I4079" s="5">
        <v>3294543745.3299999</v>
      </c>
      <c r="J4079" s="5">
        <v>1454758000</v>
      </c>
      <c r="K4079" s="5">
        <v>84288000</v>
      </c>
      <c r="L4079" s="5">
        <v>2024506000</v>
      </c>
      <c r="M4079" s="5">
        <v>166097000</v>
      </c>
      <c r="N4079" s="5">
        <v>-10929000</v>
      </c>
    </row>
    <row r="4080" spans="1:14" x14ac:dyDescent="0.25">
      <c r="A4080" s="3" t="s">
        <v>4091</v>
      </c>
      <c r="B4080" s="4">
        <v>18.829999999999998</v>
      </c>
      <c r="C4080" s="4">
        <v>-0.15</v>
      </c>
      <c r="D4080" s="4">
        <v>0.34</v>
      </c>
      <c r="E4080" s="4">
        <v>-2.2441014000345681E-2</v>
      </c>
      <c r="F4080" s="3">
        <v>4078</v>
      </c>
      <c r="G4080" s="3">
        <v>3</v>
      </c>
      <c r="H4080" s="5">
        <v>13528339549.379999</v>
      </c>
      <c r="I4080" s="5">
        <v>18236651549.380001</v>
      </c>
      <c r="J4080" s="5">
        <v>4975338000</v>
      </c>
      <c r="K4080" s="5">
        <v>267026000</v>
      </c>
      <c r="L4080" s="5">
        <v>4706416000</v>
      </c>
      <c r="M4080" s="5">
        <v>968384000</v>
      </c>
      <c r="N4080" s="5">
        <v>584170000</v>
      </c>
    </row>
    <row r="4081" spans="1:14" x14ac:dyDescent="0.25">
      <c r="A4081" s="3" t="s">
        <v>4092</v>
      </c>
      <c r="B4081" s="4">
        <v>20.16</v>
      </c>
      <c r="C4081" s="4">
        <v>0.15</v>
      </c>
      <c r="D4081" s="4">
        <v>0.1</v>
      </c>
      <c r="E4081" s="4">
        <v>-2.2443666785483381E-2</v>
      </c>
      <c r="F4081" s="3">
        <v>4079</v>
      </c>
      <c r="G4081" s="3">
        <v>3</v>
      </c>
      <c r="H4081" s="5">
        <v>9379992335.4200001</v>
      </c>
      <c r="I4081" s="5">
        <v>9180544335.4200001</v>
      </c>
      <c r="J4081" s="5">
        <v>0</v>
      </c>
      <c r="K4081" s="5">
        <v>199448000</v>
      </c>
      <c r="L4081" s="5">
        <v>2585919000</v>
      </c>
      <c r="M4081" s="5">
        <v>455466000</v>
      </c>
      <c r="N4081" s="5">
        <v>293825000</v>
      </c>
    </row>
    <row r="4082" spans="1:14" x14ac:dyDescent="0.25">
      <c r="A4082" s="3" t="s">
        <v>4093</v>
      </c>
      <c r="B4082" s="4">
        <v>19.670000000000002</v>
      </c>
      <c r="C4082" s="4">
        <v>0.05</v>
      </c>
      <c r="D4082" s="4">
        <v>0.02</v>
      </c>
      <c r="E4082" s="4">
        <v>-2.2444763989091211E-2</v>
      </c>
      <c r="F4082" s="3">
        <v>4080</v>
      </c>
      <c r="G4082" s="3">
        <v>3</v>
      </c>
      <c r="H4082" s="5">
        <v>364417278.06</v>
      </c>
      <c r="I4082" s="5">
        <v>408565278.06</v>
      </c>
      <c r="J4082" s="5">
        <v>53000000</v>
      </c>
      <c r="K4082" s="5">
        <v>8852000</v>
      </c>
      <c r="L4082" s="5">
        <v>389830000</v>
      </c>
      <c r="M4082" s="5">
        <v>20768000</v>
      </c>
      <c r="N4082" s="5">
        <v>7498000</v>
      </c>
    </row>
    <row r="4083" spans="1:14" x14ac:dyDescent="0.25">
      <c r="A4083" s="3" t="s">
        <v>4094</v>
      </c>
      <c r="B4083" s="4">
        <v>20.62</v>
      </c>
      <c r="C4083" s="4">
        <v>0.24</v>
      </c>
      <c r="D4083" s="4">
        <v>0.09</v>
      </c>
      <c r="E4083" s="4">
        <v>-2.247025681099633E-2</v>
      </c>
      <c r="F4083" s="3">
        <v>4081</v>
      </c>
      <c r="G4083" s="3">
        <v>3</v>
      </c>
      <c r="H4083" s="5">
        <v>91811086655.929993</v>
      </c>
      <c r="I4083" s="5">
        <v>92313086655.929993</v>
      </c>
      <c r="J4083" s="5">
        <v>7966000000</v>
      </c>
      <c r="K4083" s="5">
        <v>7464000000</v>
      </c>
      <c r="L4083" s="5">
        <v>46309000000</v>
      </c>
      <c r="M4083" s="5">
        <v>4477000000</v>
      </c>
      <c r="N4083" s="5">
        <v>3219000000</v>
      </c>
    </row>
    <row r="4084" spans="1:14" x14ac:dyDescent="0.25">
      <c r="A4084" s="3" t="s">
        <v>4095</v>
      </c>
      <c r="B4084" s="4">
        <v>20.329999999999998</v>
      </c>
      <c r="C4084" s="4">
        <v>0.17</v>
      </c>
      <c r="D4084" s="4">
        <v>0.12</v>
      </c>
      <c r="E4084" s="4">
        <v>-2.248723801514977E-2</v>
      </c>
      <c r="F4084" s="3">
        <v>4082</v>
      </c>
      <c r="G4084" s="3">
        <v>3</v>
      </c>
      <c r="H4084" s="5">
        <v>9416007619.2000008</v>
      </c>
      <c r="I4084" s="5">
        <v>9230407619.2000008</v>
      </c>
      <c r="J4084" s="5">
        <v>201300000</v>
      </c>
      <c r="K4084" s="5">
        <v>386900000</v>
      </c>
      <c r="L4084" s="5">
        <v>2252200000</v>
      </c>
      <c r="M4084" s="5">
        <v>454000000</v>
      </c>
      <c r="N4084" s="5">
        <v>291200000</v>
      </c>
    </row>
    <row r="4085" spans="1:14" x14ac:dyDescent="0.25">
      <c r="A4085" s="3" t="s">
        <v>4096</v>
      </c>
      <c r="B4085" s="4">
        <v>-2.9</v>
      </c>
      <c r="C4085" s="4">
        <v>-4.7699999999999996</v>
      </c>
      <c r="D4085" s="4">
        <v>-0.46</v>
      </c>
      <c r="E4085" s="4">
        <v>-2.2495038587476441E-2</v>
      </c>
      <c r="F4085" s="3">
        <v>4083</v>
      </c>
      <c r="G4085" s="3">
        <v>3</v>
      </c>
      <c r="H4085" s="5">
        <v>223143384.08000001</v>
      </c>
      <c r="I4085" s="5">
        <v>296504384.07999998</v>
      </c>
      <c r="J4085" s="5">
        <v>197375000</v>
      </c>
      <c r="K4085" s="5">
        <v>124014000</v>
      </c>
      <c r="L4085" s="5">
        <v>113689000</v>
      </c>
      <c r="M4085" s="5">
        <v>-102092000</v>
      </c>
      <c r="N4085" s="5">
        <v>-127976000</v>
      </c>
    </row>
    <row r="4086" spans="1:14" x14ac:dyDescent="0.25">
      <c r="A4086" s="3" t="s">
        <v>4097</v>
      </c>
      <c r="B4086" s="4">
        <v>20.09</v>
      </c>
      <c r="C4086" s="4">
        <v>0.12</v>
      </c>
      <c r="D4086" s="4">
        <v>0.04</v>
      </c>
      <c r="E4086" s="4">
        <v>-2.249859732611225E-2</v>
      </c>
      <c r="F4086" s="3">
        <v>4084</v>
      </c>
      <c r="G4086" s="3">
        <v>3</v>
      </c>
      <c r="H4086" s="5">
        <v>44659781059.790001</v>
      </c>
      <c r="I4086" s="5">
        <v>47897781059.790001</v>
      </c>
      <c r="J4086" s="5">
        <v>4352000000</v>
      </c>
      <c r="K4086" s="5">
        <v>1114000000</v>
      </c>
      <c r="L4086" s="5">
        <v>35767000000</v>
      </c>
      <c r="M4086" s="5">
        <v>2384000000</v>
      </c>
      <c r="N4086" s="5">
        <v>968000000</v>
      </c>
    </row>
    <row r="4087" spans="1:14" x14ac:dyDescent="0.25">
      <c r="A4087" s="3" t="s">
        <v>4098</v>
      </c>
      <c r="B4087" s="4">
        <v>-2.2599999999999998</v>
      </c>
      <c r="C4087" s="4">
        <v>-4.59</v>
      </c>
      <c r="D4087" s="4">
        <v>-1.1599999999999999</v>
      </c>
      <c r="E4087" s="4">
        <v>-2.2506094686254571E-2</v>
      </c>
      <c r="F4087" s="3">
        <v>4085</v>
      </c>
      <c r="G4087" s="3">
        <v>3</v>
      </c>
      <c r="H4087" s="5">
        <v>20746092.14322</v>
      </c>
      <c r="I4087" s="5">
        <v>19504092.14322</v>
      </c>
      <c r="J4087" s="5">
        <v>291000</v>
      </c>
      <c r="K4087" s="5">
        <v>1533000</v>
      </c>
      <c r="L4087" s="5">
        <v>19155000</v>
      </c>
      <c r="M4087" s="5">
        <v>-8642000</v>
      </c>
      <c r="N4087" s="5">
        <v>-9895000</v>
      </c>
    </row>
    <row r="4088" spans="1:14" x14ac:dyDescent="0.25">
      <c r="A4088" s="3" t="s">
        <v>4099</v>
      </c>
      <c r="B4088" s="4">
        <v>21.29</v>
      </c>
      <c r="C4088" s="4">
        <v>0.37</v>
      </c>
      <c r="D4088" s="4">
        <v>0.1</v>
      </c>
      <c r="E4088" s="4">
        <v>-2.2507387674935059E-2</v>
      </c>
      <c r="F4088" s="3">
        <v>4086</v>
      </c>
      <c r="G4088" s="3">
        <v>3</v>
      </c>
      <c r="H4088" s="5">
        <v>13176928482</v>
      </c>
      <c r="I4088" s="5">
        <v>15947928482</v>
      </c>
      <c r="J4088" s="5">
        <v>3782000000</v>
      </c>
      <c r="K4088" s="5">
        <v>1011000000</v>
      </c>
      <c r="L4088" s="5">
        <v>6648000000</v>
      </c>
      <c r="M4088" s="5">
        <v>749000000</v>
      </c>
      <c r="N4088" s="5">
        <v>1296000000</v>
      </c>
    </row>
    <row r="4089" spans="1:14" x14ac:dyDescent="0.25">
      <c r="A4089" s="3" t="s">
        <v>4100</v>
      </c>
      <c r="B4089" s="4">
        <v>20.41</v>
      </c>
      <c r="C4089" s="4">
        <v>0.18</v>
      </c>
      <c r="D4089" s="4">
        <v>0.1</v>
      </c>
      <c r="E4089" s="4">
        <v>-2.251171610686694E-2</v>
      </c>
      <c r="F4089" s="3">
        <v>4087</v>
      </c>
      <c r="G4089" s="3">
        <v>3</v>
      </c>
      <c r="H4089" s="5">
        <v>26307630819.599998</v>
      </c>
      <c r="I4089" s="5">
        <v>26833330819.599998</v>
      </c>
      <c r="J4089" s="5">
        <v>1441000000</v>
      </c>
      <c r="K4089" s="5">
        <v>915300000</v>
      </c>
      <c r="L4089" s="5">
        <v>4094500000</v>
      </c>
      <c r="M4089" s="5">
        <v>1314500000</v>
      </c>
      <c r="N4089" s="5">
        <v>764900000</v>
      </c>
    </row>
    <row r="4090" spans="1:14" x14ac:dyDescent="0.25">
      <c r="A4090" s="3" t="s">
        <v>4101</v>
      </c>
      <c r="B4090" s="4">
        <v>19.3</v>
      </c>
      <c r="C4090" s="4">
        <v>-0.06</v>
      </c>
      <c r="D4090" s="4">
        <v>-0.03</v>
      </c>
      <c r="E4090" s="4">
        <v>-2.2543238188345919E-2</v>
      </c>
      <c r="F4090" s="3">
        <v>4088</v>
      </c>
      <c r="G4090" s="3">
        <v>3</v>
      </c>
      <c r="H4090" s="5">
        <v>228774346.47999999</v>
      </c>
      <c r="I4090" s="5">
        <v>220066346.47999999</v>
      </c>
      <c r="J4090" s="5">
        <v>12717000</v>
      </c>
      <c r="K4090" s="5">
        <v>21425000</v>
      </c>
      <c r="L4090" s="5">
        <v>119792000</v>
      </c>
      <c r="M4090" s="5">
        <v>11405000</v>
      </c>
      <c r="N4090" s="5">
        <v>-11773000</v>
      </c>
    </row>
    <row r="4091" spans="1:14" x14ac:dyDescent="0.25">
      <c r="A4091" s="3" t="s">
        <v>4102</v>
      </c>
      <c r="B4091" s="4">
        <v>20.04</v>
      </c>
      <c r="C4091" s="4">
        <v>0.09</v>
      </c>
      <c r="D4091" s="4">
        <v>0.01</v>
      </c>
      <c r="E4091" s="4">
        <v>-2.256011919840276E-2</v>
      </c>
      <c r="F4091" s="3">
        <v>4089</v>
      </c>
      <c r="G4091" s="3">
        <v>3</v>
      </c>
      <c r="H4091" s="5">
        <v>1858762731.72</v>
      </c>
      <c r="I4091" s="5">
        <v>1624691261.72</v>
      </c>
      <c r="J4091" s="5">
        <v>159505400</v>
      </c>
      <c r="K4091" s="5">
        <v>393576870</v>
      </c>
      <c r="L4091" s="5">
        <v>391541430</v>
      </c>
      <c r="M4091" s="5">
        <v>81088630</v>
      </c>
      <c r="N4091" s="5">
        <v>60727920</v>
      </c>
    </row>
    <row r="4092" spans="1:14" x14ac:dyDescent="0.25">
      <c r="A4092" s="3" t="s">
        <v>4103</v>
      </c>
      <c r="B4092" s="4">
        <v>0.44</v>
      </c>
      <c r="C4092" s="4">
        <v>-3.96</v>
      </c>
      <c r="D4092" s="4">
        <v>-2.2799999999999998</v>
      </c>
      <c r="E4092" s="4">
        <v>-2.2572933959235281E-2</v>
      </c>
      <c r="F4092" s="3">
        <v>4090</v>
      </c>
      <c r="G4092" s="3">
        <v>3</v>
      </c>
      <c r="H4092" s="5">
        <v>69.571218999999999</v>
      </c>
      <c r="I4092" s="5">
        <v>-262120.428781</v>
      </c>
      <c r="J4092" s="5">
        <v>0</v>
      </c>
      <c r="K4092" s="5">
        <v>262190</v>
      </c>
      <c r="L4092" s="5">
        <v>0</v>
      </c>
      <c r="M4092" s="5">
        <v>-589770</v>
      </c>
      <c r="N4092" s="5">
        <v>-993450</v>
      </c>
    </row>
    <row r="4093" spans="1:14" x14ac:dyDescent="0.25">
      <c r="A4093" s="3" t="s">
        <v>4104</v>
      </c>
      <c r="B4093" s="4">
        <v>20.28</v>
      </c>
      <c r="C4093" s="4">
        <v>0.13</v>
      </c>
      <c r="D4093" s="4">
        <v>0.09</v>
      </c>
      <c r="E4093" s="4">
        <v>-2.257765349445473E-2</v>
      </c>
      <c r="F4093" s="3">
        <v>4091</v>
      </c>
      <c r="G4093" s="3">
        <v>4</v>
      </c>
      <c r="H4093" s="5">
        <v>1623347881.9200001</v>
      </c>
      <c r="I4093" s="5">
        <v>1461033881.9200001</v>
      </c>
      <c r="J4093" s="5">
        <v>0</v>
      </c>
      <c r="K4093" s="5">
        <v>162314000</v>
      </c>
      <c r="L4093" s="5">
        <v>1167221000</v>
      </c>
      <c r="M4093" s="5">
        <v>72055000</v>
      </c>
      <c r="N4093" s="5">
        <v>54336000</v>
      </c>
    </row>
    <row r="4094" spans="1:14" x14ac:dyDescent="0.25">
      <c r="A4094" s="3" t="s">
        <v>4105</v>
      </c>
      <c r="B4094" s="4">
        <v>20.92</v>
      </c>
      <c r="C4094" s="4">
        <v>0.26</v>
      </c>
      <c r="D4094" s="4">
        <v>0.12</v>
      </c>
      <c r="E4094" s="4">
        <v>-2.2592358688147209E-2</v>
      </c>
      <c r="F4094" s="3">
        <v>4092</v>
      </c>
      <c r="G4094" s="3">
        <v>4</v>
      </c>
      <c r="H4094" s="5">
        <v>97964093338.800003</v>
      </c>
      <c r="I4094" s="5">
        <v>106782093338.8</v>
      </c>
      <c r="J4094" s="5">
        <v>9285000000</v>
      </c>
      <c r="K4094" s="5">
        <v>467000000</v>
      </c>
      <c r="L4094" s="5">
        <v>19850000000</v>
      </c>
      <c r="M4094" s="5">
        <v>5104000000</v>
      </c>
      <c r="N4094" s="5">
        <v>3531000000</v>
      </c>
    </row>
    <row r="4095" spans="1:14" x14ac:dyDescent="0.25">
      <c r="A4095" s="3" t="s">
        <v>4106</v>
      </c>
      <c r="B4095" s="4">
        <v>21.12</v>
      </c>
      <c r="C4095" s="4">
        <v>0.3</v>
      </c>
      <c r="D4095" s="4">
        <v>0.15</v>
      </c>
      <c r="E4095" s="4">
        <v>-2.259478129429842E-2</v>
      </c>
      <c r="F4095" s="3">
        <v>4093</v>
      </c>
      <c r="G4095" s="3">
        <v>4</v>
      </c>
      <c r="H4095" s="5">
        <v>363187943.25</v>
      </c>
      <c r="I4095" s="5">
        <v>319972013.25</v>
      </c>
      <c r="J4095" s="5">
        <v>647790</v>
      </c>
      <c r="K4095" s="5">
        <v>43863720</v>
      </c>
      <c r="L4095" s="5">
        <v>16499120</v>
      </c>
      <c r="M4095" s="5">
        <v>15146770</v>
      </c>
      <c r="N4095" s="5">
        <v>107547580</v>
      </c>
    </row>
    <row r="4096" spans="1:14" x14ac:dyDescent="0.25">
      <c r="A4096" s="3" t="s">
        <v>4107</v>
      </c>
      <c r="B4096" s="4">
        <v>21.46</v>
      </c>
      <c r="C4096" s="4">
        <v>0.38</v>
      </c>
      <c r="D4096" s="4">
        <v>0.04</v>
      </c>
      <c r="E4096" s="4">
        <v>-2.2595284724235949E-2</v>
      </c>
      <c r="F4096" s="3">
        <v>4094</v>
      </c>
      <c r="G4096" s="3">
        <v>4</v>
      </c>
      <c r="H4096" s="5">
        <v>18816587475.25</v>
      </c>
      <c r="I4096" s="5">
        <v>44742587475.25</v>
      </c>
      <c r="J4096" s="5">
        <v>29534000000</v>
      </c>
      <c r="K4096" s="5">
        <v>3608000000</v>
      </c>
      <c r="L4096" s="5">
        <v>4972000000</v>
      </c>
      <c r="M4096" s="5">
        <v>2085000000</v>
      </c>
      <c r="N4096" s="5">
        <v>1687000000</v>
      </c>
    </row>
    <row r="4097" spans="1:14" x14ac:dyDescent="0.25">
      <c r="A4097" s="3" t="s">
        <v>4108</v>
      </c>
      <c r="B4097" s="4">
        <v>19.739999999999998</v>
      </c>
      <c r="C4097" s="4">
        <v>0.01</v>
      </c>
      <c r="D4097" s="4">
        <v>0.01</v>
      </c>
      <c r="E4097" s="4">
        <v>-2.2605591883606089E-2</v>
      </c>
      <c r="F4097" s="3">
        <v>4095</v>
      </c>
      <c r="G4097" s="3">
        <v>4</v>
      </c>
      <c r="H4097" s="5">
        <v>15464732044.450001</v>
      </c>
      <c r="I4097" s="5">
        <v>22768032044.450001</v>
      </c>
      <c r="J4097" s="5">
        <v>7367200000</v>
      </c>
      <c r="K4097" s="5">
        <v>63900000</v>
      </c>
      <c r="L4097" s="5">
        <v>3221100000</v>
      </c>
      <c r="M4097" s="5">
        <v>1153200000</v>
      </c>
      <c r="N4097" s="5">
        <v>101800000</v>
      </c>
    </row>
    <row r="4098" spans="1:14" x14ac:dyDescent="0.25">
      <c r="A4098" s="3" t="s">
        <v>4109</v>
      </c>
      <c r="B4098" s="4">
        <v>20.309999999999999</v>
      </c>
      <c r="C4098" s="4">
        <v>0.13</v>
      </c>
      <c r="D4098" s="4">
        <v>0.02</v>
      </c>
      <c r="E4098" s="4">
        <v>-2.2609724297588511E-2</v>
      </c>
      <c r="F4098" s="3">
        <v>4096</v>
      </c>
      <c r="G4098" s="3">
        <v>4</v>
      </c>
      <c r="H4098" s="5">
        <v>12179727560</v>
      </c>
      <c r="I4098" s="5">
        <v>40536705560</v>
      </c>
      <c r="J4098" s="5">
        <v>31005286000</v>
      </c>
      <c r="K4098" s="5">
        <v>2648308000</v>
      </c>
      <c r="L4098" s="5">
        <v>5951686000</v>
      </c>
      <c r="M4098" s="5">
        <v>1995776000</v>
      </c>
      <c r="N4098" s="5">
        <v>731379000</v>
      </c>
    </row>
    <row r="4099" spans="1:14" x14ac:dyDescent="0.25">
      <c r="A4099" s="3" t="s">
        <v>4110</v>
      </c>
      <c r="B4099" s="4">
        <v>29.09</v>
      </c>
      <c r="C4099" s="4">
        <v>1.99</v>
      </c>
      <c r="D4099" s="4">
        <v>0.27</v>
      </c>
      <c r="E4099" s="4">
        <v>-2.2621410330495681E-2</v>
      </c>
      <c r="F4099" s="3">
        <v>4097</v>
      </c>
      <c r="G4099" s="3">
        <v>4</v>
      </c>
      <c r="H4099" s="5">
        <v>496870082656.88</v>
      </c>
      <c r="I4099" s="5">
        <v>506654082656.88</v>
      </c>
      <c r="J4099" s="5">
        <v>18226000000</v>
      </c>
      <c r="K4099" s="5">
        <v>8442000000</v>
      </c>
      <c r="L4099" s="5">
        <v>28167000000</v>
      </c>
      <c r="M4099" s="5">
        <v>17414000000</v>
      </c>
      <c r="N4099" s="5">
        <v>12874000000</v>
      </c>
    </row>
    <row r="4100" spans="1:14" x14ac:dyDescent="0.25">
      <c r="A4100" s="3" t="s">
        <v>4111</v>
      </c>
      <c r="B4100" s="4">
        <v>19.97</v>
      </c>
      <c r="C4100" s="4">
        <v>0.05</v>
      </c>
      <c r="D4100" s="4">
        <v>0.03</v>
      </c>
      <c r="E4100" s="4">
        <v>-2.2628511133426031E-2</v>
      </c>
      <c r="F4100" s="3">
        <v>4098</v>
      </c>
      <c r="G4100" s="3">
        <v>4</v>
      </c>
      <c r="H4100" s="5">
        <v>4791821375.6300001</v>
      </c>
      <c r="I4100" s="5">
        <v>5195621375.6300001</v>
      </c>
      <c r="J4100" s="5">
        <v>640100000</v>
      </c>
      <c r="K4100" s="5">
        <v>236300000</v>
      </c>
      <c r="L4100" s="5">
        <v>1048700000</v>
      </c>
      <c r="M4100" s="5">
        <v>260200000</v>
      </c>
      <c r="N4100" s="5">
        <v>72900000</v>
      </c>
    </row>
    <row r="4101" spans="1:14" x14ac:dyDescent="0.25">
      <c r="A4101" s="3" t="s">
        <v>4112</v>
      </c>
      <c r="B4101" s="4">
        <v>20.79</v>
      </c>
      <c r="C4101" s="4">
        <v>0.22</v>
      </c>
      <c r="D4101" s="4">
        <v>0.02</v>
      </c>
      <c r="E4101" s="4">
        <v>-2.2646763707918099E-2</v>
      </c>
      <c r="F4101" s="3">
        <v>4099</v>
      </c>
      <c r="G4101" s="3">
        <v>4</v>
      </c>
      <c r="H4101" s="5">
        <v>5257531744.3599997</v>
      </c>
      <c r="I4101" s="5">
        <v>16331758744.360001</v>
      </c>
      <c r="J4101" s="5">
        <v>11946740000</v>
      </c>
      <c r="K4101" s="5">
        <v>872513000</v>
      </c>
      <c r="L4101" s="5">
        <v>2876949000</v>
      </c>
      <c r="M4101" s="5">
        <v>785411000</v>
      </c>
      <c r="N4101" s="5">
        <v>276415000</v>
      </c>
    </row>
    <row r="4102" spans="1:14" x14ac:dyDescent="0.25">
      <c r="A4102" s="3" t="s">
        <v>4113</v>
      </c>
      <c r="B4102" s="4">
        <v>20.49</v>
      </c>
      <c r="C4102" s="4">
        <v>0.15</v>
      </c>
      <c r="D4102" s="4">
        <v>0.1</v>
      </c>
      <c r="E4102" s="4">
        <v>-2.2647910573486939E-2</v>
      </c>
      <c r="F4102" s="3">
        <v>4100</v>
      </c>
      <c r="G4102" s="3">
        <v>4</v>
      </c>
      <c r="H4102" s="5">
        <v>2408180525.25</v>
      </c>
      <c r="I4102" s="5">
        <v>2284078525.25</v>
      </c>
      <c r="J4102" s="5">
        <v>39588000</v>
      </c>
      <c r="K4102" s="5">
        <v>163690000</v>
      </c>
      <c r="L4102" s="5">
        <v>542379000</v>
      </c>
      <c r="M4102" s="5">
        <v>111454000</v>
      </c>
      <c r="N4102" s="5">
        <v>72179000</v>
      </c>
    </row>
    <row r="4103" spans="1:14" x14ac:dyDescent="0.25">
      <c r="A4103" s="3" t="s">
        <v>4114</v>
      </c>
      <c r="B4103" s="4">
        <v>18.96</v>
      </c>
      <c r="C4103" s="4">
        <v>-0.19</v>
      </c>
      <c r="D4103" s="4">
        <v>0.22</v>
      </c>
      <c r="E4103" s="4">
        <v>-2.2660196421395589E-2</v>
      </c>
      <c r="F4103" s="3">
        <v>4101</v>
      </c>
      <c r="G4103" s="3">
        <v>4</v>
      </c>
      <c r="H4103" s="5">
        <v>41461057625.440002</v>
      </c>
      <c r="I4103" s="5">
        <v>52178057625.440002</v>
      </c>
      <c r="J4103" s="5">
        <v>11333000000</v>
      </c>
      <c r="K4103" s="5">
        <v>616000000</v>
      </c>
      <c r="L4103" s="5">
        <v>7549000000</v>
      </c>
      <c r="M4103" s="5">
        <v>2752000000</v>
      </c>
      <c r="N4103" s="5">
        <v>1486000000</v>
      </c>
    </row>
    <row r="4104" spans="1:14" x14ac:dyDescent="0.25">
      <c r="A4104" s="3" t="s">
        <v>4115</v>
      </c>
      <c r="B4104" s="4">
        <v>21.24</v>
      </c>
      <c r="C4104" s="4">
        <v>0.3</v>
      </c>
      <c r="D4104" s="4">
        <v>0.13</v>
      </c>
      <c r="E4104" s="4">
        <v>-2.2672909815818348E-2</v>
      </c>
      <c r="F4104" s="3">
        <v>4102</v>
      </c>
      <c r="G4104" s="3">
        <v>4</v>
      </c>
      <c r="H4104" s="5">
        <v>6907621823.7200003</v>
      </c>
      <c r="I4104" s="5">
        <v>6920651823.7200003</v>
      </c>
      <c r="J4104" s="5">
        <v>290303000</v>
      </c>
      <c r="K4104" s="5">
        <v>277273000</v>
      </c>
      <c r="L4104" s="5">
        <v>712963000</v>
      </c>
      <c r="M4104" s="5">
        <v>325836000</v>
      </c>
      <c r="N4104" s="5">
        <v>217417000</v>
      </c>
    </row>
    <row r="4105" spans="1:14" x14ac:dyDescent="0.25">
      <c r="A4105" s="3" t="s">
        <v>4116</v>
      </c>
      <c r="B4105" s="4">
        <v>19.420000000000002</v>
      </c>
      <c r="C4105" s="4">
        <v>-0.08</v>
      </c>
      <c r="D4105" s="4">
        <v>-0.03</v>
      </c>
      <c r="E4105" s="4">
        <v>-2.267529587073976E-2</v>
      </c>
      <c r="F4105" s="3">
        <v>4103</v>
      </c>
      <c r="G4105" s="3">
        <v>4</v>
      </c>
      <c r="H4105" s="5">
        <v>2249697940.8000002</v>
      </c>
      <c r="I4105" s="5">
        <v>4224179940.8000002</v>
      </c>
      <c r="J4105" s="5">
        <v>2143170000</v>
      </c>
      <c r="K4105" s="5">
        <v>168688000</v>
      </c>
      <c r="L4105" s="5">
        <v>860205000</v>
      </c>
      <c r="M4105" s="5">
        <v>217540000</v>
      </c>
      <c r="N4105" s="5">
        <v>-110273000</v>
      </c>
    </row>
    <row r="4106" spans="1:14" x14ac:dyDescent="0.25">
      <c r="A4106" s="3" t="s">
        <v>4117</v>
      </c>
      <c r="B4106" s="4">
        <v>21.27</v>
      </c>
      <c r="C4106" s="4">
        <v>0.3</v>
      </c>
      <c r="D4106" s="4">
        <v>0.15</v>
      </c>
      <c r="E4106" s="4">
        <v>-2.2687619379754581E-2</v>
      </c>
      <c r="F4106" s="3">
        <v>4104</v>
      </c>
      <c r="G4106" s="3">
        <v>4</v>
      </c>
      <c r="H4106" s="5">
        <v>21176293079.43</v>
      </c>
      <c r="I4106" s="5">
        <v>20670093079.43</v>
      </c>
      <c r="J4106" s="5">
        <v>0</v>
      </c>
      <c r="K4106" s="5">
        <v>506200000</v>
      </c>
      <c r="L4106" s="5">
        <v>2565000000</v>
      </c>
      <c r="M4106" s="5">
        <v>971800000</v>
      </c>
      <c r="N4106" s="5">
        <v>845700000</v>
      </c>
    </row>
    <row r="4107" spans="1:14" x14ac:dyDescent="0.25">
      <c r="A4107" s="3" t="s">
        <v>4118</v>
      </c>
      <c r="B4107" s="4">
        <v>20.72</v>
      </c>
      <c r="C4107" s="4">
        <v>0.19</v>
      </c>
      <c r="D4107" s="4">
        <v>0.03</v>
      </c>
      <c r="E4107" s="4">
        <v>-2.2688191062504429E-2</v>
      </c>
      <c r="F4107" s="3">
        <v>4105</v>
      </c>
      <c r="G4107" s="3">
        <v>4</v>
      </c>
      <c r="H4107" s="5">
        <v>872738407.29999995</v>
      </c>
      <c r="I4107" s="5">
        <v>2978322407.3000002</v>
      </c>
      <c r="J4107" s="5">
        <v>2481000000</v>
      </c>
      <c r="K4107" s="5">
        <v>375416000</v>
      </c>
      <c r="L4107" s="5">
        <v>577973000</v>
      </c>
      <c r="M4107" s="5">
        <v>143764000</v>
      </c>
      <c r="N4107" s="5">
        <v>111296000</v>
      </c>
    </row>
    <row r="4108" spans="1:14" x14ac:dyDescent="0.25">
      <c r="A4108" s="3" t="s">
        <v>4119</v>
      </c>
      <c r="B4108" s="4">
        <v>20.22</v>
      </c>
      <c r="C4108" s="4">
        <v>7.0000000000000007E-2</v>
      </c>
      <c r="D4108" s="4">
        <v>0.02</v>
      </c>
      <c r="E4108" s="4">
        <v>-2.272738308840155E-2</v>
      </c>
      <c r="F4108" s="3">
        <v>4106</v>
      </c>
      <c r="G4108" s="3">
        <v>4</v>
      </c>
      <c r="H4108" s="5">
        <v>1361065659.0999999</v>
      </c>
      <c r="I4108" s="5">
        <v>3173201659.0999999</v>
      </c>
      <c r="J4108" s="5">
        <v>3135617000</v>
      </c>
      <c r="K4108" s="5">
        <v>1323481000</v>
      </c>
      <c r="L4108" s="5">
        <v>506654000</v>
      </c>
      <c r="M4108" s="5">
        <v>156967000</v>
      </c>
      <c r="N4108" s="5">
        <v>108255000</v>
      </c>
    </row>
    <row r="4109" spans="1:14" x14ac:dyDescent="0.25">
      <c r="A4109" s="3" t="s">
        <v>4120</v>
      </c>
      <c r="B4109" s="4">
        <v>20.05</v>
      </c>
      <c r="C4109" s="4">
        <v>0.03</v>
      </c>
      <c r="D4109" s="4">
        <v>0.02</v>
      </c>
      <c r="E4109" s="4">
        <v>-2.273774101960907E-2</v>
      </c>
      <c r="F4109" s="3">
        <v>4107</v>
      </c>
      <c r="G4109" s="3">
        <v>4</v>
      </c>
      <c r="H4109" s="5">
        <v>9619725975.9200001</v>
      </c>
      <c r="I4109" s="5">
        <v>12909716975.92</v>
      </c>
      <c r="J4109" s="5">
        <v>3345962000</v>
      </c>
      <c r="K4109" s="5">
        <v>55971000</v>
      </c>
      <c r="L4109" s="5">
        <v>936407000</v>
      </c>
      <c r="M4109" s="5">
        <v>643994000</v>
      </c>
      <c r="N4109" s="5">
        <v>273802000</v>
      </c>
    </row>
    <row r="4110" spans="1:14" x14ac:dyDescent="0.25">
      <c r="A4110" s="3" t="s">
        <v>4121</v>
      </c>
      <c r="B4110" s="4">
        <v>16.54</v>
      </c>
      <c r="C4110" s="4">
        <v>-0.73</v>
      </c>
      <c r="D4110" s="4">
        <v>0.13</v>
      </c>
      <c r="E4110" s="4">
        <v>-2.2740024660681129E-2</v>
      </c>
      <c r="F4110" s="3">
        <v>4108</v>
      </c>
      <c r="G4110" s="3">
        <v>4</v>
      </c>
      <c r="H4110" s="5">
        <v>60905651700.029999</v>
      </c>
      <c r="I4110" s="5">
        <v>69833563700.029999</v>
      </c>
      <c r="J4110" s="5">
        <v>9199715000</v>
      </c>
      <c r="K4110" s="5">
        <v>271803000</v>
      </c>
      <c r="L4110" s="5">
        <v>18938717000</v>
      </c>
      <c r="M4110" s="5">
        <v>4223355000</v>
      </c>
      <c r="N4110" s="5">
        <v>2498247000</v>
      </c>
    </row>
    <row r="4111" spans="1:14" x14ac:dyDescent="0.25">
      <c r="A4111" s="3" t="s">
        <v>4122</v>
      </c>
      <c r="B4111" s="4">
        <v>20.5</v>
      </c>
      <c r="C4111" s="4">
        <v>0.11</v>
      </c>
      <c r="D4111" s="4">
        <v>0.05</v>
      </c>
      <c r="E4111" s="4">
        <v>-2.2779319340129379E-2</v>
      </c>
      <c r="F4111" s="3">
        <v>4109</v>
      </c>
      <c r="G4111" s="3">
        <v>4</v>
      </c>
      <c r="H4111" s="5">
        <v>7325599423.1999998</v>
      </c>
      <c r="I4111" s="5">
        <v>9490390423.2000008</v>
      </c>
      <c r="J4111" s="5">
        <v>2209303000</v>
      </c>
      <c r="K4111" s="5">
        <v>44512000</v>
      </c>
      <c r="L4111" s="5">
        <v>669641000</v>
      </c>
      <c r="M4111" s="5">
        <v>462839000</v>
      </c>
      <c r="N4111" s="5">
        <v>287554000</v>
      </c>
    </row>
    <row r="4112" spans="1:14" x14ac:dyDescent="0.25">
      <c r="A4112" s="3" t="s">
        <v>4123</v>
      </c>
      <c r="B4112" s="4">
        <v>-1.1599999999999999</v>
      </c>
      <c r="C4112" s="4">
        <v>-4.5</v>
      </c>
      <c r="D4112" s="4">
        <v>-0.42</v>
      </c>
      <c r="E4112" s="4">
        <v>-2.2784116883067529E-2</v>
      </c>
      <c r="F4112" s="3">
        <v>4110</v>
      </c>
      <c r="G4112" s="3">
        <v>4</v>
      </c>
      <c r="H4112" s="5">
        <v>17.224623999999999</v>
      </c>
      <c r="I4112" s="5">
        <v>11087017.224624</v>
      </c>
      <c r="J4112" s="5">
        <v>12840000</v>
      </c>
      <c r="K4112" s="5">
        <v>1753000</v>
      </c>
      <c r="L4112" s="5">
        <v>58671000</v>
      </c>
      <c r="M4112" s="5">
        <v>-9563000</v>
      </c>
      <c r="N4112" s="5">
        <v>-16632000</v>
      </c>
    </row>
    <row r="4113" spans="1:14" x14ac:dyDescent="0.25">
      <c r="A4113" s="3" t="s">
        <v>4124</v>
      </c>
      <c r="B4113" s="4">
        <v>19.53</v>
      </c>
      <c r="C4113" s="4">
        <v>-0.1</v>
      </c>
      <c r="D4113" s="4">
        <v>-0.02</v>
      </c>
      <c r="E4113" s="4">
        <v>-2.2799235320859021E-2</v>
      </c>
      <c r="F4113" s="3">
        <v>4111</v>
      </c>
      <c r="G4113" s="3">
        <v>4</v>
      </c>
      <c r="H4113" s="5">
        <v>39125138</v>
      </c>
      <c r="I4113" s="5">
        <v>-77045862</v>
      </c>
      <c r="J4113" s="5">
        <v>3000000</v>
      </c>
      <c r="K4113" s="5">
        <v>119171000</v>
      </c>
      <c r="L4113" s="5">
        <v>316170000</v>
      </c>
      <c r="M4113" s="5">
        <v>-3944000</v>
      </c>
      <c r="N4113" s="5">
        <v>-7046000</v>
      </c>
    </row>
    <row r="4114" spans="1:14" x14ac:dyDescent="0.25">
      <c r="A4114" s="3" t="s">
        <v>4125</v>
      </c>
      <c r="B4114" s="4">
        <v>20.059999999999999</v>
      </c>
      <c r="C4114" s="4">
        <v>0.01</v>
      </c>
      <c r="D4114" s="4">
        <v>0</v>
      </c>
      <c r="E4114" s="4">
        <v>-2.2805575492490082E-2</v>
      </c>
      <c r="F4114" s="3">
        <v>4112</v>
      </c>
      <c r="G4114" s="3">
        <v>4</v>
      </c>
      <c r="H4114" s="5">
        <v>21128200785.299999</v>
      </c>
      <c r="I4114" s="5">
        <v>23922055785.299999</v>
      </c>
      <c r="J4114" s="5">
        <v>3703055000</v>
      </c>
      <c r="K4114" s="5">
        <v>909200000</v>
      </c>
      <c r="L4114" s="5">
        <v>5810115000</v>
      </c>
      <c r="M4114" s="5">
        <v>1192548000</v>
      </c>
      <c r="N4114" s="5">
        <v>49364000</v>
      </c>
    </row>
    <row r="4115" spans="1:14" x14ac:dyDescent="0.25">
      <c r="A4115" s="3" t="s">
        <v>4126</v>
      </c>
      <c r="B4115" s="4">
        <v>-0.22</v>
      </c>
      <c r="C4115" s="4">
        <v>-4.25</v>
      </c>
      <c r="D4115" s="4">
        <v>-1.28</v>
      </c>
      <c r="E4115" s="4">
        <v>-2.2809458328896869E-2</v>
      </c>
      <c r="F4115" s="3">
        <v>4113</v>
      </c>
      <c r="G4115" s="3">
        <v>4</v>
      </c>
      <c r="H4115" s="5">
        <v>1901770.26</v>
      </c>
      <c r="I4115" s="5">
        <v>12138770.26</v>
      </c>
      <c r="J4115" s="5">
        <v>15168000</v>
      </c>
      <c r="K4115" s="5">
        <v>4931000</v>
      </c>
      <c r="L4115" s="5">
        <v>0</v>
      </c>
      <c r="M4115" s="5">
        <v>-56051000</v>
      </c>
      <c r="N4115" s="5">
        <v>-56934000</v>
      </c>
    </row>
    <row r="4116" spans="1:14" x14ac:dyDescent="0.25">
      <c r="A4116" s="3" t="s">
        <v>4127</v>
      </c>
      <c r="B4116" s="4">
        <v>20.07</v>
      </c>
      <c r="C4116" s="4">
        <v>0.01</v>
      </c>
      <c r="D4116" s="4">
        <v>0</v>
      </c>
      <c r="E4116" s="4">
        <v>-2.2811764698187149E-2</v>
      </c>
      <c r="F4116" s="3">
        <v>4114</v>
      </c>
      <c r="G4116" s="3">
        <v>4</v>
      </c>
      <c r="H4116" s="5">
        <v>2603657978.8800001</v>
      </c>
      <c r="I4116" s="5">
        <v>4155491978.8800001</v>
      </c>
      <c r="J4116" s="5">
        <v>1568640000</v>
      </c>
      <c r="K4116" s="5">
        <v>16806000</v>
      </c>
      <c r="L4116" s="5">
        <v>359689000</v>
      </c>
      <c r="M4116" s="5">
        <v>207081000</v>
      </c>
      <c r="N4116" s="5">
        <v>21650000</v>
      </c>
    </row>
    <row r="4117" spans="1:14" x14ac:dyDescent="0.25">
      <c r="A4117" s="3" t="s">
        <v>4128</v>
      </c>
      <c r="B4117" s="4">
        <v>20.89</v>
      </c>
      <c r="C4117" s="4">
        <v>0.17</v>
      </c>
      <c r="D4117" s="4">
        <v>7.0000000000000007E-2</v>
      </c>
      <c r="E4117" s="4">
        <v>-2.2843478667073629E-2</v>
      </c>
      <c r="F4117" s="3">
        <v>4115</v>
      </c>
      <c r="G4117" s="3">
        <v>4</v>
      </c>
      <c r="H4117" s="5">
        <v>20045000</v>
      </c>
      <c r="I4117" s="5">
        <v>16710930</v>
      </c>
      <c r="J4117" s="5">
        <v>1039190</v>
      </c>
      <c r="K4117" s="5">
        <v>4373260</v>
      </c>
      <c r="L4117" s="5">
        <v>18612530</v>
      </c>
      <c r="M4117" s="5">
        <v>800020</v>
      </c>
      <c r="N4117" s="5">
        <v>487960</v>
      </c>
    </row>
    <row r="4118" spans="1:14" x14ac:dyDescent="0.25">
      <c r="A4118" s="3" t="s">
        <v>4129</v>
      </c>
      <c r="B4118" s="4">
        <v>20.51</v>
      </c>
      <c r="C4118" s="4">
        <v>0.08</v>
      </c>
      <c r="D4118" s="4">
        <v>0.05</v>
      </c>
      <c r="E4118" s="4">
        <v>-2.2872189366869831E-2</v>
      </c>
      <c r="F4118" s="3">
        <v>4116</v>
      </c>
      <c r="G4118" s="3">
        <v>4</v>
      </c>
      <c r="H4118" s="5">
        <v>1267494606.9100001</v>
      </c>
      <c r="I4118" s="5">
        <v>1210718606.9100001</v>
      </c>
      <c r="J4118" s="5">
        <v>0</v>
      </c>
      <c r="K4118" s="5">
        <v>56776000</v>
      </c>
      <c r="L4118" s="5">
        <v>1715682000</v>
      </c>
      <c r="M4118" s="5">
        <v>59030000</v>
      </c>
      <c r="N4118" s="5">
        <v>39471000</v>
      </c>
    </row>
    <row r="4119" spans="1:14" x14ac:dyDescent="0.25">
      <c r="A4119" s="3" t="s">
        <v>4130</v>
      </c>
      <c r="B4119" s="4">
        <v>20.41</v>
      </c>
      <c r="C4119" s="4">
        <v>0.06</v>
      </c>
      <c r="D4119" s="4">
        <v>0.01</v>
      </c>
      <c r="E4119" s="4">
        <v>-2.2875800630237999E-2</v>
      </c>
      <c r="F4119" s="3">
        <v>4117</v>
      </c>
      <c r="G4119" s="3">
        <v>4</v>
      </c>
      <c r="H4119" s="5">
        <v>1976736752.6400001</v>
      </c>
      <c r="I4119" s="5">
        <v>3501483752.6399999</v>
      </c>
      <c r="J4119" s="5">
        <v>1633263000</v>
      </c>
      <c r="K4119" s="5">
        <v>108516000</v>
      </c>
      <c r="L4119" s="5">
        <v>1769928000</v>
      </c>
      <c r="M4119" s="5">
        <v>171541000</v>
      </c>
      <c r="N4119" s="5">
        <v>56757000</v>
      </c>
    </row>
    <row r="4120" spans="1:14" x14ac:dyDescent="0.25">
      <c r="A4120" s="3" t="s">
        <v>4131</v>
      </c>
      <c r="B4120" s="4">
        <v>20.41</v>
      </c>
      <c r="C4120" s="4">
        <v>0.05</v>
      </c>
      <c r="D4120" s="4">
        <v>0.02</v>
      </c>
      <c r="E4120" s="4">
        <v>-2.2902765210674941E-2</v>
      </c>
      <c r="F4120" s="3">
        <v>4118</v>
      </c>
      <c r="G4120" s="3">
        <v>4</v>
      </c>
      <c r="H4120" s="5">
        <v>6921222655.04</v>
      </c>
      <c r="I4120" s="5">
        <v>9031932655.0400009</v>
      </c>
      <c r="J4120" s="5">
        <v>2205105000</v>
      </c>
      <c r="K4120" s="5">
        <v>94395000</v>
      </c>
      <c r="L4120" s="5">
        <v>879654000</v>
      </c>
      <c r="M4120" s="5">
        <v>442562000</v>
      </c>
      <c r="N4120" s="5">
        <v>123733000</v>
      </c>
    </row>
    <row r="4121" spans="1:14" x14ac:dyDescent="0.25">
      <c r="A4121" s="3" t="s">
        <v>4132</v>
      </c>
      <c r="B4121" s="4">
        <v>20.38</v>
      </c>
      <c r="C4121" s="4">
        <v>0.04</v>
      </c>
      <c r="D4121" s="4">
        <v>0.01</v>
      </c>
      <c r="E4121" s="4">
        <v>-2.2915020227175679E-2</v>
      </c>
      <c r="F4121" s="3">
        <v>4119</v>
      </c>
      <c r="G4121" s="3">
        <v>4</v>
      </c>
      <c r="H4121" s="5">
        <v>45150000</v>
      </c>
      <c r="I4121" s="5">
        <v>131313000</v>
      </c>
      <c r="J4121" s="5">
        <v>109806000</v>
      </c>
      <c r="K4121" s="5">
        <v>23643000</v>
      </c>
      <c r="L4121" s="5">
        <v>7406043000</v>
      </c>
      <c r="M4121" s="5">
        <v>6442000</v>
      </c>
      <c r="N4121" s="5">
        <v>3369000</v>
      </c>
    </row>
    <row r="4122" spans="1:14" x14ac:dyDescent="0.25">
      <c r="A4122" s="3" t="s">
        <v>4133</v>
      </c>
      <c r="B4122" s="4">
        <v>21.16</v>
      </c>
      <c r="C4122" s="4">
        <v>0.2</v>
      </c>
      <c r="D4122" s="4">
        <v>0.1</v>
      </c>
      <c r="E4122" s="4">
        <v>-2.2918119320118831E-2</v>
      </c>
      <c r="F4122" s="3">
        <v>4120</v>
      </c>
      <c r="G4122" s="3">
        <v>4</v>
      </c>
      <c r="H4122" s="5">
        <v>7960989967.2799997</v>
      </c>
      <c r="I4122" s="5">
        <v>8240189967.2799997</v>
      </c>
      <c r="J4122" s="5">
        <v>350800000</v>
      </c>
      <c r="K4122" s="5">
        <v>71600000</v>
      </c>
      <c r="L4122" s="5">
        <v>2583500000</v>
      </c>
      <c r="M4122" s="5">
        <v>389400000</v>
      </c>
      <c r="N4122" s="5">
        <v>184000000</v>
      </c>
    </row>
    <row r="4123" spans="1:14" x14ac:dyDescent="0.25">
      <c r="A4123" s="3" t="s">
        <v>4134</v>
      </c>
      <c r="B4123" s="4">
        <v>20.170000000000002</v>
      </c>
      <c r="C4123" s="4">
        <v>-0.01</v>
      </c>
      <c r="D4123" s="4">
        <v>0</v>
      </c>
      <c r="E4123" s="4">
        <v>-2.2931443969186841E-2</v>
      </c>
      <c r="F4123" s="3">
        <v>4121</v>
      </c>
      <c r="G4123" s="3">
        <v>4</v>
      </c>
      <c r="H4123" s="5">
        <v>1256365617.46</v>
      </c>
      <c r="I4123" s="5">
        <v>2550688617.46</v>
      </c>
      <c r="J4123" s="5">
        <v>1317435000</v>
      </c>
      <c r="K4123" s="5">
        <v>23112000</v>
      </c>
      <c r="L4123" s="5">
        <v>237006000</v>
      </c>
      <c r="M4123" s="5">
        <v>126460000</v>
      </c>
      <c r="N4123" s="5">
        <v>-5621000</v>
      </c>
    </row>
    <row r="4124" spans="1:14" x14ac:dyDescent="0.25">
      <c r="A4124" s="3" t="s">
        <v>4135</v>
      </c>
      <c r="B4124" s="4">
        <v>18.850000000000001</v>
      </c>
      <c r="C4124" s="4">
        <v>-0.28999999999999998</v>
      </c>
      <c r="D4124" s="4">
        <v>-0.06</v>
      </c>
      <c r="E4124" s="4">
        <v>-2.2935063973042489E-2</v>
      </c>
      <c r="F4124" s="3">
        <v>4122</v>
      </c>
      <c r="G4124" s="3">
        <v>4</v>
      </c>
      <c r="H4124" s="5">
        <v>32825214261.599998</v>
      </c>
      <c r="I4124" s="5">
        <v>37221214261.599998</v>
      </c>
      <c r="J4124" s="5">
        <v>7317000000</v>
      </c>
      <c r="K4124" s="5">
        <v>2921000000</v>
      </c>
      <c r="L4124" s="5">
        <v>14323000000</v>
      </c>
      <c r="M4124" s="5">
        <v>1975000000</v>
      </c>
      <c r="N4124" s="5">
        <v>-1133000000</v>
      </c>
    </row>
    <row r="4125" spans="1:14" x14ac:dyDescent="0.25">
      <c r="A4125" s="3" t="s">
        <v>4136</v>
      </c>
      <c r="B4125" s="4">
        <v>21.11</v>
      </c>
      <c r="C4125" s="4">
        <v>0.18</v>
      </c>
      <c r="D4125" s="4">
        <v>0.15</v>
      </c>
      <c r="E4125" s="4">
        <v>-2.293531537277483E-2</v>
      </c>
      <c r="F4125" s="3">
        <v>4123</v>
      </c>
      <c r="G4125" s="3">
        <v>4</v>
      </c>
      <c r="H4125" s="5">
        <v>39520955936.879997</v>
      </c>
      <c r="I4125" s="5">
        <v>37441487936.879997</v>
      </c>
      <c r="J4125" s="5">
        <v>0</v>
      </c>
      <c r="K4125" s="5">
        <v>2079468000</v>
      </c>
      <c r="L4125" s="5">
        <v>6296903000</v>
      </c>
      <c r="M4125" s="5">
        <v>1773729000</v>
      </c>
      <c r="N4125" s="5">
        <v>1411436000</v>
      </c>
    </row>
    <row r="4126" spans="1:14" x14ac:dyDescent="0.25">
      <c r="A4126" s="3" t="s">
        <v>4137</v>
      </c>
      <c r="B4126" s="4">
        <v>20.8</v>
      </c>
      <c r="C4126" s="4">
        <v>0.12</v>
      </c>
      <c r="D4126" s="4">
        <v>0.05</v>
      </c>
      <c r="E4126" s="4">
        <v>-2.2936101904027239E-2</v>
      </c>
      <c r="F4126" s="3">
        <v>4124</v>
      </c>
      <c r="G4126" s="3">
        <v>4</v>
      </c>
      <c r="H4126" s="5">
        <v>337015515.27999997</v>
      </c>
      <c r="I4126" s="5">
        <v>909967535.27999997</v>
      </c>
      <c r="J4126" s="5">
        <v>593010610</v>
      </c>
      <c r="K4126" s="5">
        <v>20058590</v>
      </c>
      <c r="L4126" s="5">
        <v>104736130</v>
      </c>
      <c r="M4126" s="5">
        <v>43738430</v>
      </c>
      <c r="N4126" s="5">
        <v>45844630</v>
      </c>
    </row>
    <row r="4127" spans="1:14" x14ac:dyDescent="0.25">
      <c r="A4127" s="3" t="s">
        <v>4138</v>
      </c>
      <c r="B4127" s="4">
        <v>17.47</v>
      </c>
      <c r="C4127" s="4">
        <v>-0.6</v>
      </c>
      <c r="D4127" s="4">
        <v>0.11</v>
      </c>
      <c r="E4127" s="4">
        <v>-2.2943861952476389E-2</v>
      </c>
      <c r="F4127" s="3">
        <v>4125</v>
      </c>
      <c r="G4127" s="3">
        <v>4</v>
      </c>
      <c r="H4127" s="5">
        <v>231005190351.60001</v>
      </c>
      <c r="I4127" s="5">
        <v>272484190351.60001</v>
      </c>
      <c r="J4127" s="5">
        <v>45695000000</v>
      </c>
      <c r="K4127" s="5">
        <v>4216000000</v>
      </c>
      <c r="L4127" s="5">
        <v>37878000000</v>
      </c>
      <c r="M4127" s="5">
        <v>15595000000</v>
      </c>
      <c r="N4127" s="5">
        <v>7057000000</v>
      </c>
    </row>
    <row r="4128" spans="1:14" x14ac:dyDescent="0.25">
      <c r="A4128" s="3" t="s">
        <v>4139</v>
      </c>
      <c r="B4128" s="4">
        <v>19.91</v>
      </c>
      <c r="C4128" s="4">
        <v>-7.0000000000000007E-2</v>
      </c>
      <c r="D4128" s="4">
        <v>-0.02</v>
      </c>
      <c r="E4128" s="4">
        <v>-2.2947744316304589E-2</v>
      </c>
      <c r="F4128" s="3">
        <v>4126</v>
      </c>
      <c r="G4128" s="3">
        <v>4</v>
      </c>
      <c r="H4128" s="5">
        <v>4466115594.6899996</v>
      </c>
      <c r="I4128" s="5">
        <v>9373513594.6899986</v>
      </c>
      <c r="J4128" s="5">
        <v>4997256000</v>
      </c>
      <c r="K4128" s="5">
        <v>89858000</v>
      </c>
      <c r="L4128" s="5">
        <v>918204000</v>
      </c>
      <c r="M4128" s="5">
        <v>470887000</v>
      </c>
      <c r="N4128" s="5">
        <v>-194120000</v>
      </c>
    </row>
    <row r="4129" spans="1:14" x14ac:dyDescent="0.25">
      <c r="A4129" s="3" t="s">
        <v>4140</v>
      </c>
      <c r="B4129" s="4">
        <v>-3.9</v>
      </c>
      <c r="C4129" s="4">
        <v>0.85</v>
      </c>
      <c r="D4129" s="4">
        <v>-90.2</v>
      </c>
      <c r="E4129" s="4">
        <v>-2.2948995382180971E-2</v>
      </c>
      <c r="F4129" s="3">
        <v>4127</v>
      </c>
      <c r="G4129" s="3">
        <v>4</v>
      </c>
      <c r="H4129" s="5">
        <v>46873.940564999997</v>
      </c>
      <c r="I4129" s="5">
        <v>4512553.9405650003</v>
      </c>
      <c r="J4129" s="5">
        <v>4465980</v>
      </c>
      <c r="K4129" s="5">
        <v>300</v>
      </c>
      <c r="L4129" s="5">
        <v>5000</v>
      </c>
      <c r="M4129" s="5">
        <v>-1157770</v>
      </c>
      <c r="N4129" s="5">
        <v>-8195380</v>
      </c>
    </row>
    <row r="4130" spans="1:14" x14ac:dyDescent="0.25">
      <c r="A4130" s="3" t="s">
        <v>4141</v>
      </c>
      <c r="B4130" s="4">
        <v>20.55</v>
      </c>
      <c r="C4130" s="4">
        <v>0.06</v>
      </c>
      <c r="D4130" s="4">
        <v>0.02</v>
      </c>
      <c r="E4130" s="4">
        <v>-2.296052048341957E-2</v>
      </c>
      <c r="F4130" s="3">
        <v>4128</v>
      </c>
      <c r="G4130" s="3">
        <v>4</v>
      </c>
      <c r="H4130" s="5">
        <v>126962527.56</v>
      </c>
      <c r="I4130" s="5">
        <v>141175757.56</v>
      </c>
      <c r="J4130" s="5">
        <v>198840000</v>
      </c>
      <c r="K4130" s="5">
        <v>184626770</v>
      </c>
      <c r="L4130" s="5">
        <v>10844720</v>
      </c>
      <c r="M4130" s="5">
        <v>6868420</v>
      </c>
      <c r="N4130" s="5">
        <v>6868420</v>
      </c>
    </row>
    <row r="4131" spans="1:14" x14ac:dyDescent="0.25">
      <c r="A4131" s="3" t="s">
        <v>4142</v>
      </c>
      <c r="B4131" s="4">
        <v>21.35</v>
      </c>
      <c r="C4131" s="4">
        <v>0.22</v>
      </c>
      <c r="D4131" s="4">
        <v>0.09</v>
      </c>
      <c r="E4131" s="4">
        <v>-2.2979856040911899E-2</v>
      </c>
      <c r="F4131" s="3">
        <v>4129</v>
      </c>
      <c r="G4131" s="3">
        <v>4</v>
      </c>
      <c r="H4131" s="5">
        <v>12424759809.48</v>
      </c>
      <c r="I4131" s="5">
        <v>11925609809.48</v>
      </c>
      <c r="J4131" s="5">
        <v>373895000</v>
      </c>
      <c r="K4131" s="5">
        <v>873045000</v>
      </c>
      <c r="L4131" s="5">
        <v>2996361000</v>
      </c>
      <c r="M4131" s="5">
        <v>558687000</v>
      </c>
      <c r="N4131" s="5">
        <v>378279000</v>
      </c>
    </row>
    <row r="4132" spans="1:14" x14ac:dyDescent="0.25">
      <c r="A4132" s="3" t="s">
        <v>4143</v>
      </c>
      <c r="B4132" s="4">
        <v>20.8</v>
      </c>
      <c r="C4132" s="4">
        <v>0.1</v>
      </c>
      <c r="D4132" s="4">
        <v>0.05</v>
      </c>
      <c r="E4132" s="4">
        <v>-2.2993889118056159E-2</v>
      </c>
      <c r="F4132" s="3">
        <v>4130</v>
      </c>
      <c r="G4132" s="3">
        <v>4</v>
      </c>
      <c r="H4132" s="5">
        <v>8305494341.1999998</v>
      </c>
      <c r="I4132" s="5">
        <v>9596220341.2000008</v>
      </c>
      <c r="J4132" s="5">
        <v>1530055000</v>
      </c>
      <c r="K4132" s="5">
        <v>239329000</v>
      </c>
      <c r="L4132" s="5">
        <v>1514120000</v>
      </c>
      <c r="M4132" s="5">
        <v>461380000</v>
      </c>
      <c r="N4132" s="5">
        <v>339287000</v>
      </c>
    </row>
    <row r="4133" spans="1:14" x14ac:dyDescent="0.25">
      <c r="A4133" s="3" t="s">
        <v>4144</v>
      </c>
      <c r="B4133" s="4">
        <v>24.95</v>
      </c>
      <c r="C4133" s="4">
        <v>1</v>
      </c>
      <c r="D4133" s="4">
        <v>-0.27</v>
      </c>
      <c r="E4133" s="4">
        <v>-2.3023713701522269E-2</v>
      </c>
      <c r="F4133" s="3">
        <v>4131</v>
      </c>
      <c r="G4133" s="3">
        <v>4</v>
      </c>
      <c r="H4133" s="5">
        <v>2532185256.2600002</v>
      </c>
      <c r="I4133" s="5">
        <v>2763613256.2600002</v>
      </c>
      <c r="J4133" s="5">
        <v>290580000</v>
      </c>
      <c r="K4133" s="5">
        <v>59152000</v>
      </c>
      <c r="L4133" s="5">
        <v>344636000</v>
      </c>
      <c r="M4133" s="5">
        <v>110756000</v>
      </c>
      <c r="N4133" s="5">
        <v>-131001000</v>
      </c>
    </row>
    <row r="4134" spans="1:14" x14ac:dyDescent="0.25">
      <c r="A4134" s="3" t="s">
        <v>4145</v>
      </c>
      <c r="B4134" s="4">
        <v>21.72</v>
      </c>
      <c r="C4134" s="4">
        <v>0.28000000000000003</v>
      </c>
      <c r="D4134" s="4">
        <v>7.0000000000000007E-2</v>
      </c>
      <c r="E4134" s="4">
        <v>-2.3039353062772019E-2</v>
      </c>
      <c r="F4134" s="3">
        <v>4132</v>
      </c>
      <c r="G4134" s="3">
        <v>4</v>
      </c>
      <c r="H4134" s="5">
        <v>113481326571.75</v>
      </c>
      <c r="I4134" s="5">
        <v>118871326571.75</v>
      </c>
      <c r="J4134" s="5">
        <v>8412000000</v>
      </c>
      <c r="K4134" s="5">
        <v>3022000000</v>
      </c>
      <c r="L4134" s="5">
        <v>23568000000</v>
      </c>
      <c r="M4134" s="5">
        <v>5472000000</v>
      </c>
      <c r="N4134" s="5">
        <v>3749000000</v>
      </c>
    </row>
    <row r="4135" spans="1:14" x14ac:dyDescent="0.25">
      <c r="A4135" s="3" t="s">
        <v>4146</v>
      </c>
      <c r="B4135" s="4">
        <v>21.75</v>
      </c>
      <c r="C4135" s="4">
        <v>0.28000000000000003</v>
      </c>
      <c r="D4135" s="4">
        <v>0.16</v>
      </c>
      <c r="E4135" s="4">
        <v>-2.3040559440665711E-2</v>
      </c>
      <c r="F4135" s="3">
        <v>4133</v>
      </c>
      <c r="G4135" s="3">
        <v>4</v>
      </c>
      <c r="H4135" s="5">
        <v>216559112279.38</v>
      </c>
      <c r="I4135" s="5">
        <v>223068112279.38</v>
      </c>
      <c r="J4135" s="5">
        <v>14125000000</v>
      </c>
      <c r="K4135" s="5">
        <v>7616000000</v>
      </c>
      <c r="L4135" s="5">
        <v>41950000000</v>
      </c>
      <c r="M4135" s="5">
        <v>10257000000</v>
      </c>
      <c r="N4135" s="5">
        <v>13402000000</v>
      </c>
    </row>
    <row r="4136" spans="1:14" x14ac:dyDescent="0.25">
      <c r="A4136" s="3" t="s">
        <v>4147</v>
      </c>
      <c r="B4136" s="4">
        <v>21.46</v>
      </c>
      <c r="C4136" s="4">
        <v>0.22</v>
      </c>
      <c r="D4136" s="4">
        <v>0.12</v>
      </c>
      <c r="E4136" s="4">
        <v>-2.304215022384723E-2</v>
      </c>
      <c r="F4136" s="3">
        <v>4134</v>
      </c>
      <c r="G4136" s="3">
        <v>4</v>
      </c>
      <c r="H4136" s="5">
        <v>1300401209.3099999</v>
      </c>
      <c r="I4136" s="5">
        <v>1205272209.3099999</v>
      </c>
      <c r="J4136" s="5">
        <v>0</v>
      </c>
      <c r="K4136" s="5">
        <v>95129000</v>
      </c>
      <c r="L4136" s="5">
        <v>261696000</v>
      </c>
      <c r="M4136" s="5">
        <v>56161000</v>
      </c>
      <c r="N4136" s="5">
        <v>50140000</v>
      </c>
    </row>
    <row r="4137" spans="1:14" x14ac:dyDescent="0.25">
      <c r="A4137" s="3" t="s">
        <v>4148</v>
      </c>
      <c r="B4137" s="4">
        <v>20.93</v>
      </c>
      <c r="C4137" s="4">
        <v>0.11</v>
      </c>
      <c r="D4137" s="4">
        <v>0.05</v>
      </c>
      <c r="E4137" s="4">
        <v>-2.304545518510371E-2</v>
      </c>
      <c r="F4137" s="3">
        <v>4135</v>
      </c>
      <c r="G4137" s="3">
        <v>4</v>
      </c>
      <c r="H4137" s="5">
        <v>37670521015.5</v>
      </c>
      <c r="I4137" s="5">
        <v>42450721015.5</v>
      </c>
      <c r="J4137" s="5">
        <v>5339900000</v>
      </c>
      <c r="K4137" s="5">
        <v>559700000</v>
      </c>
      <c r="L4137" s="5">
        <v>7417700000</v>
      </c>
      <c r="M4137" s="5">
        <v>2028300000</v>
      </c>
      <c r="N4137" s="5">
        <v>911900000</v>
      </c>
    </row>
    <row r="4138" spans="1:14" x14ac:dyDescent="0.25">
      <c r="A4138" s="3" t="s">
        <v>4149</v>
      </c>
      <c r="B4138" s="4">
        <v>23.65</v>
      </c>
      <c r="C4138" s="4">
        <v>0.69</v>
      </c>
      <c r="D4138" s="4">
        <v>0.06</v>
      </c>
      <c r="E4138" s="4">
        <v>-2.3051160901292701E-2</v>
      </c>
      <c r="F4138" s="3">
        <v>4136</v>
      </c>
      <c r="G4138" s="3">
        <v>4</v>
      </c>
      <c r="H4138" s="5">
        <v>16707092760</v>
      </c>
      <c r="I4138" s="5">
        <v>20399592760</v>
      </c>
      <c r="J4138" s="5">
        <v>3809900000</v>
      </c>
      <c r="K4138" s="5">
        <v>117400000</v>
      </c>
      <c r="L4138" s="5">
        <v>4930900000</v>
      </c>
      <c r="M4138" s="5">
        <v>862600000</v>
      </c>
      <c r="N4138" s="5">
        <v>384300000</v>
      </c>
    </row>
    <row r="4139" spans="1:14" x14ac:dyDescent="0.25">
      <c r="A4139" s="3" t="s">
        <v>4150</v>
      </c>
      <c r="B4139" s="4">
        <v>20.84</v>
      </c>
      <c r="C4139" s="4">
        <v>0.08</v>
      </c>
      <c r="D4139" s="4">
        <v>0.04</v>
      </c>
      <c r="E4139" s="4">
        <v>-2.3078362181450891E-2</v>
      </c>
      <c r="F4139" s="3">
        <v>4137</v>
      </c>
      <c r="G4139" s="3">
        <v>4</v>
      </c>
      <c r="H4139" s="5">
        <v>2830894476.3699999</v>
      </c>
      <c r="I4139" s="5">
        <v>3278867476.3699999</v>
      </c>
      <c r="J4139" s="5">
        <v>552515000</v>
      </c>
      <c r="K4139" s="5">
        <v>104542000</v>
      </c>
      <c r="L4139" s="5">
        <v>790107000</v>
      </c>
      <c r="M4139" s="5">
        <v>157324000</v>
      </c>
      <c r="N4139" s="5">
        <v>55760000</v>
      </c>
    </row>
    <row r="4140" spans="1:14" x14ac:dyDescent="0.25">
      <c r="A4140" s="3" t="s">
        <v>4151</v>
      </c>
      <c r="B4140" s="4">
        <v>20.52</v>
      </c>
      <c r="C4140" s="4">
        <v>0.01</v>
      </c>
      <c r="D4140" s="4">
        <v>0</v>
      </c>
      <c r="E4140" s="4">
        <v>-2.3090278954555631E-2</v>
      </c>
      <c r="F4140" s="3">
        <v>4138</v>
      </c>
      <c r="G4140" s="3">
        <v>4</v>
      </c>
      <c r="H4140" s="5">
        <v>6827555250</v>
      </c>
      <c r="I4140" s="5">
        <v>14336484250</v>
      </c>
      <c r="J4140" s="5">
        <v>8242876000</v>
      </c>
      <c r="K4140" s="5">
        <v>733947000</v>
      </c>
      <c r="L4140" s="5">
        <v>1787686000</v>
      </c>
      <c r="M4140" s="5">
        <v>698732000</v>
      </c>
      <c r="N4140" s="5">
        <v>70387000</v>
      </c>
    </row>
    <row r="4141" spans="1:14" x14ac:dyDescent="0.25">
      <c r="A4141" s="3" t="s">
        <v>4152</v>
      </c>
      <c r="B4141" s="4">
        <v>-3.91</v>
      </c>
      <c r="C4141" s="4">
        <v>0.24</v>
      </c>
      <c r="D4141" s="4">
        <v>-81.92</v>
      </c>
      <c r="E4141" s="4">
        <v>-2.3108082198190969E-2</v>
      </c>
      <c r="F4141" s="3">
        <v>4139</v>
      </c>
      <c r="G4141" s="3">
        <v>4</v>
      </c>
      <c r="H4141" s="5">
        <v>583579.82479999994</v>
      </c>
      <c r="I4141" s="5">
        <v>636109.82479999994</v>
      </c>
      <c r="J4141" s="5">
        <v>54160</v>
      </c>
      <c r="K4141" s="5">
        <v>1630</v>
      </c>
      <c r="L4141" s="5">
        <v>39530</v>
      </c>
      <c r="M4141" s="5">
        <v>-162640</v>
      </c>
      <c r="N4141" s="5">
        <v>-233470</v>
      </c>
    </row>
    <row r="4142" spans="1:14" x14ac:dyDescent="0.25">
      <c r="A4142" s="3" t="s">
        <v>4153</v>
      </c>
      <c r="B4142" s="4">
        <v>20.62</v>
      </c>
      <c r="C4142" s="4">
        <v>0.02</v>
      </c>
      <c r="D4142" s="4">
        <v>0.02</v>
      </c>
      <c r="E4142" s="4">
        <v>-2.3119419351356949E-2</v>
      </c>
      <c r="F4142" s="3">
        <v>4140</v>
      </c>
      <c r="G4142" s="3">
        <v>4</v>
      </c>
      <c r="H4142" s="5">
        <v>30502231.199999999</v>
      </c>
      <c r="I4142" s="5">
        <v>29483651.199999999</v>
      </c>
      <c r="J4142" s="5">
        <v>51520</v>
      </c>
      <c r="K4142" s="5">
        <v>1070100</v>
      </c>
      <c r="L4142" s="5">
        <v>25371300</v>
      </c>
      <c r="M4142" s="5">
        <v>1430130</v>
      </c>
      <c r="N4142" s="5">
        <v>523210</v>
      </c>
    </row>
    <row r="4143" spans="1:14" x14ac:dyDescent="0.25">
      <c r="A4143" s="3" t="s">
        <v>4154</v>
      </c>
      <c r="B4143" s="4">
        <v>20.38</v>
      </c>
      <c r="C4143" s="4">
        <v>-0.03</v>
      </c>
      <c r="D4143" s="4">
        <v>-0.01</v>
      </c>
      <c r="E4143" s="4">
        <v>-2.3121133529431889E-2</v>
      </c>
      <c r="F4143" s="3">
        <v>4141</v>
      </c>
      <c r="G4143" s="3">
        <v>4</v>
      </c>
      <c r="H4143" s="5">
        <v>277669600</v>
      </c>
      <c r="I4143" s="5">
        <v>75324075600</v>
      </c>
      <c r="J4143" s="5">
        <v>76979490000</v>
      </c>
      <c r="K4143" s="5">
        <v>1933084000</v>
      </c>
      <c r="L4143" s="5">
        <v>8531034000</v>
      </c>
      <c r="M4143" s="5">
        <v>3696842000</v>
      </c>
      <c r="N4143" s="5">
        <v>-890549000</v>
      </c>
    </row>
    <row r="4144" spans="1:14" x14ac:dyDescent="0.25">
      <c r="A4144" s="3" t="s">
        <v>4155</v>
      </c>
      <c r="B4144" s="4">
        <v>23.24</v>
      </c>
      <c r="C4144" s="4">
        <v>0.55000000000000004</v>
      </c>
      <c r="D4144" s="4">
        <v>0.45</v>
      </c>
      <c r="E4144" s="4">
        <v>-2.3126681929392209E-2</v>
      </c>
      <c r="F4144" s="3">
        <v>4142</v>
      </c>
      <c r="G4144" s="3">
        <v>4</v>
      </c>
      <c r="H4144" s="5">
        <v>146776589</v>
      </c>
      <c r="I4144" s="5">
        <v>138219279</v>
      </c>
      <c r="J4144" s="5">
        <v>0</v>
      </c>
      <c r="K4144" s="5">
        <v>8557310</v>
      </c>
      <c r="L4144" s="5">
        <v>8381270</v>
      </c>
      <c r="M4144" s="5">
        <v>5947590</v>
      </c>
      <c r="N4144" s="5">
        <v>4823340</v>
      </c>
    </row>
    <row r="4145" spans="1:14" x14ac:dyDescent="0.25">
      <c r="A4145" s="3" t="s">
        <v>4156</v>
      </c>
      <c r="B4145" s="4">
        <v>21.7</v>
      </c>
      <c r="C4145" s="4">
        <v>0.24</v>
      </c>
      <c r="D4145" s="4">
        <v>0.15</v>
      </c>
      <c r="E4145" s="4">
        <v>-2.3127116866815661E-2</v>
      </c>
      <c r="F4145" s="3">
        <v>4143</v>
      </c>
      <c r="G4145" s="3">
        <v>4</v>
      </c>
      <c r="H4145" s="5">
        <v>912456296.42999995</v>
      </c>
      <c r="I4145" s="5">
        <v>810340296.42999995</v>
      </c>
      <c r="J4145" s="5">
        <v>0</v>
      </c>
      <c r="K4145" s="5">
        <v>102116000</v>
      </c>
      <c r="L4145" s="5">
        <v>500190000</v>
      </c>
      <c r="M4145" s="5">
        <v>37351000</v>
      </c>
      <c r="N4145" s="5">
        <v>32169000</v>
      </c>
    </row>
    <row r="4146" spans="1:14" x14ac:dyDescent="0.25">
      <c r="A4146" s="3" t="s">
        <v>4157</v>
      </c>
      <c r="B4146" s="4">
        <v>20.98</v>
      </c>
      <c r="C4146" s="4">
        <v>0.08</v>
      </c>
      <c r="D4146" s="4">
        <v>0.04</v>
      </c>
      <c r="E4146" s="4">
        <v>-2.316501106120997E-2</v>
      </c>
      <c r="F4146" s="3">
        <v>4144</v>
      </c>
      <c r="G4146" s="3">
        <v>4</v>
      </c>
      <c r="H4146" s="5">
        <v>11240052408.75</v>
      </c>
      <c r="I4146" s="5">
        <v>14641052408.75</v>
      </c>
      <c r="J4146" s="5">
        <v>3469000000</v>
      </c>
      <c r="K4146" s="5">
        <v>68000000</v>
      </c>
      <c r="L4146" s="5">
        <v>981000000</v>
      </c>
      <c r="M4146" s="5">
        <v>698000000</v>
      </c>
      <c r="N4146" s="5">
        <v>354000000</v>
      </c>
    </row>
    <row r="4147" spans="1:14" x14ac:dyDescent="0.25">
      <c r="A4147" s="3" t="s">
        <v>4158</v>
      </c>
      <c r="B4147" s="4">
        <v>21.62</v>
      </c>
      <c r="C4147" s="4">
        <v>0.21</v>
      </c>
      <c r="D4147" s="4">
        <v>0.14000000000000001</v>
      </c>
      <c r="E4147" s="4">
        <v>-2.3166213068859919E-2</v>
      </c>
      <c r="F4147" s="3">
        <v>4145</v>
      </c>
      <c r="G4147" s="3">
        <v>4</v>
      </c>
      <c r="H4147" s="5">
        <v>64808927.039999999</v>
      </c>
      <c r="I4147" s="5">
        <v>62836927.039999999</v>
      </c>
      <c r="J4147" s="5">
        <v>40000</v>
      </c>
      <c r="K4147" s="5">
        <v>2012000</v>
      </c>
      <c r="L4147" s="5">
        <v>25746000</v>
      </c>
      <c r="M4147" s="5">
        <v>2907000</v>
      </c>
      <c r="N4147" s="5">
        <v>2120000</v>
      </c>
    </row>
    <row r="4148" spans="1:14" x14ac:dyDescent="0.25">
      <c r="A4148" s="3" t="s">
        <v>4159</v>
      </c>
      <c r="B4148" s="4">
        <v>25.61</v>
      </c>
      <c r="C4148" s="4">
        <v>1.06</v>
      </c>
      <c r="D4148" s="4">
        <v>0.21</v>
      </c>
      <c r="E4148" s="4">
        <v>-2.3166246359722351E-2</v>
      </c>
      <c r="F4148" s="3">
        <v>4146</v>
      </c>
      <c r="G4148" s="3">
        <v>4</v>
      </c>
      <c r="H4148" s="5">
        <v>2039292863.3</v>
      </c>
      <c r="I4148" s="5">
        <v>2104224863.3</v>
      </c>
      <c r="J4148" s="5">
        <v>120184000</v>
      </c>
      <c r="K4148" s="5">
        <v>55252000</v>
      </c>
      <c r="L4148" s="5">
        <v>475967000</v>
      </c>
      <c r="M4148" s="5">
        <v>82150000</v>
      </c>
      <c r="N4148" s="5">
        <v>69279000</v>
      </c>
    </row>
    <row r="4149" spans="1:14" x14ac:dyDescent="0.25">
      <c r="A4149" s="3" t="s">
        <v>4160</v>
      </c>
      <c r="B4149" s="4">
        <v>21.09</v>
      </c>
      <c r="C4149" s="4">
        <v>0.09</v>
      </c>
      <c r="D4149" s="4">
        <v>0.05</v>
      </c>
      <c r="E4149" s="4">
        <v>-2.3202269690285861E-2</v>
      </c>
      <c r="F4149" s="3">
        <v>4147</v>
      </c>
      <c r="G4149" s="3">
        <v>4</v>
      </c>
      <c r="H4149" s="5">
        <v>1582644000</v>
      </c>
      <c r="I4149" s="5">
        <v>1909856000</v>
      </c>
      <c r="J4149" s="5">
        <v>545360000</v>
      </c>
      <c r="K4149" s="5">
        <v>218148000</v>
      </c>
      <c r="L4149" s="5">
        <v>906802000</v>
      </c>
      <c r="M4149" s="5">
        <v>90575000</v>
      </c>
      <c r="N4149" s="5">
        <v>79755000</v>
      </c>
    </row>
    <row r="4150" spans="1:14" x14ac:dyDescent="0.25">
      <c r="A4150" s="3" t="s">
        <v>4161</v>
      </c>
      <c r="B4150" s="4">
        <v>20.93</v>
      </c>
      <c r="C4150" s="4">
        <v>0.05</v>
      </c>
      <c r="D4150" s="4">
        <v>0.03</v>
      </c>
      <c r="E4150" s="4">
        <v>-2.3222674880345469E-2</v>
      </c>
      <c r="F4150" s="3">
        <v>4148</v>
      </c>
      <c r="G4150" s="3">
        <v>4</v>
      </c>
      <c r="H4150" s="5">
        <v>37168497.983000003</v>
      </c>
      <c r="I4150" s="5">
        <v>36986497.983000003</v>
      </c>
      <c r="J4150" s="5">
        <v>3917000</v>
      </c>
      <c r="K4150" s="5">
        <v>4099000</v>
      </c>
      <c r="L4150" s="5">
        <v>14049000</v>
      </c>
      <c r="M4150" s="5">
        <v>1767000</v>
      </c>
      <c r="N4150" s="5">
        <v>815000</v>
      </c>
    </row>
    <row r="4151" spans="1:14" x14ac:dyDescent="0.25">
      <c r="A4151" s="3" t="s">
        <v>4162</v>
      </c>
      <c r="B4151" s="4">
        <v>21.38</v>
      </c>
      <c r="C4151" s="4">
        <v>0.14000000000000001</v>
      </c>
      <c r="D4151" s="4">
        <v>0.1</v>
      </c>
      <c r="E4151" s="4">
        <v>-2.3227643487541291E-2</v>
      </c>
      <c r="F4151" s="3">
        <v>4149</v>
      </c>
      <c r="G4151" s="3">
        <v>4</v>
      </c>
      <c r="H4151" s="5">
        <v>987130560</v>
      </c>
      <c r="I4151" s="5">
        <v>1340457560</v>
      </c>
      <c r="J4151" s="5">
        <v>358300000</v>
      </c>
      <c r="K4151" s="5">
        <v>4973000</v>
      </c>
      <c r="L4151" s="5">
        <v>100956000</v>
      </c>
      <c r="M4151" s="5">
        <v>62690000</v>
      </c>
      <c r="N4151" s="5">
        <v>164588000</v>
      </c>
    </row>
    <row r="4152" spans="1:14" x14ac:dyDescent="0.25">
      <c r="A4152" s="3" t="s">
        <v>4163</v>
      </c>
      <c r="B4152" s="4">
        <v>20.6</v>
      </c>
      <c r="C4152" s="4">
        <v>-0.02</v>
      </c>
      <c r="D4152" s="4">
        <v>-0.01</v>
      </c>
      <c r="E4152" s="4">
        <v>-2.3228402447753139E-2</v>
      </c>
      <c r="F4152" s="3">
        <v>4150</v>
      </c>
      <c r="G4152" s="3">
        <v>4</v>
      </c>
      <c r="H4152" s="5">
        <v>5411629064.8000002</v>
      </c>
      <c r="I4152" s="5">
        <v>9638629064.7999992</v>
      </c>
      <c r="J4152" s="5">
        <v>4679000000</v>
      </c>
      <c r="K4152" s="5">
        <v>452000000</v>
      </c>
      <c r="L4152" s="5">
        <v>8388000000</v>
      </c>
      <c r="M4152" s="5">
        <v>468000000</v>
      </c>
      <c r="N4152" s="5">
        <v>-82000000</v>
      </c>
    </row>
    <row r="4153" spans="1:14" x14ac:dyDescent="0.25">
      <c r="A4153" s="3" t="s">
        <v>4164</v>
      </c>
      <c r="B4153" s="4">
        <v>20.46</v>
      </c>
      <c r="C4153" s="4">
        <v>-0.05</v>
      </c>
      <c r="D4153" s="4">
        <v>-0.01</v>
      </c>
      <c r="E4153" s="4">
        <v>-2.322843438903743E-2</v>
      </c>
      <c r="F4153" s="3">
        <v>4151</v>
      </c>
      <c r="G4153" s="3">
        <v>4</v>
      </c>
      <c r="H4153" s="5">
        <v>285054208.92000002</v>
      </c>
      <c r="I4153" s="5">
        <v>740832208.92000008</v>
      </c>
      <c r="J4153" s="5">
        <v>483634000</v>
      </c>
      <c r="K4153" s="5">
        <v>27856000</v>
      </c>
      <c r="L4153" s="5">
        <v>95630000</v>
      </c>
      <c r="M4153" s="5">
        <v>36210000</v>
      </c>
      <c r="N4153" s="5">
        <v>-9791000</v>
      </c>
    </row>
    <row r="4154" spans="1:14" x14ac:dyDescent="0.25">
      <c r="A4154" s="3" t="s">
        <v>4165</v>
      </c>
      <c r="B4154" s="4">
        <v>21.2</v>
      </c>
      <c r="C4154" s="4">
        <v>0.1</v>
      </c>
      <c r="D4154" s="4">
        <v>0.08</v>
      </c>
      <c r="E4154" s="4">
        <v>-2.3235670266206741E-2</v>
      </c>
      <c r="F4154" s="3">
        <v>4152</v>
      </c>
      <c r="G4154" s="3">
        <v>4</v>
      </c>
      <c r="H4154" s="5">
        <v>2646508596.1999998</v>
      </c>
      <c r="I4154" s="5">
        <v>2516091596.1999998</v>
      </c>
      <c r="J4154" s="5">
        <v>8424000</v>
      </c>
      <c r="K4154" s="5">
        <v>138841000</v>
      </c>
      <c r="L4154" s="5">
        <v>723217000</v>
      </c>
      <c r="M4154" s="5">
        <v>118681000</v>
      </c>
      <c r="N4154" s="5">
        <v>86827000</v>
      </c>
    </row>
    <row r="4155" spans="1:14" x14ac:dyDescent="0.25">
      <c r="A4155" s="3" t="s">
        <v>4166</v>
      </c>
      <c r="B4155" s="4">
        <v>22.15</v>
      </c>
      <c r="C4155" s="4">
        <v>0.31</v>
      </c>
      <c r="D4155" s="4">
        <v>-0.08</v>
      </c>
      <c r="E4155" s="4">
        <v>-2.3247743485365579E-2</v>
      </c>
      <c r="F4155" s="3">
        <v>4153</v>
      </c>
      <c r="G4155" s="3">
        <v>4</v>
      </c>
      <c r="H4155" s="5">
        <v>1690800943.21</v>
      </c>
      <c r="I4155" s="5">
        <v>3998300943.21</v>
      </c>
      <c r="J4155" s="5">
        <v>2345600000</v>
      </c>
      <c r="K4155" s="5">
        <v>38100000</v>
      </c>
      <c r="L4155" s="5">
        <v>4189400000</v>
      </c>
      <c r="M4155" s="5">
        <v>180500000</v>
      </c>
      <c r="N4155" s="5">
        <v>-222000000</v>
      </c>
    </row>
    <row r="4156" spans="1:14" x14ac:dyDescent="0.25">
      <c r="A4156" s="3" t="s">
        <v>4167</v>
      </c>
      <c r="B4156" s="4">
        <v>21.37</v>
      </c>
      <c r="C4156" s="4">
        <v>0.13</v>
      </c>
      <c r="D4156" s="4">
        <v>0.1</v>
      </c>
      <c r="E4156" s="4">
        <v>-2.3250347888858668E-2</v>
      </c>
      <c r="F4156" s="3">
        <v>4154</v>
      </c>
      <c r="G4156" s="3">
        <v>4</v>
      </c>
      <c r="H4156" s="5">
        <v>385135416.26999998</v>
      </c>
      <c r="I4156" s="5">
        <v>368407416.26999998</v>
      </c>
      <c r="J4156" s="5">
        <v>0</v>
      </c>
      <c r="K4156" s="5">
        <v>16728000</v>
      </c>
      <c r="L4156" s="5">
        <v>186820000</v>
      </c>
      <c r="M4156" s="5">
        <v>17238000</v>
      </c>
      <c r="N4156" s="5">
        <v>9025000</v>
      </c>
    </row>
    <row r="4157" spans="1:14" x14ac:dyDescent="0.25">
      <c r="A4157" s="3" t="s">
        <v>4168</v>
      </c>
      <c r="B4157" s="4">
        <v>-3.41</v>
      </c>
      <c r="C4157" s="4">
        <v>-5.17</v>
      </c>
      <c r="D4157" s="4">
        <v>-0.22</v>
      </c>
      <c r="E4157" s="4">
        <v>-2.3288836739643669E-2</v>
      </c>
      <c r="F4157" s="3">
        <v>4155</v>
      </c>
      <c r="G4157" s="3">
        <v>4</v>
      </c>
      <c r="H4157" s="5">
        <v>4560215.4000000004</v>
      </c>
      <c r="I4157" s="5">
        <v>8425525.4000000004</v>
      </c>
      <c r="J4157" s="5">
        <v>4704930</v>
      </c>
      <c r="K4157" s="5">
        <v>839620</v>
      </c>
      <c r="L4157" s="5">
        <v>10159020</v>
      </c>
      <c r="M4157" s="5">
        <v>-2470180</v>
      </c>
      <c r="N4157" s="5">
        <v>-3706170</v>
      </c>
    </row>
    <row r="4158" spans="1:14" x14ac:dyDescent="0.25">
      <c r="A4158" s="3" t="s">
        <v>4169</v>
      </c>
      <c r="B4158" s="4">
        <v>21.11</v>
      </c>
      <c r="C4158" s="4">
        <v>0.06</v>
      </c>
      <c r="D4158" s="4">
        <v>0.06</v>
      </c>
      <c r="E4158" s="4">
        <v>-2.3299399896145889E-2</v>
      </c>
      <c r="F4158" s="3">
        <v>4156</v>
      </c>
      <c r="G4158" s="3">
        <v>4</v>
      </c>
      <c r="H4158" s="5">
        <v>60060000</v>
      </c>
      <c r="I4158" s="5">
        <v>57866210</v>
      </c>
      <c r="J4158" s="5">
        <v>0</v>
      </c>
      <c r="K4158" s="5">
        <v>2193790</v>
      </c>
      <c r="L4158" s="5">
        <v>4376400</v>
      </c>
      <c r="M4158" s="5">
        <v>2741470</v>
      </c>
      <c r="N4158" s="5">
        <v>2821500</v>
      </c>
    </row>
    <row r="4159" spans="1:14" x14ac:dyDescent="0.25">
      <c r="A4159" s="3" t="s">
        <v>4170</v>
      </c>
      <c r="B4159" s="4">
        <v>21.15</v>
      </c>
      <c r="C4159" s="4">
        <v>7.0000000000000007E-2</v>
      </c>
      <c r="D4159" s="4">
        <v>0.03</v>
      </c>
      <c r="E4159" s="4">
        <v>-2.330105019165225E-2</v>
      </c>
      <c r="F4159" s="3">
        <v>4157</v>
      </c>
      <c r="G4159" s="3">
        <v>4</v>
      </c>
      <c r="H4159" s="5">
        <v>1142036333.28</v>
      </c>
      <c r="I4159" s="5">
        <v>2819300333.2800002</v>
      </c>
      <c r="J4159" s="5">
        <v>1751621000</v>
      </c>
      <c r="K4159" s="5">
        <v>74357000</v>
      </c>
      <c r="L4159" s="5">
        <v>301782000</v>
      </c>
      <c r="M4159" s="5">
        <v>133296000</v>
      </c>
      <c r="N4159" s="5">
        <v>98819000</v>
      </c>
    </row>
    <row r="4160" spans="1:14" x14ac:dyDescent="0.25">
      <c r="A4160" s="3" t="s">
        <v>4171</v>
      </c>
      <c r="B4160" s="4">
        <v>0.03</v>
      </c>
      <c r="C4160" s="4">
        <v>-4.17</v>
      </c>
      <c r="D4160" s="4">
        <v>-4.3600000000000003</v>
      </c>
      <c r="E4160" s="4">
        <v>-2.3327179801079938E-2</v>
      </c>
      <c r="F4160" s="3">
        <v>4158</v>
      </c>
      <c r="G4160" s="3">
        <v>4</v>
      </c>
      <c r="H4160" s="5">
        <v>2260644.5358000002</v>
      </c>
      <c r="I4160" s="5">
        <v>-333355.46419999981</v>
      </c>
      <c r="J4160" s="5">
        <v>0</v>
      </c>
      <c r="K4160" s="5">
        <v>2594000</v>
      </c>
      <c r="L4160" s="5">
        <v>0</v>
      </c>
      <c r="M4160" s="5">
        <v>-11283000</v>
      </c>
      <c r="N4160" s="5">
        <v>-11652000</v>
      </c>
    </row>
    <row r="4161" spans="1:14" x14ac:dyDescent="0.25">
      <c r="A4161" s="3" t="s">
        <v>4172</v>
      </c>
      <c r="B4161" s="4">
        <v>-0.22</v>
      </c>
      <c r="C4161" s="4">
        <v>-4.3899999999999997</v>
      </c>
      <c r="D4161" s="4">
        <v>-1.92</v>
      </c>
      <c r="E4161" s="4">
        <v>-2.3337426528059649E-2</v>
      </c>
      <c r="F4161" s="3">
        <v>4159</v>
      </c>
      <c r="G4161" s="3">
        <v>4</v>
      </c>
      <c r="H4161" s="5">
        <v>10084824</v>
      </c>
      <c r="I4161" s="5">
        <v>4212054</v>
      </c>
      <c r="J4161" s="5">
        <v>0</v>
      </c>
      <c r="K4161" s="5">
        <v>5872770</v>
      </c>
      <c r="L4161" s="5">
        <v>0</v>
      </c>
      <c r="M4161" s="5">
        <v>-18892270</v>
      </c>
      <c r="N4161" s="5">
        <v>-18620240</v>
      </c>
    </row>
    <row r="4162" spans="1:14" x14ac:dyDescent="0.25">
      <c r="A4162" s="3" t="s">
        <v>4173</v>
      </c>
      <c r="B4162" s="4">
        <v>20.59</v>
      </c>
      <c r="C4162" s="4">
        <v>-7.0000000000000007E-2</v>
      </c>
      <c r="D4162" s="4">
        <v>-0.05</v>
      </c>
      <c r="E4162" s="4">
        <v>-2.337439738343838E-2</v>
      </c>
      <c r="F4162" s="3">
        <v>4160</v>
      </c>
      <c r="G4162" s="3">
        <v>4</v>
      </c>
      <c r="H4162" s="5">
        <v>378891700</v>
      </c>
      <c r="I4162" s="5">
        <v>518598700</v>
      </c>
      <c r="J4162" s="5">
        <v>415690000</v>
      </c>
      <c r="K4162" s="5">
        <v>275983000</v>
      </c>
      <c r="L4162" s="5">
        <v>284897000</v>
      </c>
      <c r="M4162" s="5">
        <v>25191000</v>
      </c>
      <c r="N4162" s="5">
        <v>-116863000</v>
      </c>
    </row>
    <row r="4163" spans="1:14" x14ac:dyDescent="0.25">
      <c r="A4163" s="3" t="s">
        <v>4174</v>
      </c>
      <c r="B4163" s="4">
        <v>21.36</v>
      </c>
      <c r="C4163" s="4">
        <v>0.08</v>
      </c>
      <c r="D4163" s="4">
        <v>7.0000000000000007E-2</v>
      </c>
      <c r="E4163" s="4">
        <v>-2.3394413797966401E-2</v>
      </c>
      <c r="F4163" s="3">
        <v>4161</v>
      </c>
      <c r="G4163" s="3">
        <v>4</v>
      </c>
      <c r="H4163" s="5">
        <v>9737276804.2199993</v>
      </c>
      <c r="I4163" s="5">
        <v>9638321804.2199993</v>
      </c>
      <c r="J4163" s="5">
        <v>172939000</v>
      </c>
      <c r="K4163" s="5">
        <v>271894000</v>
      </c>
      <c r="L4163" s="5">
        <v>1436122000</v>
      </c>
      <c r="M4163" s="5">
        <v>451323000</v>
      </c>
      <c r="N4163" s="5">
        <v>207864000</v>
      </c>
    </row>
    <row r="4164" spans="1:14" x14ac:dyDescent="0.25">
      <c r="A4164" s="3" t="s">
        <v>4175</v>
      </c>
      <c r="B4164" s="4">
        <v>21.42</v>
      </c>
      <c r="C4164" s="4">
        <v>0.09</v>
      </c>
      <c r="D4164" s="4">
        <v>0.04</v>
      </c>
      <c r="E4164" s="4">
        <v>-2.3408442504866931E-2</v>
      </c>
      <c r="F4164" s="3">
        <v>4162</v>
      </c>
      <c r="G4164" s="3">
        <v>4</v>
      </c>
      <c r="H4164" s="5">
        <v>24216043.399999999</v>
      </c>
      <c r="I4164" s="5">
        <v>126142043.40000001</v>
      </c>
      <c r="J4164" s="5">
        <v>101926000</v>
      </c>
      <c r="K4164" s="5">
        <v>0</v>
      </c>
      <c r="L4164" s="5">
        <v>237560000</v>
      </c>
      <c r="M4164" s="5">
        <v>5888000</v>
      </c>
      <c r="N4164" s="5">
        <v>16179000</v>
      </c>
    </row>
    <row r="4165" spans="1:14" x14ac:dyDescent="0.25">
      <c r="A4165" s="3" t="s">
        <v>4176</v>
      </c>
      <c r="B4165" s="4">
        <v>28.21</v>
      </c>
      <c r="C4165" s="4">
        <v>1.52</v>
      </c>
      <c r="D4165" s="4">
        <v>0.31</v>
      </c>
      <c r="E4165" s="4">
        <v>-2.3427043652522361E-2</v>
      </c>
      <c r="F4165" s="3">
        <v>4163</v>
      </c>
      <c r="G4165" s="3">
        <v>4</v>
      </c>
      <c r="H4165" s="5">
        <v>3991683999420</v>
      </c>
      <c r="I4165" s="5">
        <v>4083903999420</v>
      </c>
      <c r="J4165" s="5">
        <v>99887000000</v>
      </c>
      <c r="K4165" s="5">
        <v>7667000000</v>
      </c>
      <c r="L4165" s="5">
        <v>416161000000</v>
      </c>
      <c r="M4165" s="5">
        <v>144748000000</v>
      </c>
      <c r="N4165" s="5">
        <v>112010000000</v>
      </c>
    </row>
    <row r="4166" spans="1:14" x14ac:dyDescent="0.25">
      <c r="A4166" s="3" t="s">
        <v>4177</v>
      </c>
      <c r="B4166" s="4">
        <v>-21.66</v>
      </c>
      <c r="C4166" s="4">
        <v>-9.1300000000000008</v>
      </c>
      <c r="D4166" s="4">
        <v>-0.22</v>
      </c>
      <c r="E4166" s="4">
        <v>-2.3435404720202689E-2</v>
      </c>
      <c r="F4166" s="3">
        <v>4164</v>
      </c>
      <c r="G4166" s="3">
        <v>4</v>
      </c>
      <c r="H4166" s="5">
        <v>440507703.38999999</v>
      </c>
      <c r="I4166" s="5">
        <v>475061703.38999999</v>
      </c>
      <c r="J4166" s="5">
        <v>121506000</v>
      </c>
      <c r="K4166" s="5">
        <v>86952000</v>
      </c>
      <c r="L4166" s="5">
        <v>266274000</v>
      </c>
      <c r="M4166" s="5">
        <v>-21937000</v>
      </c>
      <c r="N4166" s="5">
        <v>-50420000</v>
      </c>
    </row>
    <row r="4167" spans="1:14" x14ac:dyDescent="0.25">
      <c r="A4167" s="3" t="s">
        <v>4178</v>
      </c>
      <c r="B4167" s="4">
        <v>20.94</v>
      </c>
      <c r="C4167" s="4">
        <v>-0.02</v>
      </c>
      <c r="D4167" s="4">
        <v>-0.01</v>
      </c>
      <c r="E4167" s="4">
        <v>-2.3438835441453771E-2</v>
      </c>
      <c r="F4167" s="3">
        <v>4165</v>
      </c>
      <c r="G4167" s="3">
        <v>4</v>
      </c>
      <c r="H4167" s="5">
        <v>448972456.50999999</v>
      </c>
      <c r="I4167" s="5">
        <v>648444456.50999999</v>
      </c>
      <c r="J4167" s="5">
        <v>281284000</v>
      </c>
      <c r="K4167" s="5">
        <v>81812000</v>
      </c>
      <c r="L4167" s="5">
        <v>748487000</v>
      </c>
      <c r="M4167" s="5">
        <v>30970000</v>
      </c>
      <c r="N4167" s="5">
        <v>-6524000</v>
      </c>
    </row>
    <row r="4168" spans="1:14" x14ac:dyDescent="0.25">
      <c r="A4168" s="3" t="s">
        <v>4179</v>
      </c>
      <c r="B4168" s="4">
        <v>20.85</v>
      </c>
      <c r="C4168" s="4">
        <v>-0.04</v>
      </c>
      <c r="D4168" s="4">
        <v>-0.01</v>
      </c>
      <c r="E4168" s="4">
        <v>-2.3440919804208989E-2</v>
      </c>
      <c r="F4168" s="3">
        <v>4166</v>
      </c>
      <c r="G4168" s="3">
        <v>4</v>
      </c>
      <c r="H4168" s="5">
        <v>3004818210.5999999</v>
      </c>
      <c r="I4168" s="5">
        <v>4263152210.5999999</v>
      </c>
      <c r="J4168" s="5">
        <v>1406454000</v>
      </c>
      <c r="K4168" s="5">
        <v>148120000</v>
      </c>
      <c r="L4168" s="5">
        <v>1389037000</v>
      </c>
      <c r="M4168" s="5">
        <v>204511000</v>
      </c>
      <c r="N4168" s="5">
        <v>-24518000</v>
      </c>
    </row>
    <row r="4169" spans="1:14" x14ac:dyDescent="0.25">
      <c r="A4169" s="3" t="s">
        <v>4180</v>
      </c>
      <c r="B4169" s="4">
        <v>22.74</v>
      </c>
      <c r="C4169" s="4">
        <v>0.35</v>
      </c>
      <c r="D4169" s="4">
        <v>0.14000000000000001</v>
      </c>
      <c r="E4169" s="4">
        <v>-2.3454893608730171E-2</v>
      </c>
      <c r="F4169" s="3">
        <v>4167</v>
      </c>
      <c r="G4169" s="3">
        <v>4</v>
      </c>
      <c r="H4169" s="5">
        <v>22145137237.799999</v>
      </c>
      <c r="I4169" s="5">
        <v>23447204237.799999</v>
      </c>
      <c r="J4169" s="5">
        <v>1626488000</v>
      </c>
      <c r="K4169" s="5">
        <v>324421000</v>
      </c>
      <c r="L4169" s="5">
        <v>2958387000</v>
      </c>
      <c r="M4169" s="5">
        <v>1031047000</v>
      </c>
      <c r="N4169" s="5">
        <v>637834000</v>
      </c>
    </row>
    <row r="4170" spans="1:14" x14ac:dyDescent="0.25">
      <c r="A4170" s="3" t="s">
        <v>4181</v>
      </c>
      <c r="B4170" s="4">
        <v>20.010000000000002</v>
      </c>
      <c r="C4170" s="4">
        <v>-0.23</v>
      </c>
      <c r="D4170" s="4">
        <v>0.06</v>
      </c>
      <c r="E4170" s="4">
        <v>-2.345650187288665E-2</v>
      </c>
      <c r="F4170" s="3">
        <v>4168</v>
      </c>
      <c r="G4170" s="3">
        <v>4</v>
      </c>
      <c r="H4170" s="5">
        <v>94226272000</v>
      </c>
      <c r="I4170" s="5">
        <v>107081272000</v>
      </c>
      <c r="J4170" s="5">
        <v>16074800000</v>
      </c>
      <c r="K4170" s="5">
        <v>3219800000</v>
      </c>
      <c r="L4170" s="5">
        <v>37184400000</v>
      </c>
      <c r="M4170" s="5">
        <v>5352300000</v>
      </c>
      <c r="N4170" s="5">
        <v>1856400000</v>
      </c>
    </row>
    <row r="4171" spans="1:14" x14ac:dyDescent="0.25">
      <c r="A4171" s="3" t="s">
        <v>4182</v>
      </c>
      <c r="B4171" s="4">
        <v>21.52</v>
      </c>
      <c r="C4171" s="4">
        <v>0.09</v>
      </c>
      <c r="D4171" s="4">
        <v>7.0000000000000007E-2</v>
      </c>
      <c r="E4171" s="4">
        <v>-2.3464547482105181E-2</v>
      </c>
      <c r="F4171" s="3">
        <v>4169</v>
      </c>
      <c r="G4171" s="3">
        <v>4</v>
      </c>
      <c r="H4171" s="5">
        <v>3062355523.7399998</v>
      </c>
      <c r="I4171" s="5">
        <v>2821338523.7399998</v>
      </c>
      <c r="J4171" s="5">
        <v>0</v>
      </c>
      <c r="K4171" s="5">
        <v>241017000</v>
      </c>
      <c r="L4171" s="5">
        <v>637765000</v>
      </c>
      <c r="M4171" s="5">
        <v>131114000</v>
      </c>
      <c r="N4171" s="5">
        <v>77054000</v>
      </c>
    </row>
    <row r="4172" spans="1:14" x14ac:dyDescent="0.25">
      <c r="A4172" s="3" t="s">
        <v>4183</v>
      </c>
      <c r="B4172" s="4">
        <v>21.28</v>
      </c>
      <c r="C4172" s="4">
        <v>0.04</v>
      </c>
      <c r="D4172" s="4">
        <v>0.01</v>
      </c>
      <c r="E4172" s="4">
        <v>-2.3472048739912651E-2</v>
      </c>
      <c r="F4172" s="3">
        <v>4170</v>
      </c>
      <c r="G4172" s="3">
        <v>4</v>
      </c>
      <c r="H4172" s="5">
        <v>11212250</v>
      </c>
      <c r="I4172" s="5">
        <v>14632720</v>
      </c>
      <c r="J4172" s="5">
        <v>4079790</v>
      </c>
      <c r="K4172" s="5">
        <v>659320</v>
      </c>
      <c r="L4172" s="5">
        <v>52176110</v>
      </c>
      <c r="M4172" s="5">
        <v>687490</v>
      </c>
      <c r="N4172" s="5">
        <v>220640</v>
      </c>
    </row>
    <row r="4173" spans="1:14" x14ac:dyDescent="0.25">
      <c r="A4173" s="3" t="s">
        <v>4184</v>
      </c>
      <c r="B4173" s="4">
        <v>21.67</v>
      </c>
      <c r="C4173" s="4">
        <v>0.12</v>
      </c>
      <c r="D4173" s="4">
        <v>0.06</v>
      </c>
      <c r="E4173" s="4">
        <v>-2.347263377309548E-2</v>
      </c>
      <c r="F4173" s="3">
        <v>4171</v>
      </c>
      <c r="G4173" s="3">
        <v>4</v>
      </c>
      <c r="H4173" s="5">
        <v>1834346002.8399999</v>
      </c>
      <c r="I4173" s="5">
        <v>1932618002.8399999</v>
      </c>
      <c r="J4173" s="5">
        <v>223205000</v>
      </c>
      <c r="K4173" s="5">
        <v>124933000</v>
      </c>
      <c r="L4173" s="5">
        <v>567561000</v>
      </c>
      <c r="M4173" s="5">
        <v>89188000</v>
      </c>
      <c r="N4173" s="5">
        <v>36133000</v>
      </c>
    </row>
    <row r="4174" spans="1:14" x14ac:dyDescent="0.25">
      <c r="A4174" s="3" t="s">
        <v>4185</v>
      </c>
      <c r="B4174" s="4">
        <v>21.44</v>
      </c>
      <c r="C4174" s="4">
        <v>7.0000000000000007E-2</v>
      </c>
      <c r="D4174" s="4">
        <v>0.03</v>
      </c>
      <c r="E4174" s="4">
        <v>-2.3480537156867501E-2</v>
      </c>
      <c r="F4174" s="3">
        <v>4172</v>
      </c>
      <c r="G4174" s="3">
        <v>4</v>
      </c>
      <c r="H4174" s="5">
        <v>3747916173.1199999</v>
      </c>
      <c r="I4174" s="5">
        <v>8224226173.1199999</v>
      </c>
      <c r="J4174" s="5">
        <v>4599430000</v>
      </c>
      <c r="K4174" s="5">
        <v>123120000</v>
      </c>
      <c r="L4174" s="5">
        <v>724677000</v>
      </c>
      <c r="M4174" s="5">
        <v>383631000</v>
      </c>
      <c r="N4174" s="5">
        <v>273785000</v>
      </c>
    </row>
    <row r="4175" spans="1:14" x14ac:dyDescent="0.25">
      <c r="A4175" s="3" t="s">
        <v>4186</v>
      </c>
      <c r="B4175" s="4">
        <v>21.61</v>
      </c>
      <c r="C4175" s="4">
        <v>0.1</v>
      </c>
      <c r="D4175" s="4">
        <v>0.06</v>
      </c>
      <c r="E4175" s="4">
        <v>-2.349328575294193E-2</v>
      </c>
      <c r="F4175" s="3">
        <v>4173</v>
      </c>
      <c r="G4175" s="3">
        <v>4</v>
      </c>
      <c r="H4175" s="5">
        <v>240551360000</v>
      </c>
      <c r="I4175" s="5">
        <v>240814360000</v>
      </c>
      <c r="J4175" s="5">
        <v>9111000000</v>
      </c>
      <c r="K4175" s="5">
        <v>8848000000</v>
      </c>
      <c r="L4175" s="5">
        <v>37895000000</v>
      </c>
      <c r="M4175" s="5">
        <v>11143000000</v>
      </c>
      <c r="N4175" s="5">
        <v>6197000000</v>
      </c>
    </row>
    <row r="4176" spans="1:14" x14ac:dyDescent="0.25">
      <c r="A4176" s="3" t="s">
        <v>4187</v>
      </c>
      <c r="B4176" s="4">
        <v>21.87</v>
      </c>
      <c r="C4176" s="4">
        <v>0.14000000000000001</v>
      </c>
      <c r="D4176" s="4">
        <v>0.09</v>
      </c>
      <c r="E4176" s="4">
        <v>-2.353284359327559E-2</v>
      </c>
      <c r="F4176" s="3">
        <v>4174</v>
      </c>
      <c r="G4176" s="3">
        <v>4</v>
      </c>
      <c r="H4176" s="5">
        <v>45594179086.379997</v>
      </c>
      <c r="I4176" s="5">
        <v>47299901086.379997</v>
      </c>
      <c r="J4176" s="5">
        <v>2079721000</v>
      </c>
      <c r="K4176" s="5">
        <v>373999000</v>
      </c>
      <c r="L4176" s="5">
        <v>6941180000</v>
      </c>
      <c r="M4176" s="5">
        <v>2162562000</v>
      </c>
      <c r="N4176" s="5">
        <v>1376124000</v>
      </c>
    </row>
    <row r="4177" spans="1:14" x14ac:dyDescent="0.25">
      <c r="A4177" s="3" t="s">
        <v>4188</v>
      </c>
      <c r="B4177" s="4">
        <v>22.17</v>
      </c>
      <c r="C4177" s="4">
        <v>0.2</v>
      </c>
      <c r="D4177" s="4">
        <v>0.15</v>
      </c>
      <c r="E4177" s="4">
        <v>-2.3533583962636131E-2</v>
      </c>
      <c r="F4177" s="3">
        <v>4175</v>
      </c>
      <c r="G4177" s="3">
        <v>4</v>
      </c>
      <c r="H4177" s="5">
        <v>117669863.45999999</v>
      </c>
      <c r="I4177" s="5">
        <v>117660863.45999999</v>
      </c>
      <c r="J4177" s="5">
        <v>1000000</v>
      </c>
      <c r="K4177" s="5">
        <v>1009000</v>
      </c>
      <c r="L4177" s="5">
        <v>33995000</v>
      </c>
      <c r="M4177" s="5">
        <v>5308000</v>
      </c>
      <c r="N4177" s="5">
        <v>3768000</v>
      </c>
    </row>
    <row r="4178" spans="1:14" x14ac:dyDescent="0.25">
      <c r="A4178" s="3" t="s">
        <v>4189</v>
      </c>
      <c r="B4178" s="4">
        <v>20.92</v>
      </c>
      <c r="C4178" s="4">
        <v>-7.0000000000000007E-2</v>
      </c>
      <c r="D4178" s="4">
        <v>-0.03</v>
      </c>
      <c r="E4178" s="4">
        <v>-2.357478311828692E-2</v>
      </c>
      <c r="F4178" s="3">
        <v>4176</v>
      </c>
      <c r="G4178" s="3">
        <v>4</v>
      </c>
      <c r="H4178" s="5">
        <v>269035652.75</v>
      </c>
      <c r="I4178" s="5">
        <v>530479652.75</v>
      </c>
      <c r="J4178" s="5">
        <v>266538000</v>
      </c>
      <c r="K4178" s="5">
        <v>5094000</v>
      </c>
      <c r="L4178" s="5">
        <v>59917000</v>
      </c>
      <c r="M4178" s="5">
        <v>25361000</v>
      </c>
      <c r="N4178" s="5">
        <v>-22213000</v>
      </c>
    </row>
    <row r="4179" spans="1:14" x14ac:dyDescent="0.25">
      <c r="A4179" s="3" t="s">
        <v>4190</v>
      </c>
      <c r="B4179" s="4">
        <v>22.41</v>
      </c>
      <c r="C4179" s="4">
        <v>0.24</v>
      </c>
      <c r="D4179" s="4">
        <v>0.09</v>
      </c>
      <c r="E4179" s="4">
        <v>-2.357812463077319E-2</v>
      </c>
      <c r="F4179" s="3">
        <v>4177</v>
      </c>
      <c r="G4179" s="3">
        <v>4</v>
      </c>
      <c r="H4179" s="5">
        <v>73338207631.289993</v>
      </c>
      <c r="I4179" s="5">
        <v>79646307631.289993</v>
      </c>
      <c r="J4179" s="5">
        <v>7564900000</v>
      </c>
      <c r="K4179" s="5">
        <v>1256800000</v>
      </c>
      <c r="L4179" s="5">
        <v>15741400000</v>
      </c>
      <c r="M4179" s="5">
        <v>3554300000</v>
      </c>
      <c r="N4179" s="5">
        <v>2112400000</v>
      </c>
    </row>
    <row r="4180" spans="1:14" x14ac:dyDescent="0.25">
      <c r="A4180" s="3" t="s">
        <v>4191</v>
      </c>
      <c r="B4180" s="4">
        <v>21.9</v>
      </c>
      <c r="C4180" s="4">
        <v>0.13</v>
      </c>
      <c r="D4180" s="4">
        <v>0.06</v>
      </c>
      <c r="E4180" s="4">
        <v>-2.35860918971138E-2</v>
      </c>
      <c r="F4180" s="3">
        <v>4178</v>
      </c>
      <c r="G4180" s="3">
        <v>4</v>
      </c>
      <c r="H4180" s="5">
        <v>16768231167.92</v>
      </c>
      <c r="I4180" s="5">
        <v>23303053167.919998</v>
      </c>
      <c r="J4180" s="5">
        <v>6601617000</v>
      </c>
      <c r="K4180" s="5">
        <v>66795000</v>
      </c>
      <c r="L4180" s="5">
        <v>1774450000</v>
      </c>
      <c r="M4180" s="5">
        <v>1064010000</v>
      </c>
      <c r="N4180" s="5">
        <v>741522000</v>
      </c>
    </row>
    <row r="4181" spans="1:14" x14ac:dyDescent="0.25">
      <c r="A4181" s="3" t="s">
        <v>4192</v>
      </c>
      <c r="B4181" s="4">
        <v>21.67</v>
      </c>
      <c r="C4181" s="4">
        <v>0.08</v>
      </c>
      <c r="D4181" s="4">
        <v>0.05</v>
      </c>
      <c r="E4181" s="4">
        <v>-2.3590137227730811E-2</v>
      </c>
      <c r="F4181" s="3">
        <v>4179</v>
      </c>
      <c r="G4181" s="3">
        <v>4</v>
      </c>
      <c r="H4181" s="5">
        <v>149894440764.23001</v>
      </c>
      <c r="I4181" s="5">
        <v>163821440764.23001</v>
      </c>
      <c r="J4181" s="5">
        <v>16005000000</v>
      </c>
      <c r="K4181" s="5">
        <v>2078000000</v>
      </c>
      <c r="L4181" s="5">
        <v>23875000000</v>
      </c>
      <c r="M4181" s="5">
        <v>7561000000</v>
      </c>
      <c r="N4181" s="5">
        <v>3899000000</v>
      </c>
    </row>
    <row r="4182" spans="1:14" x14ac:dyDescent="0.25">
      <c r="A4182" s="3" t="s">
        <v>4193</v>
      </c>
      <c r="B4182" s="4">
        <v>24.32</v>
      </c>
      <c r="C4182" s="4">
        <v>0.64</v>
      </c>
      <c r="D4182" s="4">
        <v>0.12</v>
      </c>
      <c r="E4182" s="4">
        <v>-2.359873155860415E-2</v>
      </c>
      <c r="F4182" s="3">
        <v>4180</v>
      </c>
      <c r="G4182" s="3">
        <v>4</v>
      </c>
      <c r="H4182" s="5">
        <v>30548402.456999999</v>
      </c>
      <c r="I4182" s="5">
        <v>123955122.457</v>
      </c>
      <c r="J4182" s="5">
        <v>104112960</v>
      </c>
      <c r="K4182" s="5">
        <v>10706240</v>
      </c>
      <c r="L4182" s="5">
        <v>34927830</v>
      </c>
      <c r="M4182" s="5">
        <v>5097190</v>
      </c>
      <c r="N4182" s="5">
        <v>19265570</v>
      </c>
    </row>
    <row r="4183" spans="1:14" x14ac:dyDescent="0.25">
      <c r="A4183" s="3" t="s">
        <v>4194</v>
      </c>
      <c r="B4183" s="4">
        <v>-1.27</v>
      </c>
      <c r="C4183" s="4">
        <v>1.8</v>
      </c>
      <c r="D4183" s="4">
        <v>-99.38</v>
      </c>
      <c r="E4183" s="4">
        <v>-2.3602710212289209E-2</v>
      </c>
      <c r="F4183" s="3">
        <v>4181</v>
      </c>
      <c r="G4183" s="3">
        <v>4</v>
      </c>
      <c r="H4183" s="5">
        <v>49167.5</v>
      </c>
      <c r="I4183" s="5">
        <v>49057.5</v>
      </c>
      <c r="J4183" s="5">
        <v>0</v>
      </c>
      <c r="K4183" s="5">
        <v>110</v>
      </c>
      <c r="L4183" s="5">
        <v>0</v>
      </c>
      <c r="M4183" s="5">
        <v>-38690</v>
      </c>
      <c r="N4183" s="5">
        <v>-38760</v>
      </c>
    </row>
    <row r="4184" spans="1:14" x14ac:dyDescent="0.25">
      <c r="A4184" s="3" t="s">
        <v>4195</v>
      </c>
      <c r="B4184" s="4">
        <v>22.6</v>
      </c>
      <c r="C4184" s="4">
        <v>0.27</v>
      </c>
      <c r="D4184" s="4">
        <v>0.09</v>
      </c>
      <c r="E4184" s="4">
        <v>-2.360903871797428E-2</v>
      </c>
      <c r="F4184" s="3">
        <v>4182</v>
      </c>
      <c r="G4184" s="3">
        <v>4</v>
      </c>
      <c r="H4184" s="5">
        <v>18090346067.139999</v>
      </c>
      <c r="I4184" s="5">
        <v>19356030067.139999</v>
      </c>
      <c r="J4184" s="5">
        <v>1411446000</v>
      </c>
      <c r="K4184" s="5">
        <v>145762000</v>
      </c>
      <c r="L4184" s="5">
        <v>17724956000</v>
      </c>
      <c r="M4184" s="5">
        <v>856496000</v>
      </c>
      <c r="N4184" s="5">
        <v>465690000</v>
      </c>
    </row>
    <row r="4185" spans="1:14" x14ac:dyDescent="0.25">
      <c r="A4185" s="3" t="s">
        <v>4196</v>
      </c>
      <c r="B4185" s="4">
        <v>26.83</v>
      </c>
      <c r="C4185" s="4">
        <v>1.1399999999999999</v>
      </c>
      <c r="D4185" s="4">
        <v>0.59</v>
      </c>
      <c r="E4185" s="4">
        <v>-2.3616877588704909E-2</v>
      </c>
      <c r="F4185" s="3">
        <v>4183</v>
      </c>
      <c r="G4185" s="3">
        <v>4</v>
      </c>
      <c r="H4185" s="5">
        <v>57533120</v>
      </c>
      <c r="I4185" s="5">
        <v>55207120</v>
      </c>
      <c r="J4185" s="5">
        <v>0</v>
      </c>
      <c r="K4185" s="5">
        <v>2326000</v>
      </c>
      <c r="L4185" s="5">
        <v>10986000</v>
      </c>
      <c r="M4185" s="5">
        <v>2058000</v>
      </c>
      <c r="N4185" s="5">
        <v>6294000</v>
      </c>
    </row>
    <row r="4186" spans="1:14" x14ac:dyDescent="0.25">
      <c r="A4186" s="3" t="s">
        <v>4197</v>
      </c>
      <c r="B4186" s="4">
        <v>23.18</v>
      </c>
      <c r="C4186" s="4">
        <v>0.38</v>
      </c>
      <c r="D4186" s="4">
        <v>0.21</v>
      </c>
      <c r="E4186" s="4">
        <v>-2.3627034652315668E-2</v>
      </c>
      <c r="F4186" s="3">
        <v>4184</v>
      </c>
      <c r="G4186" s="3">
        <v>4</v>
      </c>
      <c r="H4186" s="5">
        <v>191903194240.03</v>
      </c>
      <c r="I4186" s="5">
        <v>191453194240.03</v>
      </c>
      <c r="J4186" s="5">
        <v>6259000000</v>
      </c>
      <c r="K4186" s="5">
        <v>6709000000</v>
      </c>
      <c r="L4186" s="5">
        <v>27176000000</v>
      </c>
      <c r="M4186" s="5">
        <v>8259000000</v>
      </c>
      <c r="N4186" s="5">
        <v>7177000000</v>
      </c>
    </row>
    <row r="4187" spans="1:14" x14ac:dyDescent="0.25">
      <c r="A4187" s="3" t="s">
        <v>4198</v>
      </c>
      <c r="B4187" s="4">
        <v>22.7</v>
      </c>
      <c r="C4187" s="4">
        <v>0.28999999999999998</v>
      </c>
      <c r="D4187" s="4">
        <v>-0.06</v>
      </c>
      <c r="E4187" s="4">
        <v>-2.364207895957874E-2</v>
      </c>
      <c r="F4187" s="3">
        <v>4185</v>
      </c>
      <c r="G4187" s="3">
        <v>4</v>
      </c>
      <c r="H4187" s="5">
        <v>2977440378.73</v>
      </c>
      <c r="I4187" s="5">
        <v>3436940378.73</v>
      </c>
      <c r="J4187" s="5">
        <v>1499000000</v>
      </c>
      <c r="K4187" s="5">
        <v>1039500000</v>
      </c>
      <c r="L4187" s="5">
        <v>2490800000</v>
      </c>
      <c r="M4187" s="5">
        <v>151400000</v>
      </c>
      <c r="N4187" s="5">
        <v>-119000000</v>
      </c>
    </row>
    <row r="4188" spans="1:14" x14ac:dyDescent="0.25">
      <c r="A4188" s="3" t="s">
        <v>4199</v>
      </c>
      <c r="B4188" s="4">
        <v>21.93</v>
      </c>
      <c r="C4188" s="4">
        <v>0.11</v>
      </c>
      <c r="D4188" s="4">
        <v>0.08</v>
      </c>
      <c r="E4188" s="4">
        <v>-2.3658588675078931E-2</v>
      </c>
      <c r="F4188" s="3">
        <v>4186</v>
      </c>
      <c r="G4188" s="3">
        <v>4</v>
      </c>
      <c r="H4188" s="5">
        <v>4945705764.6000004</v>
      </c>
      <c r="I4188" s="5">
        <v>5088133764.6000004</v>
      </c>
      <c r="J4188" s="5">
        <v>191943000</v>
      </c>
      <c r="K4188" s="5">
        <v>49515000</v>
      </c>
      <c r="L4188" s="5">
        <v>953684000</v>
      </c>
      <c r="M4188" s="5">
        <v>232000000</v>
      </c>
      <c r="N4188" s="5">
        <v>128475000</v>
      </c>
    </row>
    <row r="4189" spans="1:14" x14ac:dyDescent="0.25">
      <c r="A4189" s="3" t="s">
        <v>4200</v>
      </c>
      <c r="B4189" s="4">
        <v>23.11</v>
      </c>
      <c r="C4189" s="4">
        <v>0.35</v>
      </c>
      <c r="D4189" s="4">
        <v>0.14000000000000001</v>
      </c>
      <c r="E4189" s="4">
        <v>-2.368389421952204E-2</v>
      </c>
      <c r="F4189" s="3">
        <v>4187</v>
      </c>
      <c r="G4189" s="3">
        <v>4</v>
      </c>
      <c r="H4189" s="5">
        <v>8260313884.2600002</v>
      </c>
      <c r="I4189" s="5">
        <v>8743113884.2600002</v>
      </c>
      <c r="J4189" s="5">
        <v>562100000</v>
      </c>
      <c r="K4189" s="5">
        <v>79300000</v>
      </c>
      <c r="L4189" s="5">
        <v>1445700000</v>
      </c>
      <c r="M4189" s="5">
        <v>378400000</v>
      </c>
      <c r="N4189" s="5">
        <v>264900000</v>
      </c>
    </row>
    <row r="4190" spans="1:14" x14ac:dyDescent="0.25">
      <c r="A4190" s="3" t="s">
        <v>4201</v>
      </c>
      <c r="B4190" s="4">
        <v>21.83</v>
      </c>
      <c r="C4190" s="4">
        <v>0.08</v>
      </c>
      <c r="D4190" s="4">
        <v>0.05</v>
      </c>
      <c r="E4190" s="4">
        <v>-2.3689164518884049E-2</v>
      </c>
      <c r="F4190" s="3">
        <v>4188</v>
      </c>
      <c r="G4190" s="3">
        <v>4</v>
      </c>
      <c r="H4190" s="5">
        <v>36685918412.839996</v>
      </c>
      <c r="I4190" s="5">
        <v>37683918412.839996</v>
      </c>
      <c r="J4190" s="5">
        <v>2119000000</v>
      </c>
      <c r="K4190" s="5">
        <v>1121000000</v>
      </c>
      <c r="L4190" s="5">
        <v>8562000000</v>
      </c>
      <c r="M4190" s="5">
        <v>1726000000</v>
      </c>
      <c r="N4190" s="5">
        <v>890000000</v>
      </c>
    </row>
    <row r="4191" spans="1:14" x14ac:dyDescent="0.25">
      <c r="A4191" s="3" t="s">
        <v>4202</v>
      </c>
      <c r="B4191" s="4">
        <v>23.07</v>
      </c>
      <c r="C4191" s="4">
        <v>0.34</v>
      </c>
      <c r="D4191" s="4">
        <v>0.11</v>
      </c>
      <c r="E4191" s="4">
        <v>-2.369381808348071E-2</v>
      </c>
      <c r="F4191" s="3">
        <v>4189</v>
      </c>
      <c r="G4191" s="3">
        <v>4</v>
      </c>
      <c r="H4191" s="5">
        <v>4757893316</v>
      </c>
      <c r="I4191" s="5">
        <v>4967529316</v>
      </c>
      <c r="J4191" s="5">
        <v>295648000</v>
      </c>
      <c r="K4191" s="5">
        <v>86012000</v>
      </c>
      <c r="L4191" s="5">
        <v>2849685000</v>
      </c>
      <c r="M4191" s="5">
        <v>215364000</v>
      </c>
      <c r="N4191" s="5">
        <v>143421000</v>
      </c>
    </row>
    <row r="4192" spans="1:14" x14ac:dyDescent="0.25">
      <c r="A4192" s="3" t="s">
        <v>4203</v>
      </c>
      <c r="B4192" s="4">
        <v>10.76</v>
      </c>
      <c r="C4192" s="4">
        <v>-2.2999999999999998</v>
      </c>
      <c r="D4192" s="4">
        <v>0.1</v>
      </c>
      <c r="E4192" s="4">
        <v>-2.3704747148772791E-2</v>
      </c>
      <c r="F4192" s="3">
        <v>4190</v>
      </c>
      <c r="G4192" s="3">
        <v>4</v>
      </c>
      <c r="H4192" s="5">
        <v>107981353480</v>
      </c>
      <c r="I4192" s="5">
        <v>149079353480</v>
      </c>
      <c r="J4192" s="5">
        <v>43031000000</v>
      </c>
      <c r="K4192" s="5">
        <v>1933000000</v>
      </c>
      <c r="L4192" s="5">
        <v>70603000000</v>
      </c>
      <c r="M4192" s="5">
        <v>13859000000</v>
      </c>
      <c r="N4192" s="5">
        <v>5760000000</v>
      </c>
    </row>
    <row r="4193" spans="1:14" x14ac:dyDescent="0.25">
      <c r="A4193" s="3" t="s">
        <v>4204</v>
      </c>
      <c r="B4193" s="4">
        <v>22.01</v>
      </c>
      <c r="C4193" s="4">
        <v>0.11</v>
      </c>
      <c r="D4193" s="4">
        <v>7.0000000000000007E-2</v>
      </c>
      <c r="E4193" s="4">
        <v>-2.3710031347233061E-2</v>
      </c>
      <c r="F4193" s="3">
        <v>4191</v>
      </c>
      <c r="G4193" s="3">
        <v>4</v>
      </c>
      <c r="H4193" s="5">
        <v>1582193310.1199999</v>
      </c>
      <c r="I4193" s="5">
        <v>1325593310.1199999</v>
      </c>
      <c r="J4193" s="5">
        <v>0</v>
      </c>
      <c r="K4193" s="5">
        <v>256600000</v>
      </c>
      <c r="L4193" s="5">
        <v>1129911000</v>
      </c>
      <c r="M4193" s="5">
        <v>60224000</v>
      </c>
      <c r="N4193" s="5">
        <v>49557000</v>
      </c>
    </row>
    <row r="4194" spans="1:14" x14ac:dyDescent="0.25">
      <c r="A4194" s="3" t="s">
        <v>4205</v>
      </c>
      <c r="B4194" s="4">
        <v>20.87</v>
      </c>
      <c r="C4194" s="4">
        <v>-0.13</v>
      </c>
      <c r="D4194" s="4">
        <v>-0.04</v>
      </c>
      <c r="E4194" s="4">
        <v>-2.371912775846579E-2</v>
      </c>
      <c r="F4194" s="3">
        <v>4192</v>
      </c>
      <c r="G4194" s="3">
        <v>4</v>
      </c>
      <c r="H4194" s="5">
        <v>695368499.44000006</v>
      </c>
      <c r="I4194" s="5">
        <v>2884507499.4400001</v>
      </c>
      <c r="J4194" s="5">
        <v>2491312000</v>
      </c>
      <c r="K4194" s="5">
        <v>302173000</v>
      </c>
      <c r="L4194" s="5">
        <v>359033000</v>
      </c>
      <c r="M4194" s="5">
        <v>138186000</v>
      </c>
      <c r="N4194" s="5">
        <v>-131979000</v>
      </c>
    </row>
    <row r="4195" spans="1:14" x14ac:dyDescent="0.25">
      <c r="A4195" s="3" t="s">
        <v>4206</v>
      </c>
      <c r="B4195" s="4">
        <v>20.12</v>
      </c>
      <c r="C4195" s="4">
        <v>-0.28000000000000003</v>
      </c>
      <c r="D4195" s="4">
        <v>-0.2</v>
      </c>
      <c r="E4195" s="4">
        <v>-2.3719205861641949E-2</v>
      </c>
      <c r="F4195" s="3">
        <v>4193</v>
      </c>
      <c r="G4195" s="3">
        <v>4</v>
      </c>
      <c r="H4195" s="5">
        <v>8341383904.5900002</v>
      </c>
      <c r="I4195" s="5">
        <v>9054883904.5900002</v>
      </c>
      <c r="J4195" s="5">
        <v>1201600000</v>
      </c>
      <c r="K4195" s="5">
        <v>488100000</v>
      </c>
      <c r="L4195" s="5">
        <v>2566500000</v>
      </c>
      <c r="M4195" s="5">
        <v>450100000</v>
      </c>
      <c r="N4195" s="5">
        <v>-1844200000</v>
      </c>
    </row>
    <row r="4196" spans="1:14" x14ac:dyDescent="0.25">
      <c r="A4196" s="3" t="s">
        <v>4207</v>
      </c>
      <c r="B4196" s="4">
        <v>21.97</v>
      </c>
      <c r="C4196" s="4">
        <v>0.1</v>
      </c>
      <c r="D4196" s="4">
        <v>0.04</v>
      </c>
      <c r="E4196" s="4">
        <v>-2.3719955211191721E-2</v>
      </c>
      <c r="F4196" s="3">
        <v>4194</v>
      </c>
      <c r="G4196" s="3">
        <v>4</v>
      </c>
      <c r="H4196" s="5">
        <v>48854369247.480003</v>
      </c>
      <c r="I4196" s="5">
        <v>57742369247.480003</v>
      </c>
      <c r="J4196" s="5">
        <v>9480000000</v>
      </c>
      <c r="K4196" s="5">
        <v>592000000</v>
      </c>
      <c r="L4196" s="5">
        <v>7400000000</v>
      </c>
      <c r="M4196" s="5">
        <v>2628000000</v>
      </c>
      <c r="N4196" s="5">
        <v>1117000000</v>
      </c>
    </row>
    <row r="4197" spans="1:14" x14ac:dyDescent="0.25">
      <c r="A4197" s="3" t="s">
        <v>4208</v>
      </c>
      <c r="B4197" s="4">
        <v>21.17</v>
      </c>
      <c r="C4197" s="4">
        <v>-0.08</v>
      </c>
      <c r="D4197" s="4">
        <v>-0.02</v>
      </c>
      <c r="E4197" s="4">
        <v>-2.375647784115081E-2</v>
      </c>
      <c r="F4197" s="3">
        <v>4195</v>
      </c>
      <c r="G4197" s="3">
        <v>4</v>
      </c>
      <c r="H4197" s="5">
        <v>108853067.7861</v>
      </c>
      <c r="I4197" s="5">
        <v>410615067.78609997</v>
      </c>
      <c r="J4197" s="5">
        <v>323168000</v>
      </c>
      <c r="K4197" s="5">
        <v>21406000</v>
      </c>
      <c r="L4197" s="5">
        <v>50110000</v>
      </c>
      <c r="M4197" s="5">
        <v>19392000</v>
      </c>
      <c r="N4197" s="5">
        <v>-10985000</v>
      </c>
    </row>
    <row r="4198" spans="1:14" x14ac:dyDescent="0.25">
      <c r="A4198" s="3" t="s">
        <v>4209</v>
      </c>
      <c r="B4198" s="4">
        <v>-5.87</v>
      </c>
      <c r="C4198" s="4">
        <v>-5.8</v>
      </c>
      <c r="D4198" s="4">
        <v>-1.22</v>
      </c>
      <c r="E4198" s="4">
        <v>-2.3779492037824059E-2</v>
      </c>
      <c r="F4198" s="3">
        <v>4196</v>
      </c>
      <c r="G4198" s="3">
        <v>4</v>
      </c>
      <c r="H4198" s="5">
        <v>6485076.2664000001</v>
      </c>
      <c r="I4198" s="5">
        <v>13364076.2664</v>
      </c>
      <c r="J4198" s="5">
        <v>8878000</v>
      </c>
      <c r="K4198" s="5">
        <v>1999000</v>
      </c>
      <c r="L4198" s="5">
        <v>0</v>
      </c>
      <c r="M4198" s="5">
        <v>-2278000</v>
      </c>
      <c r="N4198" s="5">
        <v>-24708000</v>
      </c>
    </row>
    <row r="4199" spans="1:14" x14ac:dyDescent="0.25">
      <c r="A4199" s="3" t="s">
        <v>4210</v>
      </c>
      <c r="B4199" s="4">
        <v>19.78</v>
      </c>
      <c r="C4199" s="4">
        <v>-0.38</v>
      </c>
      <c r="D4199" s="4">
        <v>-0.11</v>
      </c>
      <c r="E4199" s="4">
        <v>-2.378034769888834E-2</v>
      </c>
      <c r="F4199" s="3">
        <v>4197</v>
      </c>
      <c r="G4199" s="3">
        <v>4</v>
      </c>
      <c r="H4199" s="5">
        <v>3658660932.5700002</v>
      </c>
      <c r="I4199" s="5">
        <v>7897340932.5699997</v>
      </c>
      <c r="J4199" s="5">
        <v>6887444000</v>
      </c>
      <c r="K4199" s="5">
        <v>2648764000</v>
      </c>
      <c r="L4199" s="5">
        <v>7785180000</v>
      </c>
      <c r="M4199" s="5">
        <v>399179000</v>
      </c>
      <c r="N4199" s="5">
        <v>-1966680000</v>
      </c>
    </row>
    <row r="4200" spans="1:14" x14ac:dyDescent="0.25">
      <c r="A4200" s="3" t="s">
        <v>4211</v>
      </c>
      <c r="B4200" s="4">
        <v>22.22</v>
      </c>
      <c r="C4200" s="4">
        <v>0.13</v>
      </c>
      <c r="D4200" s="4">
        <v>7.0000000000000007E-2</v>
      </c>
      <c r="E4200" s="4">
        <v>-2.3782217452842761E-2</v>
      </c>
      <c r="F4200" s="3">
        <v>4198</v>
      </c>
      <c r="G4200" s="3">
        <v>4</v>
      </c>
      <c r="H4200" s="5">
        <v>213266922610.76001</v>
      </c>
      <c r="I4200" s="5">
        <v>240532922610.76001</v>
      </c>
      <c r="J4200" s="5">
        <v>31275000000</v>
      </c>
      <c r="K4200" s="5">
        <v>4009000000</v>
      </c>
      <c r="L4200" s="5">
        <v>42879000000</v>
      </c>
      <c r="M4200" s="5">
        <v>10824000000</v>
      </c>
      <c r="N4200" s="5">
        <v>6335000000</v>
      </c>
    </row>
    <row r="4201" spans="1:14" x14ac:dyDescent="0.25">
      <c r="A4201" s="3" t="s">
        <v>4212</v>
      </c>
      <c r="B4201" s="4">
        <v>23.27</v>
      </c>
      <c r="C4201" s="4">
        <v>0.34</v>
      </c>
      <c r="D4201" s="4">
        <v>0.13</v>
      </c>
      <c r="E4201" s="4">
        <v>-2.3813744144267249E-2</v>
      </c>
      <c r="F4201" s="3">
        <v>4199</v>
      </c>
      <c r="G4201" s="3">
        <v>4</v>
      </c>
      <c r="H4201" s="5">
        <v>54738074888.099998</v>
      </c>
      <c r="I4201" s="5">
        <v>57335074888.099998</v>
      </c>
      <c r="J4201" s="5">
        <v>4711000000</v>
      </c>
      <c r="K4201" s="5">
        <v>2114000000</v>
      </c>
      <c r="L4201" s="5">
        <v>9520000000</v>
      </c>
      <c r="M4201" s="5">
        <v>2464000000</v>
      </c>
      <c r="N4201" s="5">
        <v>1889000000</v>
      </c>
    </row>
    <row r="4202" spans="1:14" x14ac:dyDescent="0.25">
      <c r="A4202" s="3" t="s">
        <v>4213</v>
      </c>
      <c r="B4202" s="4">
        <v>22.35</v>
      </c>
      <c r="C4202" s="4">
        <v>0.15</v>
      </c>
      <c r="D4202" s="4">
        <v>0.01</v>
      </c>
      <c r="E4202" s="4">
        <v>-2.3816464072340889E-2</v>
      </c>
      <c r="F4202" s="3">
        <v>4200</v>
      </c>
      <c r="G4202" s="3">
        <v>4</v>
      </c>
      <c r="H4202" s="5">
        <v>14620386777.200001</v>
      </c>
      <c r="I4202" s="5">
        <v>17363043777.200001</v>
      </c>
      <c r="J4202" s="5">
        <v>3282860000</v>
      </c>
      <c r="K4202" s="5">
        <v>540203000</v>
      </c>
      <c r="L4202" s="5">
        <v>2515710000</v>
      </c>
      <c r="M4202" s="5">
        <v>776884000</v>
      </c>
      <c r="N4202" s="5">
        <v>94665000</v>
      </c>
    </row>
    <row r="4203" spans="1:14" x14ac:dyDescent="0.25">
      <c r="A4203" s="3" t="s">
        <v>4214</v>
      </c>
      <c r="B4203" s="4">
        <v>23.08</v>
      </c>
      <c r="C4203" s="4">
        <v>0.28000000000000003</v>
      </c>
      <c r="D4203" s="4">
        <v>0.14000000000000001</v>
      </c>
      <c r="E4203" s="4">
        <v>-2.3867581851532021E-2</v>
      </c>
      <c r="F4203" s="3">
        <v>4201</v>
      </c>
      <c r="G4203" s="3">
        <v>4</v>
      </c>
      <c r="H4203" s="5">
        <v>148623467381.39999</v>
      </c>
      <c r="I4203" s="5">
        <v>159762467381.39999</v>
      </c>
      <c r="J4203" s="5">
        <v>13596000000</v>
      </c>
      <c r="K4203" s="5">
        <v>2457000000</v>
      </c>
      <c r="L4203" s="5">
        <v>15641000000</v>
      </c>
      <c r="M4203" s="5">
        <v>6921000000</v>
      </c>
      <c r="N4203" s="5">
        <v>4799000000</v>
      </c>
    </row>
    <row r="4204" spans="1:14" x14ac:dyDescent="0.25">
      <c r="A4204" s="3" t="s">
        <v>4215</v>
      </c>
      <c r="B4204" s="4">
        <v>19.260000000000002</v>
      </c>
      <c r="C4204" s="4">
        <v>-0.52</v>
      </c>
      <c r="D4204" s="4">
        <v>-0.19</v>
      </c>
      <c r="E4204" s="4">
        <v>-2.387845171346276E-2</v>
      </c>
      <c r="F4204" s="3">
        <v>4202</v>
      </c>
      <c r="G4204" s="3">
        <v>4</v>
      </c>
      <c r="H4204" s="5">
        <v>18708832000</v>
      </c>
      <c r="I4204" s="5">
        <v>19570832000</v>
      </c>
      <c r="J4204" s="5">
        <v>1989000000</v>
      </c>
      <c r="K4204" s="5">
        <v>1127000000</v>
      </c>
      <c r="L4204" s="5">
        <v>4372000000</v>
      </c>
      <c r="M4204" s="5">
        <v>1016000000</v>
      </c>
      <c r="N4204" s="5">
        <v>-1223000000</v>
      </c>
    </row>
    <row r="4205" spans="1:14" x14ac:dyDescent="0.25">
      <c r="A4205" s="3" t="s">
        <v>4216</v>
      </c>
      <c r="B4205" s="4">
        <v>23.86</v>
      </c>
      <c r="C4205" s="4">
        <v>0.43</v>
      </c>
      <c r="D4205" s="4">
        <v>0.25</v>
      </c>
      <c r="E4205" s="4">
        <v>-2.3895716498334631E-2</v>
      </c>
      <c r="F4205" s="3">
        <v>4203</v>
      </c>
      <c r="G4205" s="3">
        <v>4</v>
      </c>
      <c r="H4205" s="5">
        <v>333620053.62</v>
      </c>
      <c r="I4205" s="5">
        <v>328900053.62</v>
      </c>
      <c r="J4205" s="5">
        <v>0</v>
      </c>
      <c r="K4205" s="5">
        <v>4720000</v>
      </c>
      <c r="L4205" s="5">
        <v>69811000</v>
      </c>
      <c r="M4205" s="5">
        <v>13787000</v>
      </c>
      <c r="N4205" s="5">
        <v>23686000</v>
      </c>
    </row>
    <row r="4206" spans="1:14" x14ac:dyDescent="0.25">
      <c r="A4206" s="3" t="s">
        <v>4217</v>
      </c>
      <c r="B4206" s="4">
        <v>-0.89</v>
      </c>
      <c r="C4206" s="4">
        <v>-4.9000000000000004</v>
      </c>
      <c r="D4206" s="4">
        <v>0.66</v>
      </c>
      <c r="E4206" s="4">
        <v>-2.3898634847096312E-2</v>
      </c>
      <c r="F4206" s="3">
        <v>4204</v>
      </c>
      <c r="G4206" s="3">
        <v>4</v>
      </c>
      <c r="H4206" s="5">
        <v>4041325.7415</v>
      </c>
      <c r="I4206" s="5">
        <v>2426325.7415</v>
      </c>
      <c r="J4206" s="5">
        <v>417000</v>
      </c>
      <c r="K4206" s="5">
        <v>2032000</v>
      </c>
      <c r="L4206" s="5">
        <v>27713000</v>
      </c>
      <c r="M4206" s="5">
        <v>-2735000</v>
      </c>
      <c r="N4206" s="5">
        <v>16697000</v>
      </c>
    </row>
    <row r="4207" spans="1:14" x14ac:dyDescent="0.25">
      <c r="A4207" s="3" t="s">
        <v>4218</v>
      </c>
      <c r="B4207" s="4">
        <v>21.83</v>
      </c>
      <c r="C4207" s="4">
        <v>0.01</v>
      </c>
      <c r="D4207" s="4">
        <v>0.01</v>
      </c>
      <c r="E4207" s="4">
        <v>-2.389913587429528E-2</v>
      </c>
      <c r="F4207" s="3">
        <v>4205</v>
      </c>
      <c r="G4207" s="3">
        <v>4</v>
      </c>
      <c r="H4207" s="5">
        <v>2327556317.1500001</v>
      </c>
      <c r="I4207" s="5">
        <v>3164270317.1500001</v>
      </c>
      <c r="J4207" s="5">
        <v>920439000</v>
      </c>
      <c r="K4207" s="5">
        <v>83725000</v>
      </c>
      <c r="L4207" s="5">
        <v>1012647000</v>
      </c>
      <c r="M4207" s="5">
        <v>144949000</v>
      </c>
      <c r="N4207" s="5">
        <v>20269000</v>
      </c>
    </row>
    <row r="4208" spans="1:14" x14ac:dyDescent="0.25">
      <c r="A4208" s="3" t="s">
        <v>4219</v>
      </c>
      <c r="B4208" s="4">
        <v>22</v>
      </c>
      <c r="C4208" s="4">
        <v>0.03</v>
      </c>
      <c r="D4208" s="4">
        <v>0.02</v>
      </c>
      <c r="E4208" s="4">
        <v>-2.3944636130539178E-2</v>
      </c>
      <c r="F4208" s="3">
        <v>4206</v>
      </c>
      <c r="G4208" s="3">
        <v>4</v>
      </c>
      <c r="H4208" s="5">
        <v>8326996555.5</v>
      </c>
      <c r="I4208" s="5">
        <v>11109221555.5</v>
      </c>
      <c r="J4208" s="5">
        <v>2788624000</v>
      </c>
      <c r="K4208" s="5">
        <v>6399000</v>
      </c>
      <c r="L4208" s="5">
        <v>617095000</v>
      </c>
      <c r="M4208" s="5">
        <v>505013000</v>
      </c>
      <c r="N4208" s="5">
        <v>189197000</v>
      </c>
    </row>
    <row r="4209" spans="1:14" x14ac:dyDescent="0.25">
      <c r="A4209" s="3" t="s">
        <v>4220</v>
      </c>
      <c r="B4209" s="4">
        <v>21.92</v>
      </c>
      <c r="C4209" s="4">
        <v>0.01</v>
      </c>
      <c r="D4209" s="4">
        <v>0</v>
      </c>
      <c r="E4209" s="4">
        <v>-2.3956767752146481E-2</v>
      </c>
      <c r="F4209" s="3">
        <v>4207</v>
      </c>
      <c r="G4209" s="3">
        <v>4</v>
      </c>
      <c r="H4209" s="5">
        <v>3611666303.0999999</v>
      </c>
      <c r="I4209" s="5">
        <v>7731138303.1000004</v>
      </c>
      <c r="J4209" s="5">
        <v>4303766000</v>
      </c>
      <c r="K4209" s="5">
        <v>184294000</v>
      </c>
      <c r="L4209" s="5">
        <v>886272000</v>
      </c>
      <c r="M4209" s="5">
        <v>352626000</v>
      </c>
      <c r="N4209" s="5">
        <v>30653000</v>
      </c>
    </row>
    <row r="4210" spans="1:14" x14ac:dyDescent="0.25">
      <c r="A4210" s="3" t="s">
        <v>4221</v>
      </c>
      <c r="B4210" s="4">
        <v>22.04</v>
      </c>
      <c r="C4210" s="4">
        <v>0.03</v>
      </c>
      <c r="D4210" s="4">
        <v>0.01</v>
      </c>
      <c r="E4210" s="4">
        <v>-2.3971321979904991E-2</v>
      </c>
      <c r="F4210" s="3">
        <v>4208</v>
      </c>
      <c r="G4210" s="3">
        <v>4</v>
      </c>
      <c r="H4210" s="5">
        <v>2435028115.5</v>
      </c>
      <c r="I4210" s="5">
        <v>2505553115.5</v>
      </c>
      <c r="J4210" s="5">
        <v>553745000</v>
      </c>
      <c r="K4210" s="5">
        <v>483220000</v>
      </c>
      <c r="L4210" s="5">
        <v>668170000</v>
      </c>
      <c r="M4210" s="5">
        <v>113690000</v>
      </c>
      <c r="N4210" s="5">
        <v>22786000</v>
      </c>
    </row>
    <row r="4211" spans="1:14" x14ac:dyDescent="0.25">
      <c r="A4211" s="3" t="s">
        <v>4222</v>
      </c>
      <c r="B4211" s="4">
        <v>24.74</v>
      </c>
      <c r="C4211" s="4">
        <v>0.56999999999999995</v>
      </c>
      <c r="D4211" s="4">
        <v>0.4</v>
      </c>
      <c r="E4211" s="4">
        <v>-2.4006920702812431E-2</v>
      </c>
      <c r="F4211" s="3">
        <v>4209</v>
      </c>
      <c r="G4211" s="3">
        <v>4</v>
      </c>
      <c r="H4211" s="5">
        <v>3667754151.0300002</v>
      </c>
      <c r="I4211" s="5">
        <v>3636944151.0300002</v>
      </c>
      <c r="J4211" s="5">
        <v>72337000</v>
      </c>
      <c r="K4211" s="5">
        <v>103147000</v>
      </c>
      <c r="L4211" s="5">
        <v>426454000</v>
      </c>
      <c r="M4211" s="5">
        <v>147028000</v>
      </c>
      <c r="N4211" s="5">
        <v>197673000</v>
      </c>
    </row>
    <row r="4212" spans="1:14" x14ac:dyDescent="0.25">
      <c r="A4212" s="3" t="s">
        <v>4223</v>
      </c>
      <c r="B4212" s="4">
        <v>22.52</v>
      </c>
      <c r="C4212" s="4">
        <v>0.11</v>
      </c>
      <c r="D4212" s="4">
        <v>0.04</v>
      </c>
      <c r="E4212" s="4">
        <v>-2.4031467917516518E-2</v>
      </c>
      <c r="F4212" s="3">
        <v>4210</v>
      </c>
      <c r="G4212" s="3">
        <v>4</v>
      </c>
      <c r="H4212" s="5">
        <v>1925366603.1800001</v>
      </c>
      <c r="I4212" s="5">
        <v>2151036603.1799998</v>
      </c>
      <c r="J4212" s="5">
        <v>293923000</v>
      </c>
      <c r="K4212" s="5">
        <v>68253000</v>
      </c>
      <c r="L4212" s="5">
        <v>534792000</v>
      </c>
      <c r="M4212" s="5">
        <v>95513000</v>
      </c>
      <c r="N4212" s="5">
        <v>40960000</v>
      </c>
    </row>
    <row r="4213" spans="1:14" x14ac:dyDescent="0.25">
      <c r="A4213" s="3" t="s">
        <v>4224</v>
      </c>
      <c r="B4213" s="4">
        <v>22.35</v>
      </c>
      <c r="C4213" s="4">
        <v>7.0000000000000007E-2</v>
      </c>
      <c r="D4213" s="4">
        <v>0.03</v>
      </c>
      <c r="E4213" s="4">
        <v>-2.404375487530154E-2</v>
      </c>
      <c r="F4213" s="3">
        <v>4211</v>
      </c>
      <c r="G4213" s="3">
        <v>4</v>
      </c>
      <c r="H4213" s="5">
        <v>139207271.28</v>
      </c>
      <c r="I4213" s="5">
        <v>486253271.27999997</v>
      </c>
      <c r="J4213" s="5">
        <v>417796000</v>
      </c>
      <c r="K4213" s="5">
        <v>70750000</v>
      </c>
      <c r="L4213" s="5">
        <v>67043000</v>
      </c>
      <c r="M4213" s="5">
        <v>21757000</v>
      </c>
      <c r="N4213" s="5">
        <v>17820000</v>
      </c>
    </row>
    <row r="4214" spans="1:14" x14ac:dyDescent="0.25">
      <c r="A4214" s="3" t="s">
        <v>4225</v>
      </c>
      <c r="B4214" s="4">
        <v>22.15</v>
      </c>
      <c r="C4214" s="4">
        <v>0.02</v>
      </c>
      <c r="D4214" s="4">
        <v>0.01</v>
      </c>
      <c r="E4214" s="4">
        <v>-2.4068296849587299E-2</v>
      </c>
      <c r="F4214" s="3">
        <v>4212</v>
      </c>
      <c r="G4214" s="3">
        <v>4</v>
      </c>
      <c r="H4214" s="5">
        <v>459194893.01999998</v>
      </c>
      <c r="I4214" s="5">
        <v>489427893.01999998</v>
      </c>
      <c r="J4214" s="5">
        <v>178853000</v>
      </c>
      <c r="K4214" s="5">
        <v>148620000</v>
      </c>
      <c r="L4214" s="5">
        <v>41774000</v>
      </c>
      <c r="M4214" s="5">
        <v>22094000</v>
      </c>
      <c r="N4214" s="5">
        <v>6385000</v>
      </c>
    </row>
    <row r="4215" spans="1:14" x14ac:dyDescent="0.25">
      <c r="A4215" s="3" t="s">
        <v>4226</v>
      </c>
      <c r="B4215" s="4">
        <v>23.53</v>
      </c>
      <c r="C4215" s="4">
        <v>0.3</v>
      </c>
      <c r="D4215" s="4">
        <v>0.16</v>
      </c>
      <c r="E4215" s="4">
        <v>-2.408445084071657E-2</v>
      </c>
      <c r="F4215" s="3">
        <v>4213</v>
      </c>
      <c r="G4215" s="3">
        <v>4</v>
      </c>
      <c r="H4215" s="5">
        <v>3769404651509.7998</v>
      </c>
      <c r="I4215" s="5">
        <v>3828485651509.7998</v>
      </c>
      <c r="J4215" s="5">
        <v>89323000000</v>
      </c>
      <c r="K4215" s="5">
        <v>30242000000</v>
      </c>
      <c r="L4215" s="5">
        <v>281724000000</v>
      </c>
      <c r="M4215" s="5">
        <v>162681000000</v>
      </c>
      <c r="N4215" s="5">
        <v>101832000000</v>
      </c>
    </row>
    <row r="4216" spans="1:14" x14ac:dyDescent="0.25">
      <c r="A4216" s="3" t="s">
        <v>4227</v>
      </c>
      <c r="B4216" s="4">
        <v>24.39</v>
      </c>
      <c r="C4216" s="4">
        <v>0.49</v>
      </c>
      <c r="D4216" s="4">
        <v>-7.0000000000000007E-2</v>
      </c>
      <c r="E4216" s="4">
        <v>-2.4112111608673169E-2</v>
      </c>
      <c r="F4216" s="3">
        <v>4214</v>
      </c>
      <c r="G4216" s="3">
        <v>4</v>
      </c>
      <c r="H4216" s="5">
        <v>1734484507.9100001</v>
      </c>
      <c r="I4216" s="5">
        <v>2564794507.9099998</v>
      </c>
      <c r="J4216" s="5">
        <v>983026000</v>
      </c>
      <c r="K4216" s="5">
        <v>152716000</v>
      </c>
      <c r="L4216" s="5">
        <v>1203814000</v>
      </c>
      <c r="M4216" s="5">
        <v>105168000</v>
      </c>
      <c r="N4216" s="5">
        <v>-162968000</v>
      </c>
    </row>
    <row r="4217" spans="1:14" x14ac:dyDescent="0.25">
      <c r="A4217" s="3" t="s">
        <v>4228</v>
      </c>
      <c r="B4217" s="4">
        <v>20.45</v>
      </c>
      <c r="C4217" s="4">
        <v>-0.36</v>
      </c>
      <c r="D4217" s="4">
        <v>0.01</v>
      </c>
      <c r="E4217" s="4">
        <v>-2.411408894763354E-2</v>
      </c>
      <c r="F4217" s="3">
        <v>4215</v>
      </c>
      <c r="G4217" s="3">
        <v>4</v>
      </c>
      <c r="H4217" s="5">
        <v>29673636165.75</v>
      </c>
      <c r="I4217" s="5">
        <v>43237006165.75</v>
      </c>
      <c r="J4217" s="5">
        <v>13719086000</v>
      </c>
      <c r="K4217" s="5">
        <v>155716000</v>
      </c>
      <c r="L4217" s="5">
        <v>6149909000</v>
      </c>
      <c r="M4217" s="5">
        <v>2113821000</v>
      </c>
      <c r="N4217" s="5">
        <v>180156000</v>
      </c>
    </row>
    <row r="4218" spans="1:14" x14ac:dyDescent="0.25">
      <c r="A4218" s="3" t="s">
        <v>4229</v>
      </c>
      <c r="B4218" s="4">
        <v>22.57</v>
      </c>
      <c r="C4218" s="4">
        <v>0.09</v>
      </c>
      <c r="D4218" s="4">
        <v>7.0000000000000007E-2</v>
      </c>
      <c r="E4218" s="4">
        <v>-2.411441408029831E-2</v>
      </c>
      <c r="F4218" s="3">
        <v>4216</v>
      </c>
      <c r="G4218" s="3">
        <v>4</v>
      </c>
      <c r="H4218" s="5">
        <v>22283299034.790001</v>
      </c>
      <c r="I4218" s="5">
        <v>20888295034.790001</v>
      </c>
      <c r="J4218" s="5">
        <v>0</v>
      </c>
      <c r="K4218" s="5">
        <v>1395004000</v>
      </c>
      <c r="L4218" s="5">
        <v>1725949000</v>
      </c>
      <c r="M4218" s="5">
        <v>925299000</v>
      </c>
      <c r="N4218" s="5">
        <v>501507000</v>
      </c>
    </row>
    <row r="4219" spans="1:14" x14ac:dyDescent="0.25">
      <c r="A4219" s="3" t="s">
        <v>4230</v>
      </c>
      <c r="B4219" s="4">
        <v>21.45</v>
      </c>
      <c r="C4219" s="4">
        <v>-0.15</v>
      </c>
      <c r="D4219" s="4">
        <v>-7.0000000000000007E-2</v>
      </c>
      <c r="E4219" s="4">
        <v>-2.414167598265771E-2</v>
      </c>
      <c r="F4219" s="3">
        <v>4217</v>
      </c>
      <c r="G4219" s="3">
        <v>4</v>
      </c>
      <c r="H4219" s="5">
        <v>9202.7918000000009</v>
      </c>
      <c r="I4219" s="5">
        <v>-4809627.2082000002</v>
      </c>
      <c r="J4219" s="5">
        <v>0</v>
      </c>
      <c r="K4219" s="5">
        <v>4818830</v>
      </c>
      <c r="L4219" s="5">
        <v>0</v>
      </c>
      <c r="M4219" s="5">
        <v>-224220</v>
      </c>
      <c r="N4219" s="5">
        <v>-1202420</v>
      </c>
    </row>
    <row r="4220" spans="1:14" x14ac:dyDescent="0.25">
      <c r="A4220" s="3" t="s">
        <v>4231</v>
      </c>
      <c r="B4220" s="4">
        <v>23.82</v>
      </c>
      <c r="C4220" s="4">
        <v>0.34</v>
      </c>
      <c r="D4220" s="4">
        <v>0.19</v>
      </c>
      <c r="E4220" s="4">
        <v>-2.4142576298141469E-2</v>
      </c>
      <c r="F4220" s="3">
        <v>4218</v>
      </c>
      <c r="G4220" s="3">
        <v>4</v>
      </c>
      <c r="H4220" s="5">
        <v>2678714247.5250001</v>
      </c>
      <c r="I4220" s="5">
        <v>2707579247.5250001</v>
      </c>
      <c r="J4220" s="5">
        <v>86995000</v>
      </c>
      <c r="K4220" s="5">
        <v>58130000</v>
      </c>
      <c r="L4220" s="5">
        <v>619985000</v>
      </c>
      <c r="M4220" s="5">
        <v>113672000</v>
      </c>
      <c r="N4220" s="5">
        <v>90994000</v>
      </c>
    </row>
    <row r="4221" spans="1:14" x14ac:dyDescent="0.25">
      <c r="A4221" s="3" t="s">
        <v>4232</v>
      </c>
      <c r="B4221" s="4">
        <v>23.92</v>
      </c>
      <c r="C4221" s="4">
        <v>0.36</v>
      </c>
      <c r="D4221" s="4">
        <v>0.18</v>
      </c>
      <c r="E4221" s="4">
        <v>-2.4148610167660841E-2</v>
      </c>
      <c r="F4221" s="3">
        <v>4219</v>
      </c>
      <c r="G4221" s="3">
        <v>4</v>
      </c>
      <c r="H4221" s="5">
        <v>8133976401.8400002</v>
      </c>
      <c r="I4221" s="5">
        <v>8043438401.8400002</v>
      </c>
      <c r="J4221" s="5">
        <v>10294000</v>
      </c>
      <c r="K4221" s="5">
        <v>100832000</v>
      </c>
      <c r="L4221" s="5">
        <v>2884358000</v>
      </c>
      <c r="M4221" s="5">
        <v>336295000</v>
      </c>
      <c r="N4221" s="5">
        <v>219116000</v>
      </c>
    </row>
    <row r="4222" spans="1:14" x14ac:dyDescent="0.25">
      <c r="A4222" s="3" t="s">
        <v>4233</v>
      </c>
      <c r="B4222" s="4">
        <v>22.04</v>
      </c>
      <c r="C4222" s="4">
        <v>-0.03</v>
      </c>
      <c r="D4222" s="4">
        <v>-0.02</v>
      </c>
      <c r="E4222" s="4">
        <v>-2.4150470701724259E-2</v>
      </c>
      <c r="F4222" s="3">
        <v>4220</v>
      </c>
      <c r="G4222" s="3">
        <v>4</v>
      </c>
      <c r="H4222" s="5">
        <v>105918000000</v>
      </c>
      <c r="I4222" s="5">
        <v>101466400000</v>
      </c>
      <c r="J4222" s="5">
        <v>118000000</v>
      </c>
      <c r="K4222" s="5">
        <v>4569600000</v>
      </c>
      <c r="L4222" s="5">
        <v>11020100000</v>
      </c>
      <c r="M4222" s="5">
        <v>4602700000</v>
      </c>
      <c r="N4222" s="5">
        <v>-535600000</v>
      </c>
    </row>
    <row r="4223" spans="1:14" x14ac:dyDescent="0.25">
      <c r="A4223" s="3" t="s">
        <v>4234</v>
      </c>
      <c r="B4223" s="4">
        <v>23.42</v>
      </c>
      <c r="C4223" s="4">
        <v>0.22</v>
      </c>
      <c r="D4223" s="4">
        <v>0.11</v>
      </c>
      <c r="E4223" s="4">
        <v>-2.4257163567051921E-2</v>
      </c>
      <c r="F4223" s="3">
        <v>4221</v>
      </c>
      <c r="G4223" s="3">
        <v>4</v>
      </c>
      <c r="H4223" s="5">
        <v>41609357670.790001</v>
      </c>
      <c r="I4223" s="5">
        <v>43670357670.790001</v>
      </c>
      <c r="J4223" s="5">
        <v>3390000000</v>
      </c>
      <c r="K4223" s="5">
        <v>1329000000</v>
      </c>
      <c r="L4223" s="5">
        <v>6510000000</v>
      </c>
      <c r="M4223" s="5">
        <v>1865000000</v>
      </c>
      <c r="N4223" s="5">
        <v>1289000000</v>
      </c>
    </row>
    <row r="4224" spans="1:14" x14ac:dyDescent="0.25">
      <c r="A4224" s="3" t="s">
        <v>4235</v>
      </c>
      <c r="B4224" s="4">
        <v>11.94</v>
      </c>
      <c r="C4224" s="4">
        <v>-2.2400000000000002</v>
      </c>
      <c r="D4224" s="4">
        <v>0.04</v>
      </c>
      <c r="E4224" s="4">
        <v>-2.4273285938406209E-2</v>
      </c>
      <c r="F4224" s="3">
        <v>4222</v>
      </c>
      <c r="G4224" s="3">
        <v>4</v>
      </c>
      <c r="H4224" s="5">
        <v>13016821915.889999</v>
      </c>
      <c r="I4224" s="5">
        <v>22861510915.889999</v>
      </c>
      <c r="J4224" s="5">
        <v>10631693000</v>
      </c>
      <c r="K4224" s="5">
        <v>787004000</v>
      </c>
      <c r="L4224" s="5">
        <v>7127961000</v>
      </c>
      <c r="M4224" s="5">
        <v>1915326000</v>
      </c>
      <c r="N4224" s="5">
        <v>501078000</v>
      </c>
    </row>
    <row r="4225" spans="1:14" x14ac:dyDescent="0.25">
      <c r="A4225" s="3" t="s">
        <v>4236</v>
      </c>
      <c r="B4225" s="4">
        <v>-0.47</v>
      </c>
      <c r="C4225" s="4">
        <v>-4.8499999999999996</v>
      </c>
      <c r="D4225" s="4">
        <v>-0.71</v>
      </c>
      <c r="E4225" s="4">
        <v>-2.4278390092419579E-2</v>
      </c>
      <c r="F4225" s="3">
        <v>4223</v>
      </c>
      <c r="G4225" s="3">
        <v>4</v>
      </c>
      <c r="H4225" s="5">
        <v>3021522.11</v>
      </c>
      <c r="I4225" s="5">
        <v>6649522.1099999994</v>
      </c>
      <c r="J4225" s="5">
        <v>5971000</v>
      </c>
      <c r="K4225" s="5">
        <v>2343000</v>
      </c>
      <c r="L4225" s="5">
        <v>0</v>
      </c>
      <c r="M4225" s="5">
        <v>-14033000</v>
      </c>
      <c r="N4225" s="5">
        <v>-31092000</v>
      </c>
    </row>
    <row r="4226" spans="1:14" x14ac:dyDescent="0.25">
      <c r="A4226" s="3" t="s">
        <v>4237</v>
      </c>
      <c r="B4226" s="4">
        <v>24.22</v>
      </c>
      <c r="C4226" s="4">
        <v>0.38</v>
      </c>
      <c r="D4226" s="4">
        <v>0.1</v>
      </c>
      <c r="E4226" s="4">
        <v>-2.4291931337164289E-2</v>
      </c>
      <c r="F4226" s="3">
        <v>4224</v>
      </c>
      <c r="G4226" s="3">
        <v>4</v>
      </c>
      <c r="H4226" s="5">
        <v>191104280</v>
      </c>
      <c r="I4226" s="5">
        <v>184011280</v>
      </c>
      <c r="J4226" s="5">
        <v>0</v>
      </c>
      <c r="K4226" s="5">
        <v>7093000</v>
      </c>
      <c r="L4226" s="5">
        <v>39342000</v>
      </c>
      <c r="M4226" s="5">
        <v>7597000</v>
      </c>
      <c r="N4226" s="5">
        <v>6936000</v>
      </c>
    </row>
    <row r="4227" spans="1:14" x14ac:dyDescent="0.25">
      <c r="A4227" s="3" t="s">
        <v>4238</v>
      </c>
      <c r="B4227" s="4">
        <v>22.57</v>
      </c>
      <c r="C4227" s="4">
        <v>0.03</v>
      </c>
      <c r="D4227" s="4">
        <v>0.01</v>
      </c>
      <c r="E4227" s="4">
        <v>-2.4299349881850101E-2</v>
      </c>
      <c r="F4227" s="3">
        <v>4225</v>
      </c>
      <c r="G4227" s="3">
        <v>4</v>
      </c>
      <c r="H4227" s="5">
        <v>99266678.159999996</v>
      </c>
      <c r="I4227" s="5">
        <v>288961678.16000003</v>
      </c>
      <c r="J4227" s="5">
        <v>189695000</v>
      </c>
      <c r="K4227" s="5">
        <v>0</v>
      </c>
      <c r="L4227" s="5">
        <v>39323000</v>
      </c>
      <c r="M4227" s="5">
        <v>12801000</v>
      </c>
      <c r="N4227" s="5">
        <v>3553000</v>
      </c>
    </row>
    <row r="4228" spans="1:14" x14ac:dyDescent="0.25">
      <c r="A4228" s="3" t="s">
        <v>4239</v>
      </c>
      <c r="B4228" s="4">
        <v>24.88</v>
      </c>
      <c r="C4228" s="4">
        <v>0.49</v>
      </c>
      <c r="D4228" s="4">
        <v>0.47</v>
      </c>
      <c r="E4228" s="4">
        <v>-2.4311215252644649E-2</v>
      </c>
      <c r="F4228" s="3">
        <v>4226</v>
      </c>
      <c r="G4228" s="3">
        <v>4</v>
      </c>
      <c r="H4228" s="5">
        <v>26095217.460000001</v>
      </c>
      <c r="I4228" s="5">
        <v>20669287.460000001</v>
      </c>
      <c r="J4228" s="5">
        <v>0</v>
      </c>
      <c r="K4228" s="5">
        <v>5425930</v>
      </c>
      <c r="L4228" s="5">
        <v>2907260</v>
      </c>
      <c r="M4228" s="5">
        <v>830610</v>
      </c>
      <c r="N4228" s="5">
        <v>6570330</v>
      </c>
    </row>
    <row r="4229" spans="1:14" x14ac:dyDescent="0.25">
      <c r="A4229" s="3" t="s">
        <v>4240</v>
      </c>
      <c r="B4229" s="4">
        <v>-2.77</v>
      </c>
      <c r="C4229" s="4">
        <v>-5.3</v>
      </c>
      <c r="D4229" s="4">
        <v>-1.57</v>
      </c>
      <c r="E4229" s="4">
        <v>-2.432098138340787E-2</v>
      </c>
      <c r="F4229" s="3">
        <v>4227</v>
      </c>
      <c r="G4229" s="3">
        <v>4</v>
      </c>
      <c r="H4229" s="5">
        <v>98381982.030000001</v>
      </c>
      <c r="I4229" s="5">
        <v>95815982.030000001</v>
      </c>
      <c r="J4229" s="5">
        <v>1064000</v>
      </c>
      <c r="K4229" s="5">
        <v>3630000</v>
      </c>
      <c r="L4229" s="5">
        <v>0</v>
      </c>
      <c r="M4229" s="5">
        <v>-34558000</v>
      </c>
      <c r="N4229" s="5">
        <v>-31710000</v>
      </c>
    </row>
    <row r="4230" spans="1:14" x14ac:dyDescent="0.25">
      <c r="A4230" s="3" t="s">
        <v>4241</v>
      </c>
      <c r="B4230" s="4">
        <v>23.06</v>
      </c>
      <c r="C4230" s="4">
        <v>0.12</v>
      </c>
      <c r="D4230" s="4">
        <v>0.06</v>
      </c>
      <c r="E4230" s="4">
        <v>-2.4332933364989241E-2</v>
      </c>
      <c r="F4230" s="3">
        <v>4228</v>
      </c>
      <c r="G4230" s="3">
        <v>4</v>
      </c>
      <c r="H4230" s="5">
        <v>150521880000</v>
      </c>
      <c r="I4230" s="5">
        <v>160253880000</v>
      </c>
      <c r="J4230" s="5">
        <v>11398000000</v>
      </c>
      <c r="K4230" s="5">
        <v>1666000000</v>
      </c>
      <c r="L4230" s="5">
        <v>14208000000</v>
      </c>
      <c r="M4230" s="5">
        <v>6950000000</v>
      </c>
      <c r="N4230" s="5">
        <v>3852000000</v>
      </c>
    </row>
    <row r="4231" spans="1:14" x14ac:dyDescent="0.25">
      <c r="A4231" s="3" t="s">
        <v>4242</v>
      </c>
      <c r="B4231" s="4">
        <v>22.99</v>
      </c>
      <c r="C4231" s="4">
        <v>0.1</v>
      </c>
      <c r="D4231" s="4">
        <v>0.1</v>
      </c>
      <c r="E4231" s="4">
        <v>-2.4339680032828589E-2</v>
      </c>
      <c r="F4231" s="3">
        <v>4229</v>
      </c>
      <c r="G4231" s="3">
        <v>4</v>
      </c>
      <c r="H4231" s="5">
        <v>6652724934.7200003</v>
      </c>
      <c r="I4231" s="5">
        <v>6439779934.7200003</v>
      </c>
      <c r="J4231" s="5">
        <v>0</v>
      </c>
      <c r="K4231" s="5">
        <v>212945000</v>
      </c>
      <c r="L4231" s="5">
        <v>987321000</v>
      </c>
      <c r="M4231" s="5">
        <v>280168000</v>
      </c>
      <c r="N4231" s="5">
        <v>201670000</v>
      </c>
    </row>
    <row r="4232" spans="1:14" x14ac:dyDescent="0.25">
      <c r="A4232" s="3" t="s">
        <v>4243</v>
      </c>
      <c r="B4232" s="4">
        <v>8.91</v>
      </c>
      <c r="C4232" s="4">
        <v>-2.91</v>
      </c>
      <c r="D4232" s="4">
        <v>-0.11</v>
      </c>
      <c r="E4232" s="4">
        <v>-2.4362763680823019E-2</v>
      </c>
      <c r="F4232" s="3">
        <v>4230</v>
      </c>
      <c r="G4232" s="3">
        <v>4</v>
      </c>
      <c r="H4232" s="5">
        <v>3551800000</v>
      </c>
      <c r="I4232" s="5">
        <v>7368800000</v>
      </c>
      <c r="J4232" s="5">
        <v>4080800000</v>
      </c>
      <c r="K4232" s="5">
        <v>263800000</v>
      </c>
      <c r="L4232" s="5">
        <v>3972600000</v>
      </c>
      <c r="M4232" s="5">
        <v>826600000</v>
      </c>
      <c r="N4232" s="5">
        <v>-722700000</v>
      </c>
    </row>
    <row r="4233" spans="1:14" x14ac:dyDescent="0.25">
      <c r="A4233" s="3" t="s">
        <v>4244</v>
      </c>
      <c r="B4233" s="4">
        <v>22.64</v>
      </c>
      <c r="C4233" s="4">
        <v>0.02</v>
      </c>
      <c r="D4233" s="4">
        <v>0.01</v>
      </c>
      <c r="E4233" s="4">
        <v>-2.4371567928744089E-2</v>
      </c>
      <c r="F4233" s="3">
        <v>4231</v>
      </c>
      <c r="G4233" s="3">
        <v>4</v>
      </c>
      <c r="H4233" s="5">
        <v>424517555.69999999</v>
      </c>
      <c r="I4233" s="5">
        <v>477362555.69999999</v>
      </c>
      <c r="J4233" s="5">
        <v>146301000</v>
      </c>
      <c r="K4233" s="5">
        <v>93456000</v>
      </c>
      <c r="L4233" s="5">
        <v>172083000</v>
      </c>
      <c r="M4233" s="5">
        <v>21084000</v>
      </c>
      <c r="N4233" s="5">
        <v>3278000</v>
      </c>
    </row>
    <row r="4234" spans="1:14" x14ac:dyDescent="0.25">
      <c r="A4234" s="3" t="s">
        <v>4245</v>
      </c>
      <c r="B4234" s="4">
        <v>-0.62</v>
      </c>
      <c r="C4234" s="4">
        <v>-4.91</v>
      </c>
      <c r="D4234" s="4">
        <v>-1.02</v>
      </c>
      <c r="E4234" s="4">
        <v>-2.4418713472952842E-2</v>
      </c>
      <c r="F4234" s="3">
        <v>4232</v>
      </c>
      <c r="G4234" s="3">
        <v>4</v>
      </c>
      <c r="H4234" s="5">
        <v>3859812.4049999998</v>
      </c>
      <c r="I4234" s="5">
        <v>13064812.404999999</v>
      </c>
      <c r="J4234" s="5">
        <v>11319000</v>
      </c>
      <c r="K4234" s="5">
        <v>2114000</v>
      </c>
      <c r="L4234" s="5">
        <v>5380000</v>
      </c>
      <c r="M4234" s="5">
        <v>-21162000</v>
      </c>
      <c r="N4234" s="5">
        <v>-34934000</v>
      </c>
    </row>
    <row r="4235" spans="1:14" x14ac:dyDescent="0.25">
      <c r="A4235" s="3" t="s">
        <v>4246</v>
      </c>
      <c r="B4235" s="4">
        <v>24.13</v>
      </c>
      <c r="C4235" s="4">
        <v>0.31</v>
      </c>
      <c r="D4235" s="4">
        <v>0.16</v>
      </c>
      <c r="E4235" s="4">
        <v>-2.4426909575526758E-2</v>
      </c>
      <c r="F4235" s="3">
        <v>4233</v>
      </c>
      <c r="G4235" s="3">
        <v>4</v>
      </c>
      <c r="H4235" s="5">
        <v>4776369241.96</v>
      </c>
      <c r="I4235" s="5">
        <v>4461038241.96</v>
      </c>
      <c r="J4235" s="5">
        <v>0</v>
      </c>
      <c r="K4235" s="5">
        <v>315331000</v>
      </c>
      <c r="L4235" s="5">
        <v>1012356000</v>
      </c>
      <c r="M4235" s="5">
        <v>184873000</v>
      </c>
      <c r="N4235" s="5">
        <v>149848000</v>
      </c>
    </row>
    <row r="4236" spans="1:14" x14ac:dyDescent="0.25">
      <c r="A4236" s="3" t="s">
        <v>4247</v>
      </c>
      <c r="B4236" s="4">
        <v>23.86</v>
      </c>
      <c r="C4236" s="4">
        <v>0.25</v>
      </c>
      <c r="D4236" s="4">
        <v>0.1</v>
      </c>
      <c r="E4236" s="4">
        <v>-2.444473682325745E-2</v>
      </c>
      <c r="F4236" s="3">
        <v>4234</v>
      </c>
      <c r="G4236" s="3">
        <v>4</v>
      </c>
      <c r="H4236" s="5">
        <v>4161778821.7199998</v>
      </c>
      <c r="I4236" s="5">
        <v>3740606821.7199998</v>
      </c>
      <c r="J4236" s="5">
        <v>4000000</v>
      </c>
      <c r="K4236" s="5">
        <v>425172000</v>
      </c>
      <c r="L4236" s="5">
        <v>745974000</v>
      </c>
      <c r="M4236" s="5">
        <v>156764000</v>
      </c>
      <c r="N4236" s="5">
        <v>120416000</v>
      </c>
    </row>
    <row r="4237" spans="1:14" x14ac:dyDescent="0.25">
      <c r="A4237" s="3" t="s">
        <v>4248</v>
      </c>
      <c r="B4237" s="4">
        <v>0.08</v>
      </c>
      <c r="C4237" s="4">
        <v>-4.63</v>
      </c>
      <c r="D4237" s="4">
        <v>-3.11</v>
      </c>
      <c r="E4237" s="4">
        <v>-2.4446103430042158E-2</v>
      </c>
      <c r="F4237" s="3">
        <v>4235</v>
      </c>
      <c r="G4237" s="3">
        <v>4</v>
      </c>
      <c r="H4237" s="5">
        <v>8290.6167999999998</v>
      </c>
      <c r="I4237" s="5">
        <v>-152919.38320000001</v>
      </c>
      <c r="J4237" s="5">
        <v>0</v>
      </c>
      <c r="K4237" s="5">
        <v>161210</v>
      </c>
      <c r="L4237" s="5">
        <v>581800</v>
      </c>
      <c r="M4237" s="5">
        <v>-1817250</v>
      </c>
      <c r="N4237" s="5">
        <v>-3921670</v>
      </c>
    </row>
    <row r="4238" spans="1:14" x14ac:dyDescent="0.25">
      <c r="A4238" s="3" t="s">
        <v>4249</v>
      </c>
      <c r="B4238" s="4">
        <v>23.32</v>
      </c>
      <c r="C4238" s="4">
        <v>0.13</v>
      </c>
      <c r="D4238" s="4">
        <v>0.1</v>
      </c>
      <c r="E4238" s="4">
        <v>-2.445724299978877E-2</v>
      </c>
      <c r="F4238" s="3">
        <v>4236</v>
      </c>
      <c r="G4238" s="3">
        <v>4</v>
      </c>
      <c r="H4238" s="5">
        <v>2267420953.4400001</v>
      </c>
      <c r="I4238" s="5">
        <v>2308538953.4400001</v>
      </c>
      <c r="J4238" s="5">
        <v>98557000</v>
      </c>
      <c r="K4238" s="5">
        <v>57439000</v>
      </c>
      <c r="L4238" s="5">
        <v>895019000</v>
      </c>
      <c r="M4238" s="5">
        <v>99007000</v>
      </c>
      <c r="N4238" s="5">
        <v>72864000</v>
      </c>
    </row>
    <row r="4239" spans="1:14" x14ac:dyDescent="0.25">
      <c r="A4239" s="3" t="s">
        <v>4250</v>
      </c>
      <c r="B4239" s="4">
        <v>22.58</v>
      </c>
      <c r="C4239" s="4">
        <v>-0.03</v>
      </c>
      <c r="D4239" s="4">
        <v>-0.03</v>
      </c>
      <c r="E4239" s="4">
        <v>-2.4486616835943938E-2</v>
      </c>
      <c r="F4239" s="3">
        <v>4237</v>
      </c>
      <c r="G4239" s="3">
        <v>4</v>
      </c>
      <c r="H4239" s="5">
        <v>13508877</v>
      </c>
      <c r="I4239" s="5">
        <v>-223975123</v>
      </c>
      <c r="J4239" s="5">
        <v>0</v>
      </c>
      <c r="K4239" s="5">
        <v>237484000</v>
      </c>
      <c r="L4239" s="5">
        <v>231424000</v>
      </c>
      <c r="M4239" s="5">
        <v>-9919000</v>
      </c>
      <c r="N4239" s="5">
        <v>-13605000</v>
      </c>
    </row>
    <row r="4240" spans="1:14" x14ac:dyDescent="0.25">
      <c r="A4240" s="3" t="s">
        <v>4251</v>
      </c>
      <c r="B4240" s="4">
        <v>24.51</v>
      </c>
      <c r="C4240" s="4">
        <v>0.36</v>
      </c>
      <c r="D4240" s="4">
        <v>0.18</v>
      </c>
      <c r="E4240" s="4">
        <v>-2.451377330378841E-2</v>
      </c>
      <c r="F4240" s="3">
        <v>4238</v>
      </c>
      <c r="G4240" s="3">
        <v>4</v>
      </c>
      <c r="H4240" s="5">
        <v>5274690798.2700005</v>
      </c>
      <c r="I4240" s="5">
        <v>5042508798.2700005</v>
      </c>
      <c r="J4240" s="5">
        <v>0</v>
      </c>
      <c r="K4240" s="5">
        <v>232182000</v>
      </c>
      <c r="L4240" s="5">
        <v>607571000</v>
      </c>
      <c r="M4240" s="5">
        <v>205709000</v>
      </c>
      <c r="N4240" s="5">
        <v>173680000</v>
      </c>
    </row>
    <row r="4241" spans="1:14" x14ac:dyDescent="0.25">
      <c r="A4241" s="3" t="s">
        <v>4252</v>
      </c>
      <c r="B4241" s="4">
        <v>23.99</v>
      </c>
      <c r="C4241" s="4">
        <v>0.25</v>
      </c>
      <c r="D4241" s="4">
        <v>0.09</v>
      </c>
      <c r="E4241" s="4">
        <v>-2.4527125523896961E-2</v>
      </c>
      <c r="F4241" s="3">
        <v>4239</v>
      </c>
      <c r="G4241" s="3">
        <v>4</v>
      </c>
      <c r="H4241" s="5">
        <v>79089024278.399994</v>
      </c>
      <c r="I4241" s="5">
        <v>88590024278.399994</v>
      </c>
      <c r="J4241" s="5">
        <v>9880000000</v>
      </c>
      <c r="K4241" s="5">
        <v>379000000</v>
      </c>
      <c r="L4241" s="5">
        <v>23596000000</v>
      </c>
      <c r="M4241" s="5">
        <v>3693000000</v>
      </c>
      <c r="N4241" s="5">
        <v>3291000000</v>
      </c>
    </row>
    <row r="4242" spans="1:14" x14ac:dyDescent="0.25">
      <c r="A4242" s="3" t="s">
        <v>4253</v>
      </c>
      <c r="B4242" s="4">
        <v>23.41</v>
      </c>
      <c r="C4242" s="4">
        <v>0.12</v>
      </c>
      <c r="D4242" s="4">
        <v>0.05</v>
      </c>
      <c r="E4242" s="4">
        <v>-2.4551484590964449E-2</v>
      </c>
      <c r="F4242" s="3">
        <v>4240</v>
      </c>
      <c r="G4242" s="3">
        <v>4</v>
      </c>
      <c r="H4242" s="5">
        <v>23571905125.16</v>
      </c>
      <c r="I4242" s="5">
        <v>30255305125.16</v>
      </c>
      <c r="J4242" s="5">
        <v>7612426000</v>
      </c>
      <c r="K4242" s="5">
        <v>929026000</v>
      </c>
      <c r="L4242" s="5">
        <v>2263576000</v>
      </c>
      <c r="M4242" s="5">
        <v>1292444000</v>
      </c>
      <c r="N4242" s="5">
        <v>858983000</v>
      </c>
    </row>
    <row r="4243" spans="1:14" x14ac:dyDescent="0.25">
      <c r="A4243" s="3" t="s">
        <v>4254</v>
      </c>
      <c r="B4243" s="4">
        <v>-4</v>
      </c>
      <c r="C4243" s="4">
        <v>-5.7</v>
      </c>
      <c r="D4243" s="4">
        <v>-1.02</v>
      </c>
      <c r="E4243" s="4">
        <v>-2.4609356901482849E-2</v>
      </c>
      <c r="F4243" s="3">
        <v>4241</v>
      </c>
      <c r="G4243" s="3">
        <v>4</v>
      </c>
      <c r="H4243" s="5">
        <v>25327045.079</v>
      </c>
      <c r="I4243" s="5">
        <v>27498855.079</v>
      </c>
      <c r="J4243" s="5">
        <v>2947060</v>
      </c>
      <c r="K4243" s="5">
        <v>775250</v>
      </c>
      <c r="L4243" s="5">
        <v>8248110</v>
      </c>
      <c r="M4243" s="5">
        <v>-6874800</v>
      </c>
      <c r="N4243" s="5">
        <v>-7292920</v>
      </c>
    </row>
    <row r="4244" spans="1:14" x14ac:dyDescent="0.25">
      <c r="A4244" s="3" t="s">
        <v>4255</v>
      </c>
      <c r="B4244" s="4">
        <v>0.15</v>
      </c>
      <c r="C4244" s="4">
        <v>-4.83</v>
      </c>
      <c r="D4244" s="4">
        <v>-0.86</v>
      </c>
      <c r="E4244" s="4">
        <v>-2.4633269030272041E-2</v>
      </c>
      <c r="F4244" s="3">
        <v>4242</v>
      </c>
      <c r="G4244" s="3">
        <v>4</v>
      </c>
      <c r="H4244" s="5">
        <v>28235799.289999999</v>
      </c>
      <c r="I4244" s="5">
        <v>-11260200.710000001</v>
      </c>
      <c r="J4244" s="5">
        <v>32766000</v>
      </c>
      <c r="K4244" s="5">
        <v>72262000</v>
      </c>
      <c r="L4244" s="5">
        <v>183000</v>
      </c>
      <c r="M4244" s="5">
        <v>-75947000</v>
      </c>
      <c r="N4244" s="5">
        <v>-111754000</v>
      </c>
    </row>
    <row r="4245" spans="1:14" x14ac:dyDescent="0.25">
      <c r="A4245" s="3" t="s">
        <v>4256</v>
      </c>
      <c r="B4245" s="4">
        <v>23.88</v>
      </c>
      <c r="C4245" s="4">
        <v>0.16</v>
      </c>
      <c r="D4245" s="4">
        <v>0.06</v>
      </c>
      <c r="E4245" s="4">
        <v>-2.472487380409176E-2</v>
      </c>
      <c r="F4245" s="3">
        <v>4243</v>
      </c>
      <c r="G4245" s="3">
        <v>4</v>
      </c>
      <c r="H4245" s="5">
        <v>11001654035.190001</v>
      </c>
      <c r="I4245" s="5">
        <v>10682727035.190001</v>
      </c>
      <c r="J4245" s="5">
        <v>145671000</v>
      </c>
      <c r="K4245" s="5">
        <v>464598000</v>
      </c>
      <c r="L4245" s="5">
        <v>4260485000</v>
      </c>
      <c r="M4245" s="5">
        <v>447324000</v>
      </c>
      <c r="N4245" s="5">
        <v>297973000</v>
      </c>
    </row>
    <row r="4246" spans="1:14" x14ac:dyDescent="0.25">
      <c r="A4246" s="3" t="s">
        <v>4257</v>
      </c>
      <c r="B4246" s="4">
        <v>23.65</v>
      </c>
      <c r="C4246" s="4">
        <v>0.12</v>
      </c>
      <c r="D4246" s="4">
        <v>-0.12</v>
      </c>
      <c r="E4246" s="4">
        <v>-2.4732818979511909E-2</v>
      </c>
      <c r="F4246" s="3">
        <v>4244</v>
      </c>
      <c r="G4246" s="3">
        <v>4</v>
      </c>
      <c r="H4246" s="5">
        <v>1214.7492</v>
      </c>
      <c r="I4246" s="5">
        <v>1292764.7492</v>
      </c>
      <c r="J4246" s="5">
        <v>1445880</v>
      </c>
      <c r="K4246" s="5">
        <v>154330</v>
      </c>
      <c r="L4246" s="5">
        <v>1100820</v>
      </c>
      <c r="M4246" s="5">
        <v>54670</v>
      </c>
      <c r="N4246" s="5">
        <v>-119690</v>
      </c>
    </row>
    <row r="4247" spans="1:14" x14ac:dyDescent="0.25">
      <c r="A4247" s="3" t="s">
        <v>4258</v>
      </c>
      <c r="B4247" s="4">
        <v>13.82</v>
      </c>
      <c r="C4247" s="4">
        <v>-1.99</v>
      </c>
      <c r="D4247" s="4">
        <v>-0.11</v>
      </c>
      <c r="E4247" s="4">
        <v>-2.4743451832757911E-2</v>
      </c>
      <c r="F4247" s="3">
        <v>4245</v>
      </c>
      <c r="G4247" s="3">
        <v>4</v>
      </c>
      <c r="H4247" s="5">
        <v>2849960384.8200002</v>
      </c>
      <c r="I4247" s="5">
        <v>3857317384.8200002</v>
      </c>
      <c r="J4247" s="5">
        <v>1074985000</v>
      </c>
      <c r="K4247" s="5">
        <v>67628000</v>
      </c>
      <c r="L4247" s="5">
        <v>1155495000</v>
      </c>
      <c r="M4247" s="5">
        <v>279154000</v>
      </c>
      <c r="N4247" s="5">
        <v>-283172000</v>
      </c>
    </row>
    <row r="4248" spans="1:14" x14ac:dyDescent="0.25">
      <c r="A4248" s="3" t="s">
        <v>4259</v>
      </c>
      <c r="B4248" s="4">
        <v>19.440000000000001</v>
      </c>
      <c r="C4248" s="4">
        <v>-0.8</v>
      </c>
      <c r="D4248" s="4">
        <v>0.06</v>
      </c>
      <c r="E4248" s="4">
        <v>-2.4750652747977341E-2</v>
      </c>
      <c r="F4248" s="3">
        <v>4246</v>
      </c>
      <c r="G4248" s="3">
        <v>4</v>
      </c>
      <c r="H4248" s="5">
        <v>7724217085.1999998</v>
      </c>
      <c r="I4248" s="5">
        <v>9601686085.2000008</v>
      </c>
      <c r="J4248" s="5">
        <v>2170619000</v>
      </c>
      <c r="K4248" s="5">
        <v>293150000</v>
      </c>
      <c r="L4248" s="5">
        <v>1181654000</v>
      </c>
      <c r="M4248" s="5">
        <v>493869000</v>
      </c>
      <c r="N4248" s="5">
        <v>172042000</v>
      </c>
    </row>
    <row r="4249" spans="1:14" x14ac:dyDescent="0.25">
      <c r="A4249" s="3" t="s">
        <v>4260</v>
      </c>
      <c r="B4249" s="4">
        <v>0.24</v>
      </c>
      <c r="C4249" s="4">
        <v>-4.79</v>
      </c>
      <c r="D4249" s="4">
        <v>-1.78</v>
      </c>
      <c r="E4249" s="4">
        <v>-2.475086789861845E-2</v>
      </c>
      <c r="F4249" s="3">
        <v>4247</v>
      </c>
      <c r="G4249" s="3">
        <v>4</v>
      </c>
      <c r="H4249" s="5">
        <v>638.88760000000002</v>
      </c>
      <c r="I4249" s="5">
        <v>-2685361.1124</v>
      </c>
      <c r="J4249" s="5">
        <v>2272000</v>
      </c>
      <c r="K4249" s="5">
        <v>4958000</v>
      </c>
      <c r="L4249" s="5">
        <v>319000</v>
      </c>
      <c r="M4249" s="5">
        <v>-11230000</v>
      </c>
      <c r="N4249" s="5">
        <v>-12867000</v>
      </c>
    </row>
    <row r="4250" spans="1:14" x14ac:dyDescent="0.25">
      <c r="A4250" s="3" t="s">
        <v>4261</v>
      </c>
      <c r="B4250" s="4">
        <v>24.62</v>
      </c>
      <c r="C4250" s="4">
        <v>0.3</v>
      </c>
      <c r="D4250" s="4">
        <v>0.17</v>
      </c>
      <c r="E4250" s="4">
        <v>-2.4757145235120511E-2</v>
      </c>
      <c r="F4250" s="3">
        <v>4248</v>
      </c>
      <c r="G4250" s="3">
        <v>4</v>
      </c>
      <c r="H4250" s="5">
        <v>3872573091.5599999</v>
      </c>
      <c r="I4250" s="5">
        <v>3701989091.5599999</v>
      </c>
      <c r="J4250" s="5">
        <v>0</v>
      </c>
      <c r="K4250" s="5">
        <v>170584000</v>
      </c>
      <c r="L4250" s="5">
        <v>895589000</v>
      </c>
      <c r="M4250" s="5">
        <v>150360000</v>
      </c>
      <c r="N4250" s="5">
        <v>95165000</v>
      </c>
    </row>
    <row r="4251" spans="1:14" x14ac:dyDescent="0.25">
      <c r="A4251" s="3" t="s">
        <v>4262</v>
      </c>
      <c r="B4251" s="4">
        <v>23.46</v>
      </c>
      <c r="C4251" s="4">
        <v>0.06</v>
      </c>
      <c r="D4251" s="4">
        <v>0.03</v>
      </c>
      <c r="E4251" s="4">
        <v>-2.47596503146916E-2</v>
      </c>
      <c r="F4251" s="3">
        <v>4249</v>
      </c>
      <c r="G4251" s="3">
        <v>4</v>
      </c>
      <c r="H4251" s="5">
        <v>3485164.05</v>
      </c>
      <c r="I4251" s="5">
        <v>2945424.05</v>
      </c>
      <c r="J4251" s="5">
        <v>0</v>
      </c>
      <c r="K4251" s="5">
        <v>539740</v>
      </c>
      <c r="L4251" s="5">
        <v>5846050</v>
      </c>
      <c r="M4251" s="5">
        <v>125530</v>
      </c>
      <c r="N4251" s="5">
        <v>116120</v>
      </c>
    </row>
    <row r="4252" spans="1:14" x14ac:dyDescent="0.25">
      <c r="A4252" s="3" t="s">
        <v>4263</v>
      </c>
      <c r="B4252" s="4">
        <v>23.3</v>
      </c>
      <c r="C4252" s="4">
        <v>0.02</v>
      </c>
      <c r="D4252" s="4">
        <v>0.01</v>
      </c>
      <c r="E4252" s="4">
        <v>-2.4780055504751201E-2</v>
      </c>
      <c r="F4252" s="3">
        <v>4250</v>
      </c>
      <c r="G4252" s="3">
        <v>4</v>
      </c>
      <c r="H4252" s="5">
        <v>855950868.29999995</v>
      </c>
      <c r="I4252" s="5">
        <v>754872868.29999995</v>
      </c>
      <c r="J4252" s="5">
        <v>0</v>
      </c>
      <c r="K4252" s="5">
        <v>101078000</v>
      </c>
      <c r="L4252" s="5">
        <v>1093711000</v>
      </c>
      <c r="M4252" s="5">
        <v>32397000</v>
      </c>
      <c r="N4252" s="5">
        <v>4707000</v>
      </c>
    </row>
    <row r="4253" spans="1:14" x14ac:dyDescent="0.25">
      <c r="A4253" s="3" t="s">
        <v>4264</v>
      </c>
      <c r="B4253" s="4">
        <v>27.44</v>
      </c>
      <c r="C4253" s="4">
        <v>0.89</v>
      </c>
      <c r="D4253" s="4">
        <v>0.26</v>
      </c>
      <c r="E4253" s="4">
        <v>-2.4780417188645779E-2</v>
      </c>
      <c r="F4253" s="3">
        <v>4251</v>
      </c>
      <c r="G4253" s="3">
        <v>4</v>
      </c>
      <c r="H4253" s="5">
        <v>2254054556.25</v>
      </c>
      <c r="I4253" s="5">
        <v>2284860866.25</v>
      </c>
      <c r="J4253" s="5">
        <v>103991560</v>
      </c>
      <c r="K4253" s="5">
        <v>73185250</v>
      </c>
      <c r="L4253" s="5">
        <v>271127890</v>
      </c>
      <c r="M4253" s="5">
        <v>83258940</v>
      </c>
      <c r="N4253" s="5">
        <v>78522310</v>
      </c>
    </row>
    <row r="4254" spans="1:14" x14ac:dyDescent="0.25">
      <c r="A4254" s="3" t="s">
        <v>4265</v>
      </c>
      <c r="B4254" s="4">
        <v>23.81</v>
      </c>
      <c r="C4254" s="4">
        <v>0.12</v>
      </c>
      <c r="D4254" s="4">
        <v>0.09</v>
      </c>
      <c r="E4254" s="4">
        <v>-2.479133671253753E-2</v>
      </c>
      <c r="F4254" s="3">
        <v>4252</v>
      </c>
      <c r="G4254" s="3">
        <v>4</v>
      </c>
      <c r="H4254" s="5">
        <v>3356227249.1999998</v>
      </c>
      <c r="I4254" s="5">
        <v>3109545249.1999998</v>
      </c>
      <c r="J4254" s="5">
        <v>0</v>
      </c>
      <c r="K4254" s="5">
        <v>246682000</v>
      </c>
      <c r="L4254" s="5">
        <v>803552000</v>
      </c>
      <c r="M4254" s="5">
        <v>130605000</v>
      </c>
      <c r="N4254" s="5">
        <v>89249000</v>
      </c>
    </row>
    <row r="4255" spans="1:14" x14ac:dyDescent="0.25">
      <c r="A4255" s="3" t="s">
        <v>4266</v>
      </c>
      <c r="B4255" s="4">
        <v>24.23</v>
      </c>
      <c r="C4255" s="4">
        <v>0.2</v>
      </c>
      <c r="D4255" s="4">
        <v>0.11</v>
      </c>
      <c r="E4255" s="4">
        <v>-2.4816276442544111E-2</v>
      </c>
      <c r="F4255" s="3">
        <v>4253</v>
      </c>
      <c r="G4255" s="3">
        <v>4</v>
      </c>
      <c r="H4255" s="5">
        <v>15724314787.860001</v>
      </c>
      <c r="I4255" s="5">
        <v>16104214787.860001</v>
      </c>
      <c r="J4255" s="5">
        <v>695400000</v>
      </c>
      <c r="K4255" s="5">
        <v>315500000</v>
      </c>
      <c r="L4255" s="5">
        <v>2877100000</v>
      </c>
      <c r="M4255" s="5">
        <v>664600000</v>
      </c>
      <c r="N4255" s="5">
        <v>376000000</v>
      </c>
    </row>
    <row r="4256" spans="1:14" x14ac:dyDescent="0.25">
      <c r="A4256" s="3" t="s">
        <v>4267</v>
      </c>
      <c r="B4256" s="4">
        <v>23.67</v>
      </c>
      <c r="C4256" s="4">
        <v>0.08</v>
      </c>
      <c r="D4256" s="4">
        <v>0.05</v>
      </c>
      <c r="E4256" s="4">
        <v>-2.48279783671463E-2</v>
      </c>
      <c r="F4256" s="3">
        <v>4254</v>
      </c>
      <c r="G4256" s="3">
        <v>4</v>
      </c>
      <c r="H4256" s="5">
        <v>9513115686</v>
      </c>
      <c r="I4256" s="5">
        <v>9280115686</v>
      </c>
      <c r="J4256" s="5">
        <v>365000000</v>
      </c>
      <c r="K4256" s="5">
        <v>598000000</v>
      </c>
      <c r="L4256" s="5">
        <v>3234000000</v>
      </c>
      <c r="M4256" s="5">
        <v>392000000</v>
      </c>
      <c r="N4256" s="5">
        <v>213000000</v>
      </c>
    </row>
    <row r="4257" spans="1:14" x14ac:dyDescent="0.25">
      <c r="A4257" s="3" t="s">
        <v>4268</v>
      </c>
      <c r="B4257" s="4">
        <v>24.58</v>
      </c>
      <c r="C4257" s="4">
        <v>0.26</v>
      </c>
      <c r="D4257" s="4">
        <v>0.16</v>
      </c>
      <c r="E4257" s="4">
        <v>-2.4849891866967538E-2</v>
      </c>
      <c r="F4257" s="3">
        <v>4255</v>
      </c>
      <c r="G4257" s="3">
        <v>4</v>
      </c>
      <c r="H4257" s="5">
        <v>19173169823.009998</v>
      </c>
      <c r="I4257" s="5">
        <v>19824969823.009998</v>
      </c>
      <c r="J4257" s="5">
        <v>1390600000</v>
      </c>
      <c r="K4257" s="5">
        <v>738800000</v>
      </c>
      <c r="L4257" s="5">
        <v>3683300000</v>
      </c>
      <c r="M4257" s="5">
        <v>806700000</v>
      </c>
      <c r="N4257" s="5">
        <v>1504400000</v>
      </c>
    </row>
    <row r="4258" spans="1:14" x14ac:dyDescent="0.25">
      <c r="A4258" s="3" t="s">
        <v>4269</v>
      </c>
      <c r="B4258" s="4">
        <v>23.39</v>
      </c>
      <c r="C4258" s="4">
        <v>0.01</v>
      </c>
      <c r="D4258" s="4">
        <v>0</v>
      </c>
      <c r="E4258" s="4">
        <v>-2.486658098961687E-2</v>
      </c>
      <c r="F4258" s="3">
        <v>4256</v>
      </c>
      <c r="G4258" s="3">
        <v>4</v>
      </c>
      <c r="H4258" s="5">
        <v>35220567143.519997</v>
      </c>
      <c r="I4258" s="5">
        <v>47845268143.519997</v>
      </c>
      <c r="J4258" s="5">
        <v>13522551000</v>
      </c>
      <c r="K4258" s="5">
        <v>897850000</v>
      </c>
      <c r="L4258" s="5">
        <v>4924266000</v>
      </c>
      <c r="M4258" s="5">
        <v>2045977000</v>
      </c>
      <c r="N4258" s="5">
        <v>81153000</v>
      </c>
    </row>
    <row r="4259" spans="1:14" x14ac:dyDescent="0.25">
      <c r="A4259" s="3" t="s">
        <v>4270</v>
      </c>
      <c r="B4259" s="4">
        <v>24.07</v>
      </c>
      <c r="C4259" s="4">
        <v>0.15</v>
      </c>
      <c r="D4259" s="4">
        <v>7.0000000000000007E-2</v>
      </c>
      <c r="E4259" s="4">
        <v>-2.4869433292773181E-2</v>
      </c>
      <c r="F4259" s="3">
        <v>4257</v>
      </c>
      <c r="G4259" s="3">
        <v>4</v>
      </c>
      <c r="H4259" s="5">
        <v>136781466180.16</v>
      </c>
      <c r="I4259" s="5">
        <v>146726466180.16</v>
      </c>
      <c r="J4259" s="5">
        <v>13597000000</v>
      </c>
      <c r="K4259" s="5">
        <v>3652000000</v>
      </c>
      <c r="L4259" s="5">
        <v>22595000000</v>
      </c>
      <c r="M4259" s="5">
        <v>6096000000</v>
      </c>
      <c r="N4259" s="5">
        <v>2993000000</v>
      </c>
    </row>
    <row r="4260" spans="1:14" x14ac:dyDescent="0.25">
      <c r="A4260" s="3" t="s">
        <v>4271</v>
      </c>
      <c r="B4260" s="4">
        <v>21.68</v>
      </c>
      <c r="C4260" s="4">
        <v>-0.36</v>
      </c>
      <c r="D4260" s="4">
        <v>-0.02</v>
      </c>
      <c r="E4260" s="4">
        <v>-2.4881148328106579E-2</v>
      </c>
      <c r="F4260" s="3">
        <v>4258</v>
      </c>
      <c r="G4260" s="3">
        <v>4</v>
      </c>
      <c r="H4260" s="5">
        <v>923283375.38999999</v>
      </c>
      <c r="I4260" s="5">
        <v>4906037375.3900003</v>
      </c>
      <c r="J4260" s="5">
        <v>4404330000</v>
      </c>
      <c r="K4260" s="5">
        <v>421576000</v>
      </c>
      <c r="L4260" s="5">
        <v>1419665000</v>
      </c>
      <c r="M4260" s="5">
        <v>226257000</v>
      </c>
      <c r="N4260" s="5">
        <v>-98331000</v>
      </c>
    </row>
    <row r="4261" spans="1:14" x14ac:dyDescent="0.25">
      <c r="A4261" s="3" t="s">
        <v>4272</v>
      </c>
      <c r="B4261" s="4">
        <v>0.15</v>
      </c>
      <c r="C4261" s="4">
        <v>-4.8899999999999997</v>
      </c>
      <c r="D4261" s="4">
        <v>-1.33</v>
      </c>
      <c r="E4261" s="4">
        <v>-2.489729492150157E-2</v>
      </c>
      <c r="F4261" s="3">
        <v>4259</v>
      </c>
      <c r="G4261" s="3">
        <v>4</v>
      </c>
      <c r="H4261" s="5">
        <v>37881296.418799996</v>
      </c>
      <c r="I4261" s="5">
        <v>-11164703.5812</v>
      </c>
      <c r="J4261" s="5">
        <v>0</v>
      </c>
      <c r="K4261" s="5">
        <v>49046000</v>
      </c>
      <c r="L4261" s="5">
        <v>11000000</v>
      </c>
      <c r="M4261" s="5">
        <v>-73018000</v>
      </c>
      <c r="N4261" s="5">
        <v>-69776000</v>
      </c>
    </row>
    <row r="4262" spans="1:14" x14ac:dyDescent="0.25">
      <c r="A4262" s="3" t="s">
        <v>4273</v>
      </c>
      <c r="B4262" s="4">
        <v>23.28</v>
      </c>
      <c r="C4262" s="4">
        <v>-0.03</v>
      </c>
      <c r="D4262" s="4">
        <v>-0.02</v>
      </c>
      <c r="E4262" s="4">
        <v>-2.491793220816186E-2</v>
      </c>
      <c r="F4262" s="3">
        <v>4260</v>
      </c>
      <c r="G4262" s="3">
        <v>4</v>
      </c>
      <c r="H4262" s="5">
        <v>574216657.70000005</v>
      </c>
      <c r="I4262" s="5">
        <v>594070657.70000005</v>
      </c>
      <c r="J4262" s="5">
        <v>128523000</v>
      </c>
      <c r="K4262" s="5">
        <v>108669000</v>
      </c>
      <c r="L4262" s="5">
        <v>849040000</v>
      </c>
      <c r="M4262" s="5">
        <v>25517000</v>
      </c>
      <c r="N4262" s="5">
        <v>-20820000</v>
      </c>
    </row>
    <row r="4263" spans="1:14" x14ac:dyDescent="0.25">
      <c r="A4263" s="3" t="s">
        <v>4274</v>
      </c>
      <c r="B4263" s="4">
        <v>24.93</v>
      </c>
      <c r="C4263" s="4">
        <v>0.31</v>
      </c>
      <c r="D4263" s="4">
        <v>0.1</v>
      </c>
      <c r="E4263" s="4">
        <v>-2.4933620190758E-2</v>
      </c>
      <c r="F4263" s="3">
        <v>4261</v>
      </c>
      <c r="G4263" s="3">
        <v>4</v>
      </c>
      <c r="H4263" s="5">
        <v>4983549767.9099998</v>
      </c>
      <c r="I4263" s="5">
        <v>4571082767.9099998</v>
      </c>
      <c r="J4263" s="5">
        <v>0</v>
      </c>
      <c r="K4263" s="5">
        <v>412467000</v>
      </c>
      <c r="L4263" s="5">
        <v>1194545000</v>
      </c>
      <c r="M4263" s="5">
        <v>183389000</v>
      </c>
      <c r="N4263" s="5">
        <v>136020000</v>
      </c>
    </row>
    <row r="4264" spans="1:14" x14ac:dyDescent="0.25">
      <c r="A4264" s="3" t="s">
        <v>4275</v>
      </c>
      <c r="B4264" s="4">
        <v>-5.15</v>
      </c>
      <c r="C4264" s="4">
        <v>-6.11</v>
      </c>
      <c r="D4264" s="4">
        <v>-0.51</v>
      </c>
      <c r="E4264" s="4">
        <v>-2.4983855778458911E-2</v>
      </c>
      <c r="F4264" s="3">
        <v>4262</v>
      </c>
      <c r="G4264" s="3">
        <v>4</v>
      </c>
      <c r="H4264" s="5">
        <v>83093640</v>
      </c>
      <c r="I4264" s="5">
        <v>350014640</v>
      </c>
      <c r="J4264" s="5">
        <v>271698000</v>
      </c>
      <c r="K4264" s="5">
        <v>4777000</v>
      </c>
      <c r="L4264" s="5">
        <v>1847862000</v>
      </c>
      <c r="M4264" s="5">
        <v>-67986000</v>
      </c>
      <c r="N4264" s="5">
        <v>-340937000</v>
      </c>
    </row>
    <row r="4265" spans="1:14" x14ac:dyDescent="0.25">
      <c r="A4265" s="3" t="s">
        <v>4276</v>
      </c>
      <c r="B4265" s="4">
        <v>15.37</v>
      </c>
      <c r="C4265" s="4">
        <v>-1.75</v>
      </c>
      <c r="D4265" s="4">
        <v>0.01</v>
      </c>
      <c r="E4265" s="4">
        <v>-2.4986183828527849E-2</v>
      </c>
      <c r="F4265" s="3">
        <v>4263</v>
      </c>
      <c r="G4265" s="3">
        <v>4</v>
      </c>
      <c r="H4265" s="5">
        <v>51571421.630000003</v>
      </c>
      <c r="I4265" s="5">
        <v>271620801.63</v>
      </c>
      <c r="J4265" s="5">
        <v>227255830</v>
      </c>
      <c r="K4265" s="5">
        <v>7206450</v>
      </c>
      <c r="L4265" s="5">
        <v>83018960</v>
      </c>
      <c r="M4265" s="5">
        <v>17676180</v>
      </c>
      <c r="N4265" s="5">
        <v>1574610</v>
      </c>
    </row>
    <row r="4266" spans="1:14" x14ac:dyDescent="0.25">
      <c r="A4266" s="3" t="s">
        <v>4277</v>
      </c>
      <c r="B4266" s="4">
        <v>24.09</v>
      </c>
      <c r="C4266" s="4">
        <v>0.11</v>
      </c>
      <c r="D4266" s="4">
        <v>0.01</v>
      </c>
      <c r="E4266" s="4">
        <v>-2.50089602916902E-2</v>
      </c>
      <c r="F4266" s="3">
        <v>4264</v>
      </c>
      <c r="G4266" s="3">
        <v>4</v>
      </c>
      <c r="H4266" s="5">
        <v>257067644.66</v>
      </c>
      <c r="I4266" s="5">
        <v>2104665644.6600001</v>
      </c>
      <c r="J4266" s="5">
        <v>1876527000</v>
      </c>
      <c r="K4266" s="5">
        <v>28929000</v>
      </c>
      <c r="L4266" s="5">
        <v>122002000</v>
      </c>
      <c r="M4266" s="5">
        <v>87374000</v>
      </c>
      <c r="N4266" s="5">
        <v>21904000</v>
      </c>
    </row>
    <row r="4267" spans="1:14" x14ac:dyDescent="0.25">
      <c r="A4267" s="3" t="s">
        <v>4278</v>
      </c>
      <c r="B4267" s="4">
        <v>22.97</v>
      </c>
      <c r="C4267" s="4">
        <v>-0.13</v>
      </c>
      <c r="D4267" s="4">
        <v>-0.04</v>
      </c>
      <c r="E4267" s="4">
        <v>-2.5018860954852049E-2</v>
      </c>
      <c r="F4267" s="3">
        <v>4265</v>
      </c>
      <c r="G4267" s="3">
        <v>4</v>
      </c>
      <c r="H4267" s="5">
        <v>7412850</v>
      </c>
      <c r="I4267" s="5">
        <v>7577840</v>
      </c>
      <c r="J4267" s="5">
        <v>608110</v>
      </c>
      <c r="K4267" s="5">
        <v>443120</v>
      </c>
      <c r="L4267" s="5">
        <v>10478550</v>
      </c>
      <c r="M4267" s="5">
        <v>329880</v>
      </c>
      <c r="N4267" s="5">
        <v>-230520</v>
      </c>
    </row>
    <row r="4268" spans="1:14" x14ac:dyDescent="0.25">
      <c r="A4268" s="3" t="s">
        <v>4279</v>
      </c>
      <c r="B4268" s="4">
        <v>23.64</v>
      </c>
      <c r="C4268" s="4">
        <v>0.01</v>
      </c>
      <c r="D4268" s="4">
        <v>0.01</v>
      </c>
      <c r="E4268" s="4">
        <v>-2.5019382105466299E-2</v>
      </c>
      <c r="F4268" s="3">
        <v>4266</v>
      </c>
      <c r="G4268" s="3">
        <v>4</v>
      </c>
      <c r="H4268" s="5">
        <v>2419252035.1999998</v>
      </c>
      <c r="I4268" s="5">
        <v>1792843035.2</v>
      </c>
      <c r="J4268" s="5">
        <v>0</v>
      </c>
      <c r="K4268" s="5">
        <v>626409000</v>
      </c>
      <c r="L4268" s="5">
        <v>120881000</v>
      </c>
      <c r="M4268" s="5">
        <v>75839000</v>
      </c>
      <c r="N4268" s="5">
        <v>10262000</v>
      </c>
    </row>
    <row r="4269" spans="1:14" x14ac:dyDescent="0.25">
      <c r="A4269" s="3" t="s">
        <v>4280</v>
      </c>
      <c r="B4269" s="4">
        <v>-0.98</v>
      </c>
      <c r="C4269" s="4">
        <v>-5.21</v>
      </c>
      <c r="D4269" s="4">
        <v>-0.84</v>
      </c>
      <c r="E4269" s="4">
        <v>-2.5027987799896689E-2</v>
      </c>
      <c r="F4269" s="3">
        <v>4267</v>
      </c>
      <c r="G4269" s="3">
        <v>4</v>
      </c>
      <c r="H4269" s="5">
        <v>12228.5424</v>
      </c>
      <c r="I4269" s="5">
        <v>24021678.542399999</v>
      </c>
      <c r="J4269" s="5">
        <v>25037450</v>
      </c>
      <c r="K4269" s="5">
        <v>1028000</v>
      </c>
      <c r="L4269" s="5">
        <v>6243020</v>
      </c>
      <c r="M4269" s="5">
        <v>-24503000</v>
      </c>
      <c r="N4269" s="5">
        <v>-32807840</v>
      </c>
    </row>
    <row r="4270" spans="1:14" x14ac:dyDescent="0.25">
      <c r="A4270" s="3" t="s">
        <v>4281</v>
      </c>
      <c r="B4270" s="4">
        <v>24.3</v>
      </c>
      <c r="C4270" s="4">
        <v>0.14000000000000001</v>
      </c>
      <c r="D4270" s="4">
        <v>0.12</v>
      </c>
      <c r="E4270" s="4">
        <v>-2.5031033497932891E-2</v>
      </c>
      <c r="F4270" s="3">
        <v>4268</v>
      </c>
      <c r="G4270" s="3">
        <v>4</v>
      </c>
      <c r="H4270" s="5">
        <v>6975639741</v>
      </c>
      <c r="I4270" s="5">
        <v>6876659741</v>
      </c>
      <c r="J4270" s="5">
        <v>0</v>
      </c>
      <c r="K4270" s="5">
        <v>98980000</v>
      </c>
      <c r="L4270" s="5">
        <v>647684000</v>
      </c>
      <c r="M4270" s="5">
        <v>282943000</v>
      </c>
      <c r="N4270" s="5">
        <v>222079000</v>
      </c>
    </row>
    <row r="4271" spans="1:14" x14ac:dyDescent="0.25">
      <c r="A4271" s="3" t="s">
        <v>4282</v>
      </c>
      <c r="B4271" s="4">
        <v>24.12</v>
      </c>
      <c r="C4271" s="4">
        <v>0.1</v>
      </c>
      <c r="D4271" s="4">
        <v>0.06</v>
      </c>
      <c r="E4271" s="4">
        <v>-2.5046776382908371E-2</v>
      </c>
      <c r="F4271" s="3">
        <v>4269</v>
      </c>
      <c r="G4271" s="3">
        <v>4</v>
      </c>
      <c r="H4271" s="5">
        <v>8056268378.5200005</v>
      </c>
      <c r="I4271" s="5">
        <v>8353868378.5200005</v>
      </c>
      <c r="J4271" s="5">
        <v>495600000</v>
      </c>
      <c r="K4271" s="5">
        <v>198000000</v>
      </c>
      <c r="L4271" s="5">
        <v>1566500000</v>
      </c>
      <c r="M4271" s="5">
        <v>346400000</v>
      </c>
      <c r="N4271" s="5">
        <v>160200000</v>
      </c>
    </row>
    <row r="4272" spans="1:14" x14ac:dyDescent="0.25">
      <c r="A4272" s="3" t="s">
        <v>4283</v>
      </c>
      <c r="B4272" s="4">
        <v>-0.42</v>
      </c>
      <c r="C4272" s="4">
        <v>-4.95</v>
      </c>
      <c r="D4272" s="4">
        <v>-3.06</v>
      </c>
      <c r="E4272" s="4">
        <v>-2.5051593436763421E-2</v>
      </c>
      <c r="F4272" s="3">
        <v>4270</v>
      </c>
      <c r="G4272" s="3">
        <v>4</v>
      </c>
      <c r="H4272" s="5">
        <v>16031982.791999999</v>
      </c>
      <c r="I4272" s="5">
        <v>10525042.791999999</v>
      </c>
      <c r="J4272" s="5">
        <v>0</v>
      </c>
      <c r="K4272" s="5">
        <v>5506940</v>
      </c>
      <c r="L4272" s="5">
        <v>3954580</v>
      </c>
      <c r="M4272" s="5">
        <v>-25048910</v>
      </c>
      <c r="N4272" s="5">
        <v>-24992300</v>
      </c>
    </row>
    <row r="4273" spans="1:14" x14ac:dyDescent="0.25">
      <c r="A4273" s="3" t="s">
        <v>4284</v>
      </c>
      <c r="B4273" s="4">
        <v>22.1</v>
      </c>
      <c r="C4273" s="4">
        <v>-0.4</v>
      </c>
      <c r="D4273" s="4">
        <v>0.56000000000000005</v>
      </c>
      <c r="E4273" s="4">
        <v>-2.514478585394633E-2</v>
      </c>
      <c r="F4273" s="3">
        <v>4271</v>
      </c>
      <c r="G4273" s="3">
        <v>4</v>
      </c>
      <c r="H4273" s="5">
        <v>22621581000</v>
      </c>
      <c r="I4273" s="5">
        <v>24207181000</v>
      </c>
      <c r="J4273" s="5">
        <v>1792300000</v>
      </c>
      <c r="K4273" s="5">
        <v>206700000</v>
      </c>
      <c r="L4273" s="5">
        <v>1557400000</v>
      </c>
      <c r="M4273" s="5">
        <v>1095100000</v>
      </c>
      <c r="N4273" s="5">
        <v>785700000</v>
      </c>
    </row>
    <row r="4274" spans="1:14" x14ac:dyDescent="0.25">
      <c r="A4274" s="3" t="s">
        <v>4285</v>
      </c>
      <c r="B4274" s="4">
        <v>26.35</v>
      </c>
      <c r="C4274" s="4">
        <v>0.56000000000000005</v>
      </c>
      <c r="D4274" s="4">
        <v>-0.19</v>
      </c>
      <c r="E4274" s="4">
        <v>-2.5146088995129209E-2</v>
      </c>
      <c r="F4274" s="3">
        <v>4272</v>
      </c>
      <c r="G4274" s="3">
        <v>4</v>
      </c>
      <c r="H4274" s="5">
        <v>1521191384.48</v>
      </c>
      <c r="I4274" s="5">
        <v>2659999384.48</v>
      </c>
      <c r="J4274" s="5">
        <v>1190236000</v>
      </c>
      <c r="K4274" s="5">
        <v>51428000</v>
      </c>
      <c r="L4274" s="5">
        <v>491978000</v>
      </c>
      <c r="M4274" s="5">
        <v>100945000</v>
      </c>
      <c r="N4274" s="5">
        <v>-231864000</v>
      </c>
    </row>
    <row r="4275" spans="1:14" x14ac:dyDescent="0.25">
      <c r="A4275" s="3" t="s">
        <v>4286</v>
      </c>
      <c r="B4275" s="4">
        <v>21.97</v>
      </c>
      <c r="C4275" s="4">
        <v>-0.42</v>
      </c>
      <c r="D4275" s="4">
        <v>0.05</v>
      </c>
      <c r="E4275" s="4">
        <v>-2.5220493749366031E-2</v>
      </c>
      <c r="F4275" s="3">
        <v>4273</v>
      </c>
      <c r="G4275" s="3">
        <v>4</v>
      </c>
      <c r="H4275" s="5">
        <v>4170427783.3800001</v>
      </c>
      <c r="I4275" s="5">
        <v>5231995783.3800001</v>
      </c>
      <c r="J4275" s="5">
        <v>1490014000</v>
      </c>
      <c r="K4275" s="5">
        <v>428446000</v>
      </c>
      <c r="L4275" s="5">
        <v>780615000</v>
      </c>
      <c r="M4275" s="5">
        <v>238101000</v>
      </c>
      <c r="N4275" s="5">
        <v>84492000</v>
      </c>
    </row>
    <row r="4276" spans="1:14" x14ac:dyDescent="0.25">
      <c r="A4276" s="3" t="s">
        <v>4287</v>
      </c>
      <c r="B4276" s="4">
        <v>25.38</v>
      </c>
      <c r="C4276" s="4">
        <v>0.3</v>
      </c>
      <c r="D4276" s="4">
        <v>0.16</v>
      </c>
      <c r="E4276" s="4">
        <v>-2.5229453894675902E-2</v>
      </c>
      <c r="F4276" s="3">
        <v>4274</v>
      </c>
      <c r="G4276" s="3">
        <v>4</v>
      </c>
      <c r="H4276" s="5">
        <v>971505292.44000006</v>
      </c>
      <c r="I4276" s="5">
        <v>911187292.44000006</v>
      </c>
      <c r="J4276" s="5">
        <v>26223000</v>
      </c>
      <c r="K4276" s="5">
        <v>86541000</v>
      </c>
      <c r="L4276" s="5">
        <v>229923000</v>
      </c>
      <c r="M4276" s="5">
        <v>35908000</v>
      </c>
      <c r="N4276" s="5">
        <v>113341000</v>
      </c>
    </row>
    <row r="4277" spans="1:14" x14ac:dyDescent="0.25">
      <c r="A4277" s="3" t="s">
        <v>4288</v>
      </c>
      <c r="B4277" s="4">
        <v>22.73</v>
      </c>
      <c r="C4277" s="4">
        <v>-0.27</v>
      </c>
      <c r="D4277" s="4">
        <v>7.0000000000000007E-2</v>
      </c>
      <c r="E4277" s="4">
        <v>-2.5253611223972041E-2</v>
      </c>
      <c r="F4277" s="3">
        <v>4275</v>
      </c>
      <c r="G4277" s="3">
        <v>4</v>
      </c>
      <c r="H4277" s="5">
        <v>71356929398.350006</v>
      </c>
      <c r="I4277" s="5">
        <v>89975929398.350006</v>
      </c>
      <c r="J4277" s="5">
        <v>24880000000</v>
      </c>
      <c r="K4277" s="5">
        <v>6261000000</v>
      </c>
      <c r="L4277" s="5">
        <v>7940000000</v>
      </c>
      <c r="M4277" s="5">
        <v>3959000000</v>
      </c>
      <c r="N4277" s="5">
        <v>1714000000</v>
      </c>
    </row>
    <row r="4278" spans="1:14" x14ac:dyDescent="0.25">
      <c r="A4278" s="3" t="s">
        <v>4289</v>
      </c>
      <c r="B4278" s="4">
        <v>28.08</v>
      </c>
      <c r="C4278" s="4">
        <v>0.86</v>
      </c>
      <c r="D4278" s="4">
        <v>0.14000000000000001</v>
      </c>
      <c r="E4278" s="4">
        <v>-2.528635549323217E-2</v>
      </c>
      <c r="F4278" s="3">
        <v>4276</v>
      </c>
      <c r="G4278" s="3">
        <v>4</v>
      </c>
      <c r="H4278" s="5">
        <v>4225707812.2600002</v>
      </c>
      <c r="I4278" s="5">
        <v>4158815812.2600002</v>
      </c>
      <c r="J4278" s="5">
        <v>0</v>
      </c>
      <c r="K4278" s="5">
        <v>66892000</v>
      </c>
      <c r="L4278" s="5">
        <v>770488000</v>
      </c>
      <c r="M4278" s="5">
        <v>148094000</v>
      </c>
      <c r="N4278" s="5">
        <v>169676000</v>
      </c>
    </row>
    <row r="4279" spans="1:14" x14ac:dyDescent="0.25">
      <c r="A4279" s="3" t="s">
        <v>4290</v>
      </c>
      <c r="B4279" s="4">
        <v>25.72</v>
      </c>
      <c r="C4279" s="4">
        <v>0.34</v>
      </c>
      <c r="D4279" s="4">
        <v>0.13</v>
      </c>
      <c r="E4279" s="4">
        <v>-2.5330099540051221E-2</v>
      </c>
      <c r="F4279" s="3">
        <v>4277</v>
      </c>
      <c r="G4279" s="3">
        <v>4</v>
      </c>
      <c r="H4279" s="5">
        <v>96713683984.639999</v>
      </c>
      <c r="I4279" s="5">
        <v>99893883984.639999</v>
      </c>
      <c r="J4279" s="5">
        <v>4770300000</v>
      </c>
      <c r="K4279" s="5">
        <v>1590100000</v>
      </c>
      <c r="L4279" s="5">
        <v>19838200000</v>
      </c>
      <c r="M4279" s="5">
        <v>3884500000</v>
      </c>
      <c r="N4279" s="5">
        <v>2567900000</v>
      </c>
    </row>
    <row r="4280" spans="1:14" x14ac:dyDescent="0.25">
      <c r="A4280" s="3" t="s">
        <v>4291</v>
      </c>
      <c r="B4280" s="4">
        <v>22.23</v>
      </c>
      <c r="C4280" s="4">
        <v>-0.39</v>
      </c>
      <c r="D4280" s="4">
        <v>-0.14000000000000001</v>
      </c>
      <c r="E4280" s="4">
        <v>-2.5331383781419289E-2</v>
      </c>
      <c r="F4280" s="3">
        <v>4278</v>
      </c>
      <c r="G4280" s="3">
        <v>4</v>
      </c>
      <c r="H4280" s="5">
        <v>543056427.75999999</v>
      </c>
      <c r="I4280" s="5">
        <v>1107256427.76</v>
      </c>
      <c r="J4280" s="5">
        <v>663700000</v>
      </c>
      <c r="K4280" s="5">
        <v>99500000</v>
      </c>
      <c r="L4280" s="5">
        <v>1043600000</v>
      </c>
      <c r="M4280" s="5">
        <v>49800000</v>
      </c>
      <c r="N4280" s="5">
        <v>-190600000</v>
      </c>
    </row>
    <row r="4281" spans="1:14" x14ac:dyDescent="0.25">
      <c r="A4281" s="3" t="s">
        <v>4292</v>
      </c>
      <c r="B4281" s="4">
        <v>24.34</v>
      </c>
      <c r="C4281" s="4">
        <v>0.05</v>
      </c>
      <c r="D4281" s="4">
        <v>0.03</v>
      </c>
      <c r="E4281" s="4">
        <v>-2.5333194023048879E-2</v>
      </c>
      <c r="F4281" s="3">
        <v>4279</v>
      </c>
      <c r="G4281" s="3">
        <v>4</v>
      </c>
      <c r="H4281" s="5">
        <v>8132296366.2600002</v>
      </c>
      <c r="I4281" s="5">
        <v>8892649366.2600002</v>
      </c>
      <c r="J4281" s="5">
        <v>1056301000</v>
      </c>
      <c r="K4281" s="5">
        <v>295948000</v>
      </c>
      <c r="L4281" s="5">
        <v>1199774000</v>
      </c>
      <c r="M4281" s="5">
        <v>365320000</v>
      </c>
      <c r="N4281" s="5">
        <v>96703000</v>
      </c>
    </row>
    <row r="4282" spans="1:14" x14ac:dyDescent="0.25">
      <c r="A4282" s="3" t="s">
        <v>4293</v>
      </c>
      <c r="B4282" s="4">
        <v>24.74</v>
      </c>
      <c r="C4282" s="4">
        <v>0.13</v>
      </c>
      <c r="D4282" s="4">
        <v>0.09</v>
      </c>
      <c r="E4282" s="4">
        <v>-2.5338039235351269E-2</v>
      </c>
      <c r="F4282" s="3">
        <v>4280</v>
      </c>
      <c r="G4282" s="3">
        <v>4</v>
      </c>
      <c r="H4282" s="5">
        <v>15329751067.5</v>
      </c>
      <c r="I4282" s="5">
        <v>15096751067.5</v>
      </c>
      <c r="J4282" s="5">
        <v>0</v>
      </c>
      <c r="K4282" s="5">
        <v>233000000</v>
      </c>
      <c r="L4282" s="5">
        <v>2355300000</v>
      </c>
      <c r="M4282" s="5">
        <v>610100000</v>
      </c>
      <c r="N4282" s="5">
        <v>341300000</v>
      </c>
    </row>
    <row r="4283" spans="1:14" x14ac:dyDescent="0.25">
      <c r="A4283" s="3" t="s">
        <v>4294</v>
      </c>
      <c r="B4283" s="4">
        <v>26.94</v>
      </c>
      <c r="C4283" s="4">
        <v>0.57999999999999996</v>
      </c>
      <c r="D4283" s="4">
        <v>0.13</v>
      </c>
      <c r="E4283" s="4">
        <v>-2.5391736066747678E-2</v>
      </c>
      <c r="F4283" s="3">
        <v>4281</v>
      </c>
      <c r="G4283" s="3">
        <v>4</v>
      </c>
      <c r="H4283" s="5">
        <v>86784464000</v>
      </c>
      <c r="I4283" s="5">
        <v>91804464000</v>
      </c>
      <c r="J4283" s="5">
        <v>7428000000</v>
      </c>
      <c r="K4283" s="5">
        <v>2408000000</v>
      </c>
      <c r="L4283" s="5">
        <v>7088000000</v>
      </c>
      <c r="M4283" s="5">
        <v>3408000000</v>
      </c>
      <c r="N4283" s="5">
        <v>2058000000</v>
      </c>
    </row>
    <row r="4284" spans="1:14" x14ac:dyDescent="0.25">
      <c r="A4284" s="3" t="s">
        <v>4295</v>
      </c>
      <c r="B4284" s="4">
        <v>25.24</v>
      </c>
      <c r="C4284" s="4">
        <v>0.22</v>
      </c>
      <c r="D4284" s="4">
        <v>0.04</v>
      </c>
      <c r="E4284" s="4">
        <v>-2.539710218996255E-2</v>
      </c>
      <c r="F4284" s="3">
        <v>4282</v>
      </c>
      <c r="G4284" s="3">
        <v>4</v>
      </c>
      <c r="H4284" s="5">
        <v>286748719144.62</v>
      </c>
      <c r="I4284" s="5">
        <v>327774719144.62</v>
      </c>
      <c r="J4284" s="5">
        <v>54973000000</v>
      </c>
      <c r="K4284" s="5">
        <v>13947000000</v>
      </c>
      <c r="L4284" s="5">
        <v>62753000000</v>
      </c>
      <c r="M4284" s="5">
        <v>12987000000</v>
      </c>
      <c r="N4284" s="5">
        <v>6023000000</v>
      </c>
    </row>
    <row r="4285" spans="1:14" x14ac:dyDescent="0.25">
      <c r="A4285" s="3" t="s">
        <v>4296</v>
      </c>
      <c r="B4285" s="4">
        <v>25.81</v>
      </c>
      <c r="C4285" s="4">
        <v>0.34</v>
      </c>
      <c r="D4285" s="4">
        <v>0.06</v>
      </c>
      <c r="E4285" s="4">
        <v>-2.539930557736746E-2</v>
      </c>
      <c r="F4285" s="3">
        <v>4283</v>
      </c>
      <c r="G4285" s="3">
        <v>4</v>
      </c>
      <c r="H4285" s="5">
        <v>172518333525.12</v>
      </c>
      <c r="I4285" s="5">
        <v>181867149525.12</v>
      </c>
      <c r="J4285" s="5">
        <v>11320956000</v>
      </c>
      <c r="K4285" s="5">
        <v>1972140000</v>
      </c>
      <c r="L4285" s="5">
        <v>13229968000</v>
      </c>
      <c r="M4285" s="5">
        <v>7045423000</v>
      </c>
      <c r="N4285" s="5">
        <v>2776508000</v>
      </c>
    </row>
    <row r="4286" spans="1:14" x14ac:dyDescent="0.25">
      <c r="A4286" s="3" t="s">
        <v>4297</v>
      </c>
      <c r="B4286" s="4">
        <v>0.12</v>
      </c>
      <c r="C4286" s="4">
        <v>-5.07</v>
      </c>
      <c r="D4286" s="4">
        <v>-1.55</v>
      </c>
      <c r="E4286" s="4">
        <v>-2.544125081537571E-2</v>
      </c>
      <c r="F4286" s="3">
        <v>4284</v>
      </c>
      <c r="G4286" s="3">
        <v>4</v>
      </c>
      <c r="H4286" s="5">
        <v>4701722.74</v>
      </c>
      <c r="I4286" s="5">
        <v>-2831277.26</v>
      </c>
      <c r="J4286" s="5">
        <v>0</v>
      </c>
      <c r="K4286" s="5">
        <v>7533000</v>
      </c>
      <c r="L4286" s="5">
        <v>0</v>
      </c>
      <c r="M4286" s="5">
        <v>-24202000</v>
      </c>
      <c r="N4286" s="5">
        <v>-24130000</v>
      </c>
    </row>
    <row r="4287" spans="1:14" x14ac:dyDescent="0.25">
      <c r="A4287" s="3" t="s">
        <v>4298</v>
      </c>
      <c r="B4287" s="4">
        <v>23.97</v>
      </c>
      <c r="C4287" s="4">
        <v>-7.0000000000000007E-2</v>
      </c>
      <c r="D4287" s="4">
        <v>0.01</v>
      </c>
      <c r="E4287" s="4">
        <v>-2.5454774749585522E-2</v>
      </c>
      <c r="F4287" s="3">
        <v>4285</v>
      </c>
      <c r="G4287" s="3">
        <v>4</v>
      </c>
      <c r="H4287" s="5">
        <v>374533662.24000001</v>
      </c>
      <c r="I4287" s="5">
        <v>657989662.24000001</v>
      </c>
      <c r="J4287" s="5">
        <v>307766000</v>
      </c>
      <c r="K4287" s="5">
        <v>24310000</v>
      </c>
      <c r="L4287" s="5">
        <v>299972000</v>
      </c>
      <c r="M4287" s="5">
        <v>27453000</v>
      </c>
      <c r="N4287" s="5">
        <v>11031000</v>
      </c>
    </row>
    <row r="4288" spans="1:14" x14ac:dyDescent="0.25">
      <c r="A4288" s="3" t="s">
        <v>4299</v>
      </c>
      <c r="B4288" s="4">
        <v>24.61</v>
      </c>
      <c r="C4288" s="4">
        <v>0.06</v>
      </c>
      <c r="D4288" s="4">
        <v>0.01</v>
      </c>
      <c r="E4288" s="4">
        <v>-2.547526702301053E-2</v>
      </c>
      <c r="F4288" s="3">
        <v>4286</v>
      </c>
      <c r="G4288" s="3">
        <v>4</v>
      </c>
      <c r="H4288" s="5">
        <v>726832639.5</v>
      </c>
      <c r="I4288" s="5">
        <v>4814153639.5</v>
      </c>
      <c r="J4288" s="5">
        <v>4298487000</v>
      </c>
      <c r="K4288" s="5">
        <v>211166000</v>
      </c>
      <c r="L4288" s="5">
        <v>292308000</v>
      </c>
      <c r="M4288" s="5">
        <v>195598000</v>
      </c>
      <c r="N4288" s="5">
        <v>42149000</v>
      </c>
    </row>
    <row r="4289" spans="1:14" x14ac:dyDescent="0.25">
      <c r="A4289" s="3" t="s">
        <v>4300</v>
      </c>
      <c r="B4289" s="4">
        <v>17.649999999999999</v>
      </c>
      <c r="C4289" s="4">
        <v>-1.44</v>
      </c>
      <c r="D4289" s="4">
        <v>-0.08</v>
      </c>
      <c r="E4289" s="4">
        <v>-2.5518982149210861E-2</v>
      </c>
      <c r="F4289" s="3">
        <v>4287</v>
      </c>
      <c r="G4289" s="3">
        <v>4</v>
      </c>
      <c r="H4289" s="5">
        <v>5933074.9199999999</v>
      </c>
      <c r="I4289" s="5">
        <v>69160364.920000002</v>
      </c>
      <c r="J4289" s="5">
        <v>63840230</v>
      </c>
      <c r="K4289" s="5">
        <v>612940</v>
      </c>
      <c r="L4289" s="5">
        <v>9762640</v>
      </c>
      <c r="M4289" s="5">
        <v>3919410</v>
      </c>
      <c r="N4289" s="5">
        <v>-8349490</v>
      </c>
    </row>
    <row r="4290" spans="1:14" x14ac:dyDescent="0.25">
      <c r="A4290" s="3" t="s">
        <v>4301</v>
      </c>
      <c r="B4290" s="4">
        <v>-1.36</v>
      </c>
      <c r="C4290" s="4">
        <v>-5.42</v>
      </c>
      <c r="D4290" s="4">
        <v>-1.47</v>
      </c>
      <c r="E4290" s="4">
        <v>-2.5521092405094231E-2</v>
      </c>
      <c r="F4290" s="3">
        <v>4288</v>
      </c>
      <c r="G4290" s="3">
        <v>4</v>
      </c>
      <c r="H4290" s="5">
        <v>46242474</v>
      </c>
      <c r="I4290" s="5">
        <v>44859474</v>
      </c>
      <c r="J4290" s="5">
        <v>2722000</v>
      </c>
      <c r="K4290" s="5">
        <v>4105000</v>
      </c>
      <c r="L4290" s="5">
        <v>3202000</v>
      </c>
      <c r="M4290" s="5">
        <v>-32897000</v>
      </c>
      <c r="N4290" s="5">
        <v>-35603000</v>
      </c>
    </row>
    <row r="4291" spans="1:14" x14ac:dyDescent="0.25">
      <c r="A4291" s="3" t="s">
        <v>4302</v>
      </c>
      <c r="B4291" s="4">
        <v>24.62</v>
      </c>
      <c r="C4291" s="4">
        <v>0.04</v>
      </c>
      <c r="D4291" s="4">
        <v>0.02</v>
      </c>
      <c r="E4291" s="4">
        <v>-2.5537314416159008E-2</v>
      </c>
      <c r="F4291" s="3">
        <v>4289</v>
      </c>
      <c r="G4291" s="3">
        <v>4</v>
      </c>
      <c r="H4291" s="5">
        <v>7239350593.5</v>
      </c>
      <c r="I4291" s="5">
        <v>7666371593.5</v>
      </c>
      <c r="J4291" s="5">
        <v>930953000</v>
      </c>
      <c r="K4291" s="5">
        <v>503932000</v>
      </c>
      <c r="L4291" s="5">
        <v>2442753000</v>
      </c>
      <c r="M4291" s="5">
        <v>311340000</v>
      </c>
      <c r="N4291" s="5">
        <v>56299000</v>
      </c>
    </row>
    <row r="4292" spans="1:14" x14ac:dyDescent="0.25">
      <c r="A4292" s="3" t="s">
        <v>4303</v>
      </c>
      <c r="B4292" s="4">
        <v>0.46</v>
      </c>
      <c r="C4292" s="4">
        <v>-5.0999999999999996</v>
      </c>
      <c r="D4292" s="4">
        <v>-0.59</v>
      </c>
      <c r="E4292" s="4">
        <v>-2.555317807867916E-2</v>
      </c>
      <c r="F4292" s="3">
        <v>4290</v>
      </c>
      <c r="G4292" s="3">
        <v>4</v>
      </c>
      <c r="H4292" s="5">
        <v>83426267.585700005</v>
      </c>
      <c r="I4292" s="5">
        <v>-106877732.41429999</v>
      </c>
      <c r="J4292" s="5">
        <v>0</v>
      </c>
      <c r="K4292" s="5">
        <v>190304000</v>
      </c>
      <c r="L4292" s="5">
        <v>62043000</v>
      </c>
      <c r="M4292" s="5">
        <v>-231235000</v>
      </c>
      <c r="N4292" s="5">
        <v>-227461000</v>
      </c>
    </row>
    <row r="4293" spans="1:14" x14ac:dyDescent="0.25">
      <c r="A4293" s="3" t="s">
        <v>4304</v>
      </c>
      <c r="B4293" s="4">
        <v>-1.43</v>
      </c>
      <c r="C4293" s="4">
        <v>0.13</v>
      </c>
      <c r="D4293" s="4">
        <v>-85</v>
      </c>
      <c r="E4293" s="4">
        <v>-2.5554975074097021E-2</v>
      </c>
      <c r="F4293" s="3">
        <v>4291</v>
      </c>
      <c r="G4293" s="3">
        <v>4</v>
      </c>
      <c r="H4293" s="5">
        <v>198856.4889</v>
      </c>
      <c r="I4293" s="5">
        <v>494196.4889</v>
      </c>
      <c r="J4293" s="5">
        <v>296000</v>
      </c>
      <c r="K4293" s="5">
        <v>660</v>
      </c>
      <c r="L4293" s="5">
        <v>0</v>
      </c>
      <c r="M4293" s="5">
        <v>-344470</v>
      </c>
      <c r="N4293" s="5">
        <v>-56100</v>
      </c>
    </row>
    <row r="4294" spans="1:14" x14ac:dyDescent="0.25">
      <c r="A4294" s="3" t="s">
        <v>4305</v>
      </c>
      <c r="B4294" s="4">
        <v>25.04</v>
      </c>
      <c r="C4294" s="4">
        <v>0.1</v>
      </c>
      <c r="D4294" s="4">
        <v>0.04</v>
      </c>
      <c r="E4294" s="4">
        <v>-2.5620041360194499E-2</v>
      </c>
      <c r="F4294" s="3">
        <v>4292</v>
      </c>
      <c r="G4294" s="3">
        <v>4</v>
      </c>
      <c r="H4294" s="5">
        <v>908835927.36000001</v>
      </c>
      <c r="I4294" s="5">
        <v>1973818927.3599999</v>
      </c>
      <c r="J4294" s="5">
        <v>1177033000</v>
      </c>
      <c r="K4294" s="5">
        <v>112050000</v>
      </c>
      <c r="L4294" s="5">
        <v>186355000</v>
      </c>
      <c r="M4294" s="5">
        <v>78841000</v>
      </c>
      <c r="N4294" s="5">
        <v>91839000</v>
      </c>
    </row>
    <row r="4295" spans="1:14" x14ac:dyDescent="0.25">
      <c r="A4295" s="3" t="s">
        <v>4306</v>
      </c>
      <c r="B4295" s="4">
        <v>25.14</v>
      </c>
      <c r="C4295" s="4">
        <v>0.11</v>
      </c>
      <c r="D4295" s="4">
        <v>0.1</v>
      </c>
      <c r="E4295" s="4">
        <v>-2.5641465650685778E-2</v>
      </c>
      <c r="F4295" s="3">
        <v>4293</v>
      </c>
      <c r="G4295" s="3">
        <v>4</v>
      </c>
      <c r="H4295" s="5">
        <v>14633590105.959999</v>
      </c>
      <c r="I4295" s="5">
        <v>14438092105.959999</v>
      </c>
      <c r="J4295" s="5">
        <v>0</v>
      </c>
      <c r="K4295" s="5">
        <v>195498000</v>
      </c>
      <c r="L4295" s="5">
        <v>719395000</v>
      </c>
      <c r="M4295" s="5">
        <v>574325000</v>
      </c>
      <c r="N4295" s="5">
        <v>332023000</v>
      </c>
    </row>
    <row r="4296" spans="1:14" x14ac:dyDescent="0.25">
      <c r="A4296" s="3" t="s">
        <v>4307</v>
      </c>
      <c r="B4296" s="4">
        <v>25.23</v>
      </c>
      <c r="C4296" s="4">
        <v>0.12</v>
      </c>
      <c r="D4296" s="4">
        <v>0.08</v>
      </c>
      <c r="E4296" s="4">
        <v>-2.567213294810004E-2</v>
      </c>
      <c r="F4296" s="3">
        <v>4294</v>
      </c>
      <c r="G4296" s="3">
        <v>4</v>
      </c>
      <c r="H4296" s="5">
        <v>7610429167.7600002</v>
      </c>
      <c r="I4296" s="5">
        <v>7406902167.7600002</v>
      </c>
      <c r="J4296" s="5">
        <v>1596000</v>
      </c>
      <c r="K4296" s="5">
        <v>205123000</v>
      </c>
      <c r="L4296" s="5">
        <v>2271705000</v>
      </c>
      <c r="M4296" s="5">
        <v>293631000</v>
      </c>
      <c r="N4296" s="5">
        <v>199762000</v>
      </c>
    </row>
    <row r="4297" spans="1:14" x14ac:dyDescent="0.25">
      <c r="A4297" s="3" t="s">
        <v>4308</v>
      </c>
      <c r="B4297" s="4">
        <v>25.26</v>
      </c>
      <c r="C4297" s="4">
        <v>0.12</v>
      </c>
      <c r="D4297" s="4">
        <v>7.0000000000000007E-2</v>
      </c>
      <c r="E4297" s="4">
        <v>-2.5692629591768771E-2</v>
      </c>
      <c r="F4297" s="3">
        <v>4295</v>
      </c>
      <c r="G4297" s="3">
        <v>4</v>
      </c>
      <c r="H4297" s="5">
        <v>31939483876.650002</v>
      </c>
      <c r="I4297" s="5">
        <v>31933483876.650002</v>
      </c>
      <c r="J4297" s="5">
        <v>1790000000</v>
      </c>
      <c r="K4297" s="5">
        <v>1796000000</v>
      </c>
      <c r="L4297" s="5">
        <v>4979000000</v>
      </c>
      <c r="M4297" s="5">
        <v>1264000000</v>
      </c>
      <c r="N4297" s="5">
        <v>614000000</v>
      </c>
    </row>
    <row r="4298" spans="1:14" x14ac:dyDescent="0.25">
      <c r="A4298" s="3" t="s">
        <v>4309</v>
      </c>
      <c r="B4298" s="4">
        <v>25.8</v>
      </c>
      <c r="C4298" s="4">
        <v>0.23</v>
      </c>
      <c r="D4298" s="4">
        <v>0.15</v>
      </c>
      <c r="E4298" s="4">
        <v>-2.569358480963186E-2</v>
      </c>
      <c r="F4298" s="3">
        <v>4296</v>
      </c>
      <c r="G4298" s="3">
        <v>4</v>
      </c>
      <c r="H4298" s="5">
        <v>1142722191.0599999</v>
      </c>
      <c r="I4298" s="5">
        <v>1711815601.0599999</v>
      </c>
      <c r="J4298" s="5">
        <v>583400000</v>
      </c>
      <c r="K4298" s="5">
        <v>14306590</v>
      </c>
      <c r="L4298" s="5">
        <v>117789240</v>
      </c>
      <c r="M4298" s="5">
        <v>66359710</v>
      </c>
      <c r="N4298" s="5">
        <v>276782420</v>
      </c>
    </row>
    <row r="4299" spans="1:14" x14ac:dyDescent="0.25">
      <c r="A4299" s="3" t="s">
        <v>4310</v>
      </c>
      <c r="B4299" s="4">
        <v>24.98</v>
      </c>
      <c r="C4299" s="4">
        <v>0.06</v>
      </c>
      <c r="D4299" s="4">
        <v>0.03</v>
      </c>
      <c r="E4299" s="4">
        <v>-2.5700409580647381E-2</v>
      </c>
      <c r="F4299" s="3">
        <v>4297</v>
      </c>
      <c r="G4299" s="3">
        <v>4</v>
      </c>
      <c r="H4299" s="5">
        <v>7344074577.3199997</v>
      </c>
      <c r="I4299" s="5">
        <v>7370174577.3199997</v>
      </c>
      <c r="J4299" s="5">
        <v>1254500000</v>
      </c>
      <c r="K4299" s="5">
        <v>1228400000</v>
      </c>
      <c r="L4299" s="5">
        <v>1716000000</v>
      </c>
      <c r="M4299" s="5">
        <v>295100000</v>
      </c>
      <c r="N4299" s="5">
        <v>85400000</v>
      </c>
    </row>
    <row r="4300" spans="1:14" x14ac:dyDescent="0.25">
      <c r="A4300" s="3" t="s">
        <v>4311</v>
      </c>
      <c r="B4300" s="4">
        <v>-0.72</v>
      </c>
      <c r="C4300" s="4">
        <v>-5.35</v>
      </c>
      <c r="D4300" s="4">
        <v>-1.48</v>
      </c>
      <c r="E4300" s="4">
        <v>-2.571687534718349E-2</v>
      </c>
      <c r="F4300" s="3">
        <v>4298</v>
      </c>
      <c r="G4300" s="3">
        <v>4</v>
      </c>
      <c r="H4300" s="5">
        <v>5068868.28</v>
      </c>
      <c r="I4300" s="5">
        <v>4751468.28</v>
      </c>
      <c r="J4300" s="5">
        <v>230170</v>
      </c>
      <c r="K4300" s="5">
        <v>547570</v>
      </c>
      <c r="L4300" s="5">
        <v>5624940</v>
      </c>
      <c r="M4300" s="5">
        <v>-6580020</v>
      </c>
      <c r="N4300" s="5">
        <v>-13479480</v>
      </c>
    </row>
    <row r="4301" spans="1:14" x14ac:dyDescent="0.25">
      <c r="A4301" s="3" t="s">
        <v>4312</v>
      </c>
      <c r="B4301" s="4">
        <v>14.4</v>
      </c>
      <c r="C4301" s="4">
        <v>-2.17</v>
      </c>
      <c r="D4301" s="4">
        <v>-0.61</v>
      </c>
      <c r="E4301" s="4">
        <v>-2.5718962018323941E-2</v>
      </c>
      <c r="F4301" s="3">
        <v>4299</v>
      </c>
      <c r="G4301" s="3">
        <v>4</v>
      </c>
      <c r="H4301" s="5">
        <v>890741863.29999995</v>
      </c>
      <c r="I4301" s="5">
        <v>940659863.29999995</v>
      </c>
      <c r="J4301" s="5">
        <v>57150000</v>
      </c>
      <c r="K4301" s="5">
        <v>7232000</v>
      </c>
      <c r="L4301" s="5">
        <v>404394000</v>
      </c>
      <c r="M4301" s="5">
        <v>65306000</v>
      </c>
      <c r="N4301" s="5">
        <v>-226138000</v>
      </c>
    </row>
    <row r="4302" spans="1:14" x14ac:dyDescent="0.25">
      <c r="A4302" s="3" t="s">
        <v>4313</v>
      </c>
      <c r="B4302" s="4">
        <v>25.28</v>
      </c>
      <c r="C4302" s="4">
        <v>0.11</v>
      </c>
      <c r="D4302" s="4">
        <v>0.09</v>
      </c>
      <c r="E4302" s="4">
        <v>-2.573004355702237E-2</v>
      </c>
      <c r="F4302" s="3">
        <v>4300</v>
      </c>
      <c r="G4302" s="3">
        <v>4</v>
      </c>
      <c r="H4302" s="5">
        <v>25011612149.48</v>
      </c>
      <c r="I4302" s="5">
        <v>23662232149.48</v>
      </c>
      <c r="J4302" s="5">
        <v>0</v>
      </c>
      <c r="K4302" s="5">
        <v>1349380000</v>
      </c>
      <c r="L4302" s="5">
        <v>4665433000</v>
      </c>
      <c r="M4302" s="5">
        <v>935927000</v>
      </c>
      <c r="N4302" s="5">
        <v>1010238000</v>
      </c>
    </row>
    <row r="4303" spans="1:14" x14ac:dyDescent="0.25">
      <c r="A4303" s="3" t="s">
        <v>4314</v>
      </c>
      <c r="B4303" s="4">
        <v>25.39</v>
      </c>
      <c r="C4303" s="4">
        <v>0.13</v>
      </c>
      <c r="D4303" s="4">
        <v>0.09</v>
      </c>
      <c r="E4303" s="4">
        <v>-2.5740337605661311E-2</v>
      </c>
      <c r="F4303" s="3">
        <v>4301</v>
      </c>
      <c r="G4303" s="3">
        <v>4</v>
      </c>
      <c r="H4303" s="5">
        <v>253680756.28999999</v>
      </c>
      <c r="I4303" s="5">
        <v>246593936.28999999</v>
      </c>
      <c r="J4303" s="5">
        <v>13522180</v>
      </c>
      <c r="K4303" s="5">
        <v>20609000</v>
      </c>
      <c r="L4303" s="5">
        <v>180376230</v>
      </c>
      <c r="M4303" s="5">
        <v>9710650</v>
      </c>
      <c r="N4303" s="5">
        <v>6757060</v>
      </c>
    </row>
    <row r="4304" spans="1:14" x14ac:dyDescent="0.25">
      <c r="A4304" s="3" t="s">
        <v>4315</v>
      </c>
      <c r="B4304" s="4">
        <v>24.72</v>
      </c>
      <c r="C4304" s="4">
        <v>-0.01</v>
      </c>
      <c r="D4304" s="4">
        <v>0</v>
      </c>
      <c r="E4304" s="4">
        <v>-2.5747532561357079E-2</v>
      </c>
      <c r="F4304" s="3">
        <v>4302</v>
      </c>
      <c r="G4304" s="3">
        <v>4</v>
      </c>
      <c r="H4304" s="5">
        <v>7030884425.25</v>
      </c>
      <c r="I4304" s="5">
        <v>8093235425.25</v>
      </c>
      <c r="J4304" s="5">
        <v>1244484000</v>
      </c>
      <c r="K4304" s="5">
        <v>182133000</v>
      </c>
      <c r="L4304" s="5">
        <v>943549000</v>
      </c>
      <c r="M4304" s="5">
        <v>327449000</v>
      </c>
      <c r="N4304" s="5">
        <v>-19125000</v>
      </c>
    </row>
    <row r="4305" spans="1:14" x14ac:dyDescent="0.25">
      <c r="A4305" s="3" t="s">
        <v>4316</v>
      </c>
      <c r="B4305" s="4">
        <v>24.74</v>
      </c>
      <c r="C4305" s="4">
        <v>-0.01</v>
      </c>
      <c r="D4305" s="4">
        <v>-0.01</v>
      </c>
      <c r="E4305" s="4">
        <v>-2.5761839999328739E-2</v>
      </c>
      <c r="F4305" s="3">
        <v>4303</v>
      </c>
      <c r="G4305" s="3">
        <v>4</v>
      </c>
      <c r="H4305" s="5">
        <v>1858414820.5999999</v>
      </c>
      <c r="I4305" s="5">
        <v>1974656820.5999999</v>
      </c>
      <c r="J4305" s="5">
        <v>295425000</v>
      </c>
      <c r="K4305" s="5">
        <v>179183000</v>
      </c>
      <c r="L4305" s="5">
        <v>385148000</v>
      </c>
      <c r="M4305" s="5">
        <v>79806000</v>
      </c>
      <c r="N4305" s="5">
        <v>-12051000</v>
      </c>
    </row>
    <row r="4306" spans="1:14" x14ac:dyDescent="0.25">
      <c r="A4306" s="3" t="s">
        <v>4317</v>
      </c>
      <c r="B4306" s="4">
        <v>26.43</v>
      </c>
      <c r="C4306" s="4">
        <v>0.31</v>
      </c>
      <c r="D4306" s="4">
        <v>0.22</v>
      </c>
      <c r="E4306" s="4">
        <v>-2.5838852726389541E-2</v>
      </c>
      <c r="F4306" s="3">
        <v>4304</v>
      </c>
      <c r="G4306" s="3">
        <v>4</v>
      </c>
      <c r="H4306" s="5">
        <v>3433147850000</v>
      </c>
      <c r="I4306" s="5">
        <v>3423240850000</v>
      </c>
      <c r="J4306" s="5">
        <v>13559000000</v>
      </c>
      <c r="K4306" s="5">
        <v>23466000000</v>
      </c>
      <c r="L4306" s="5">
        <v>350018000000</v>
      </c>
      <c r="M4306" s="5">
        <v>129538000000</v>
      </c>
      <c r="N4306" s="5">
        <v>100118000000</v>
      </c>
    </row>
    <row r="4307" spans="1:14" x14ac:dyDescent="0.25">
      <c r="A4307" s="3" t="s">
        <v>4318</v>
      </c>
      <c r="B4307" s="4">
        <v>24.98</v>
      </c>
      <c r="C4307" s="4">
        <v>0.01</v>
      </c>
      <c r="D4307" s="4">
        <v>0.01</v>
      </c>
      <c r="E4307" s="4">
        <v>-2.5848735668874679E-2</v>
      </c>
      <c r="F4307" s="3">
        <v>4305</v>
      </c>
      <c r="G4307" s="3">
        <v>4</v>
      </c>
      <c r="H4307" s="5">
        <v>5033434103.04</v>
      </c>
      <c r="I4307" s="5">
        <v>5431196103.04</v>
      </c>
      <c r="J4307" s="5">
        <v>796745000</v>
      </c>
      <c r="K4307" s="5">
        <v>398983000</v>
      </c>
      <c r="L4307" s="5">
        <v>944800000</v>
      </c>
      <c r="M4307" s="5">
        <v>217461000</v>
      </c>
      <c r="N4307" s="5">
        <v>26145000</v>
      </c>
    </row>
    <row r="4308" spans="1:14" x14ac:dyDescent="0.25">
      <c r="A4308" s="3" t="s">
        <v>4319</v>
      </c>
      <c r="B4308" s="4">
        <v>42.12</v>
      </c>
      <c r="C4308" s="4">
        <v>3.67</v>
      </c>
      <c r="D4308" s="4">
        <v>0.16</v>
      </c>
      <c r="E4308" s="4">
        <v>-2.5853038667711211E-2</v>
      </c>
      <c r="F4308" s="3">
        <v>4306</v>
      </c>
      <c r="G4308" s="3">
        <v>4</v>
      </c>
      <c r="H4308" s="5">
        <v>50554548.079999998</v>
      </c>
      <c r="I4308" s="5">
        <v>51604668.079999998</v>
      </c>
      <c r="J4308" s="5">
        <v>1107190</v>
      </c>
      <c r="K4308" s="5">
        <v>57070</v>
      </c>
      <c r="L4308" s="5">
        <v>2035210</v>
      </c>
      <c r="M4308" s="5">
        <v>1225180</v>
      </c>
      <c r="N4308" s="5">
        <v>1099110</v>
      </c>
    </row>
    <row r="4309" spans="1:14" x14ac:dyDescent="0.25">
      <c r="A4309" s="3" t="s">
        <v>4320</v>
      </c>
      <c r="B4309" s="4">
        <v>24.8</v>
      </c>
      <c r="C4309" s="4">
        <v>-0.03</v>
      </c>
      <c r="D4309" s="4">
        <v>0</v>
      </c>
      <c r="E4309" s="4">
        <v>-2.5854833420962609E-2</v>
      </c>
      <c r="F4309" s="3">
        <v>4307</v>
      </c>
      <c r="G4309" s="3">
        <v>4</v>
      </c>
      <c r="H4309" s="5">
        <v>669697803.45000005</v>
      </c>
      <c r="I4309" s="5">
        <v>3136436803.4499998</v>
      </c>
      <c r="J4309" s="5">
        <v>4059130000</v>
      </c>
      <c r="K4309" s="5">
        <v>1592391000</v>
      </c>
      <c r="L4309" s="5">
        <v>1723876000</v>
      </c>
      <c r="M4309" s="5">
        <v>126470000</v>
      </c>
      <c r="N4309" s="5">
        <v>-26702000</v>
      </c>
    </row>
    <row r="4310" spans="1:14" x14ac:dyDescent="0.25">
      <c r="A4310" s="3" t="s">
        <v>4321</v>
      </c>
      <c r="B4310" s="4">
        <v>25.2</v>
      </c>
      <c r="C4310" s="4">
        <v>0.04</v>
      </c>
      <c r="D4310" s="4">
        <v>0.03</v>
      </c>
      <c r="E4310" s="4">
        <v>-2.5894359320011998E-2</v>
      </c>
      <c r="F4310" s="3">
        <v>4308</v>
      </c>
      <c r="G4310" s="3">
        <v>4</v>
      </c>
      <c r="H4310" s="5">
        <v>9332264853.5400009</v>
      </c>
      <c r="I4310" s="5">
        <v>9516078853.5400009</v>
      </c>
      <c r="J4310" s="5">
        <v>346000000</v>
      </c>
      <c r="K4310" s="5">
        <v>162186000</v>
      </c>
      <c r="L4310" s="5">
        <v>1219635000</v>
      </c>
      <c r="M4310" s="5">
        <v>377550000</v>
      </c>
      <c r="N4310" s="5">
        <v>73400000</v>
      </c>
    </row>
    <row r="4311" spans="1:14" x14ac:dyDescent="0.25">
      <c r="A4311" s="3" t="s">
        <v>4322</v>
      </c>
      <c r="B4311" s="4">
        <v>23.22</v>
      </c>
      <c r="C4311" s="4">
        <v>-0.37</v>
      </c>
      <c r="D4311" s="4">
        <v>-0.28000000000000003</v>
      </c>
      <c r="E4311" s="4">
        <v>-2.5913334303486121E-2</v>
      </c>
      <c r="F4311" s="3">
        <v>4309</v>
      </c>
      <c r="G4311" s="3">
        <v>4</v>
      </c>
      <c r="H4311" s="5">
        <v>142018186.5</v>
      </c>
      <c r="I4311" s="5">
        <v>86389186.5</v>
      </c>
      <c r="J4311" s="5">
        <v>0</v>
      </c>
      <c r="K4311" s="5">
        <v>55629000</v>
      </c>
      <c r="L4311" s="5">
        <v>119907000</v>
      </c>
      <c r="M4311" s="5">
        <v>3720000</v>
      </c>
      <c r="N4311" s="5">
        <v>-56385000</v>
      </c>
    </row>
    <row r="4312" spans="1:14" x14ac:dyDescent="0.25">
      <c r="A4312" s="3" t="s">
        <v>4323</v>
      </c>
      <c r="B4312" s="4">
        <v>27.09</v>
      </c>
      <c r="C4312" s="4">
        <v>0.43</v>
      </c>
      <c r="D4312" s="4">
        <v>0.11</v>
      </c>
      <c r="E4312" s="4">
        <v>-2.5921836310575729E-2</v>
      </c>
      <c r="F4312" s="3">
        <v>4310</v>
      </c>
      <c r="G4312" s="3">
        <v>4</v>
      </c>
      <c r="H4312" s="5">
        <v>294703221970.95001</v>
      </c>
      <c r="I4312" s="5">
        <v>328397221970.95001</v>
      </c>
      <c r="J4312" s="5">
        <v>44522000000</v>
      </c>
      <c r="K4312" s="5">
        <v>10828000000</v>
      </c>
      <c r="L4312" s="5">
        <v>47061000000</v>
      </c>
      <c r="M4312" s="5">
        <v>12121000000</v>
      </c>
      <c r="N4312" s="5">
        <v>10631000000</v>
      </c>
    </row>
    <row r="4313" spans="1:14" x14ac:dyDescent="0.25">
      <c r="A4313" s="3" t="s">
        <v>4324</v>
      </c>
      <c r="B4313" s="4">
        <v>25.46</v>
      </c>
      <c r="C4313" s="4">
        <v>7.0000000000000007E-2</v>
      </c>
      <c r="D4313" s="4">
        <v>0.04</v>
      </c>
      <c r="E4313" s="4">
        <v>-2.596666882051513E-2</v>
      </c>
      <c r="F4313" s="3">
        <v>4311</v>
      </c>
      <c r="G4313" s="3">
        <v>4</v>
      </c>
      <c r="H4313" s="5">
        <v>115012311940</v>
      </c>
      <c r="I4313" s="5">
        <v>144572983940</v>
      </c>
      <c r="J4313" s="5">
        <v>30879263000</v>
      </c>
      <c r="K4313" s="5">
        <v>1318591000</v>
      </c>
      <c r="L4313" s="5">
        <v>8201610000</v>
      </c>
      <c r="M4313" s="5">
        <v>5678560000</v>
      </c>
      <c r="N4313" s="5">
        <v>3731635000</v>
      </c>
    </row>
    <row r="4314" spans="1:14" x14ac:dyDescent="0.25">
      <c r="A4314" s="3" t="s">
        <v>4325</v>
      </c>
      <c r="B4314" s="4">
        <v>25.14</v>
      </c>
      <c r="C4314" s="4">
        <v>0</v>
      </c>
      <c r="D4314" s="4">
        <v>0</v>
      </c>
      <c r="E4314" s="4">
        <v>-2.597858559361987E-2</v>
      </c>
      <c r="F4314" s="3">
        <v>4312</v>
      </c>
      <c r="G4314" s="3">
        <v>4</v>
      </c>
      <c r="H4314" s="5">
        <v>6009451924.0600004</v>
      </c>
      <c r="I4314" s="5">
        <v>6285697924.0600004</v>
      </c>
      <c r="J4314" s="5">
        <v>1016266000</v>
      </c>
      <c r="K4314" s="5">
        <v>740020000</v>
      </c>
      <c r="L4314" s="5">
        <v>1829664000</v>
      </c>
      <c r="M4314" s="5">
        <v>249995000</v>
      </c>
      <c r="N4314" s="5">
        <v>2793000</v>
      </c>
    </row>
    <row r="4315" spans="1:14" x14ac:dyDescent="0.25">
      <c r="A4315" s="3" t="s">
        <v>4326</v>
      </c>
      <c r="B4315" s="4">
        <v>27.06</v>
      </c>
      <c r="C4315" s="4">
        <v>0.39</v>
      </c>
      <c r="D4315" s="4">
        <v>0.18</v>
      </c>
      <c r="E4315" s="4">
        <v>-2.6005339935499781E-2</v>
      </c>
      <c r="F4315" s="3">
        <v>4313</v>
      </c>
      <c r="G4315" s="3">
        <v>4</v>
      </c>
      <c r="H4315" s="5">
        <v>74670847439.179993</v>
      </c>
      <c r="I4315" s="5">
        <v>76831873439.179993</v>
      </c>
      <c r="J4315" s="5">
        <v>2424999000</v>
      </c>
      <c r="K4315" s="5">
        <v>263973000</v>
      </c>
      <c r="L4315" s="5">
        <v>10340181000</v>
      </c>
      <c r="M4315" s="5">
        <v>2838909000</v>
      </c>
      <c r="N4315" s="5">
        <v>1812281000</v>
      </c>
    </row>
    <row r="4316" spans="1:14" x14ac:dyDescent="0.25">
      <c r="A4316" s="3" t="s">
        <v>4327</v>
      </c>
      <c r="B4316" s="4">
        <v>-0.2</v>
      </c>
      <c r="C4316" s="4">
        <v>-5.43</v>
      </c>
      <c r="D4316" s="4">
        <v>-0.14000000000000001</v>
      </c>
      <c r="E4316" s="4">
        <v>-2.6011373338161389E-2</v>
      </c>
      <c r="F4316" s="3">
        <v>4314</v>
      </c>
      <c r="G4316" s="3">
        <v>4</v>
      </c>
      <c r="H4316" s="5">
        <v>58082.01</v>
      </c>
      <c r="I4316" s="5">
        <v>2007172.01</v>
      </c>
      <c r="J4316" s="5">
        <v>3000000</v>
      </c>
      <c r="K4316" s="5">
        <v>1050910</v>
      </c>
      <c r="L4316" s="5">
        <v>9893210</v>
      </c>
      <c r="M4316" s="5">
        <v>-10178710</v>
      </c>
      <c r="N4316" s="5">
        <v>-3283780</v>
      </c>
    </row>
    <row r="4317" spans="1:14" x14ac:dyDescent="0.25">
      <c r="A4317" s="3" t="s">
        <v>4328</v>
      </c>
      <c r="B4317" s="4">
        <v>25.29</v>
      </c>
      <c r="C4317" s="4">
        <v>0.02</v>
      </c>
      <c r="D4317" s="4">
        <v>0.01</v>
      </c>
      <c r="E4317" s="4">
        <v>-2.601170743846962E-2</v>
      </c>
      <c r="F4317" s="3">
        <v>4315</v>
      </c>
      <c r="G4317" s="3">
        <v>4</v>
      </c>
      <c r="H4317" s="5">
        <v>159938210</v>
      </c>
      <c r="I4317" s="5">
        <v>141091210</v>
      </c>
      <c r="J4317" s="5">
        <v>0</v>
      </c>
      <c r="K4317" s="5">
        <v>18847000</v>
      </c>
      <c r="L4317" s="5">
        <v>94721000</v>
      </c>
      <c r="M4317" s="5">
        <v>5580000</v>
      </c>
      <c r="N4317" s="5">
        <v>2215000</v>
      </c>
    </row>
    <row r="4318" spans="1:14" x14ac:dyDescent="0.25">
      <c r="A4318" s="3" t="s">
        <v>4329</v>
      </c>
      <c r="B4318" s="4">
        <v>25.63</v>
      </c>
      <c r="C4318" s="4">
        <v>0.09</v>
      </c>
      <c r="D4318" s="4">
        <v>0.03</v>
      </c>
      <c r="E4318" s="4">
        <v>-2.6016027129914032E-2</v>
      </c>
      <c r="F4318" s="3">
        <v>4316</v>
      </c>
      <c r="G4318" s="3">
        <v>4</v>
      </c>
      <c r="H4318" s="5">
        <v>103060398.62</v>
      </c>
      <c r="I4318" s="5">
        <v>90833088.620000005</v>
      </c>
      <c r="J4318" s="5">
        <v>0</v>
      </c>
      <c r="K4318" s="5">
        <v>12227310</v>
      </c>
      <c r="L4318" s="5">
        <v>49057980</v>
      </c>
      <c r="M4318" s="5">
        <v>3544040</v>
      </c>
      <c r="N4318" s="5">
        <v>1265550</v>
      </c>
    </row>
    <row r="4319" spans="1:14" x14ac:dyDescent="0.25">
      <c r="A4319" s="3" t="s">
        <v>4330</v>
      </c>
      <c r="B4319" s="4">
        <v>26.33</v>
      </c>
      <c r="C4319" s="4">
        <v>0.21</v>
      </c>
      <c r="D4319" s="4">
        <v>0.09</v>
      </c>
      <c r="E4319" s="4">
        <v>-2.6090974085070918E-2</v>
      </c>
      <c r="F4319" s="3">
        <v>4317</v>
      </c>
      <c r="G4319" s="3">
        <v>4</v>
      </c>
      <c r="H4319" s="5">
        <v>2674692045952.2002</v>
      </c>
      <c r="I4319" s="5">
        <v>2671718045952.2002</v>
      </c>
      <c r="J4319" s="5">
        <v>75805000000</v>
      </c>
      <c r="K4319" s="5">
        <v>78779000000</v>
      </c>
      <c r="L4319" s="5">
        <v>637959000000</v>
      </c>
      <c r="M4319" s="5">
        <v>101456000000</v>
      </c>
      <c r="N4319" s="5">
        <v>59248000000</v>
      </c>
    </row>
    <row r="4320" spans="1:14" x14ac:dyDescent="0.25">
      <c r="A4320" s="3" t="s">
        <v>4331</v>
      </c>
      <c r="B4320" s="4">
        <v>-0.16</v>
      </c>
      <c r="C4320" s="4">
        <v>-5.4</v>
      </c>
      <c r="D4320" s="4">
        <v>-0.9</v>
      </c>
      <c r="E4320" s="4">
        <v>-2.6096055359796779E-2</v>
      </c>
      <c r="F4320" s="3">
        <v>4318</v>
      </c>
      <c r="G4320" s="3">
        <v>4</v>
      </c>
      <c r="H4320" s="5">
        <v>115398.27</v>
      </c>
      <c r="I4320" s="5">
        <v>4483398.2699999996</v>
      </c>
      <c r="J4320" s="5">
        <v>14594000</v>
      </c>
      <c r="K4320" s="5">
        <v>10226000</v>
      </c>
      <c r="L4320" s="5">
        <v>31702000</v>
      </c>
      <c r="M4320" s="5">
        <v>-28415000</v>
      </c>
      <c r="N4320" s="5">
        <v>-28033000</v>
      </c>
    </row>
    <row r="4321" spans="1:14" x14ac:dyDescent="0.25">
      <c r="A4321" s="3" t="s">
        <v>4332</v>
      </c>
      <c r="B4321" s="4">
        <v>25.29</v>
      </c>
      <c r="C4321" s="4">
        <v>-0.02</v>
      </c>
      <c r="D4321" s="4">
        <v>-0.01</v>
      </c>
      <c r="E4321" s="4">
        <v>-2.613113991968246E-2</v>
      </c>
      <c r="F4321" s="3">
        <v>4319</v>
      </c>
      <c r="G4321" s="3">
        <v>4</v>
      </c>
      <c r="H4321" s="5">
        <v>1393921515</v>
      </c>
      <c r="I4321" s="5">
        <v>3058983515</v>
      </c>
      <c r="J4321" s="5">
        <v>1672313000</v>
      </c>
      <c r="K4321" s="5">
        <v>7251000</v>
      </c>
      <c r="L4321" s="5">
        <v>271074000</v>
      </c>
      <c r="M4321" s="5">
        <v>120954000</v>
      </c>
      <c r="N4321" s="5">
        <v>-23120000</v>
      </c>
    </row>
    <row r="4322" spans="1:14" x14ac:dyDescent="0.25">
      <c r="A4322" s="3" t="s">
        <v>4333</v>
      </c>
      <c r="B4322" s="4">
        <v>18.64</v>
      </c>
      <c r="C4322" s="4">
        <v>-1.46</v>
      </c>
      <c r="D4322" s="4">
        <v>0.21</v>
      </c>
      <c r="E4322" s="4">
        <v>-2.6133558956502771E-2</v>
      </c>
      <c r="F4322" s="3">
        <v>4320</v>
      </c>
      <c r="G4322" s="3">
        <v>4</v>
      </c>
      <c r="H4322" s="5">
        <v>158305100537.25</v>
      </c>
      <c r="I4322" s="5">
        <v>158772100537.25</v>
      </c>
      <c r="J4322" s="5">
        <v>16631000000</v>
      </c>
      <c r="K4322" s="5">
        <v>16164000000</v>
      </c>
      <c r="L4322" s="5">
        <v>23739000000</v>
      </c>
      <c r="M4322" s="5">
        <v>8517000000</v>
      </c>
      <c r="N4322" s="5">
        <v>5882000000</v>
      </c>
    </row>
    <row r="4323" spans="1:14" x14ac:dyDescent="0.25">
      <c r="A4323" s="3" t="s">
        <v>4334</v>
      </c>
      <c r="B4323" s="4">
        <v>25.39</v>
      </c>
      <c r="C4323" s="4">
        <v>-0.01</v>
      </c>
      <c r="D4323" s="4">
        <v>0</v>
      </c>
      <c r="E4323" s="4">
        <v>-2.6162209343061269E-2</v>
      </c>
      <c r="F4323" s="3">
        <v>4321</v>
      </c>
      <c r="G4323" s="3">
        <v>4</v>
      </c>
      <c r="H4323" s="5">
        <v>20807652362.240002</v>
      </c>
      <c r="I4323" s="5">
        <v>43105576362.240013</v>
      </c>
      <c r="J4323" s="5">
        <v>26603317000</v>
      </c>
      <c r="K4323" s="5">
        <v>4305393000</v>
      </c>
      <c r="L4323" s="5">
        <v>15825516000</v>
      </c>
      <c r="M4323" s="5">
        <v>1697597000</v>
      </c>
      <c r="N4323" s="5">
        <v>-119546000</v>
      </c>
    </row>
    <row r="4324" spans="1:14" x14ac:dyDescent="0.25">
      <c r="A4324" s="3" t="s">
        <v>4335</v>
      </c>
      <c r="B4324" s="4">
        <v>27.78</v>
      </c>
      <c r="C4324" s="4">
        <v>0.48</v>
      </c>
      <c r="D4324" s="4">
        <v>0.22</v>
      </c>
      <c r="E4324" s="4">
        <v>-2.6183204176249211E-2</v>
      </c>
      <c r="F4324" s="3">
        <v>4322</v>
      </c>
      <c r="G4324" s="3">
        <v>4</v>
      </c>
      <c r="H4324" s="5">
        <v>28843759.109999999</v>
      </c>
      <c r="I4324" s="5">
        <v>28516649.109999999</v>
      </c>
      <c r="J4324" s="5">
        <v>0</v>
      </c>
      <c r="K4324" s="5">
        <v>327110</v>
      </c>
      <c r="L4324" s="5">
        <v>2011200</v>
      </c>
      <c r="M4324" s="5">
        <v>1026690</v>
      </c>
      <c r="N4324" s="5">
        <v>798720</v>
      </c>
    </row>
    <row r="4325" spans="1:14" x14ac:dyDescent="0.25">
      <c r="A4325" s="3" t="s">
        <v>4336</v>
      </c>
      <c r="B4325" s="4">
        <v>25.6</v>
      </c>
      <c r="C4325" s="4">
        <v>0.02</v>
      </c>
      <c r="D4325" s="4">
        <v>0.01</v>
      </c>
      <c r="E4325" s="4">
        <v>-2.620357281507902E-2</v>
      </c>
      <c r="F4325" s="3">
        <v>4323</v>
      </c>
      <c r="G4325" s="3">
        <v>4</v>
      </c>
      <c r="H4325" s="5">
        <v>8113501735.0799999</v>
      </c>
      <c r="I4325" s="5">
        <v>8637346735.0799999</v>
      </c>
      <c r="J4325" s="5">
        <v>550713000</v>
      </c>
      <c r="K4325" s="5">
        <v>26868000</v>
      </c>
      <c r="L4325" s="5">
        <v>929925000</v>
      </c>
      <c r="M4325" s="5">
        <v>337393000</v>
      </c>
      <c r="N4325" s="5">
        <v>35802000</v>
      </c>
    </row>
    <row r="4326" spans="1:14" x14ac:dyDescent="0.25">
      <c r="A4326" s="3" t="s">
        <v>4337</v>
      </c>
      <c r="B4326" s="4">
        <v>26.38</v>
      </c>
      <c r="C4326" s="4">
        <v>0.18</v>
      </c>
      <c r="D4326" s="4">
        <v>0.09</v>
      </c>
      <c r="E4326" s="4">
        <v>-2.6208600934599681E-2</v>
      </c>
      <c r="F4326" s="3">
        <v>4324</v>
      </c>
      <c r="G4326" s="3">
        <v>4</v>
      </c>
      <c r="H4326" s="5">
        <v>50065471775.879997</v>
      </c>
      <c r="I4326" s="5">
        <v>49813471775.879997</v>
      </c>
      <c r="J4326" s="5">
        <v>1884000000</v>
      </c>
      <c r="K4326" s="5">
        <v>2136000000</v>
      </c>
      <c r="L4326" s="5">
        <v>7463000000</v>
      </c>
      <c r="M4326" s="5">
        <v>1888000000</v>
      </c>
      <c r="N4326" s="5">
        <v>1121000000</v>
      </c>
    </row>
    <row r="4327" spans="1:14" x14ac:dyDescent="0.25">
      <c r="A4327" s="3" t="s">
        <v>4338</v>
      </c>
      <c r="B4327" s="4">
        <v>20.93</v>
      </c>
      <c r="C4327" s="4">
        <v>-0.97</v>
      </c>
      <c r="D4327" s="4">
        <v>-0.18</v>
      </c>
      <c r="E4327" s="4">
        <v>-2.6210332353947801E-2</v>
      </c>
      <c r="F4327" s="3">
        <v>4325</v>
      </c>
      <c r="G4327" s="3">
        <v>4</v>
      </c>
      <c r="H4327" s="5">
        <v>8562639.0500000007</v>
      </c>
      <c r="I4327" s="5">
        <v>107620229.05</v>
      </c>
      <c r="J4327" s="5">
        <v>102094090</v>
      </c>
      <c r="K4327" s="5">
        <v>3036500</v>
      </c>
      <c r="L4327" s="5">
        <v>18925280</v>
      </c>
      <c r="M4327" s="5">
        <v>5142530</v>
      </c>
      <c r="N4327" s="5">
        <v>-25628530</v>
      </c>
    </row>
    <row r="4328" spans="1:14" x14ac:dyDescent="0.25">
      <c r="A4328" s="3" t="s">
        <v>4339</v>
      </c>
      <c r="B4328" s="4">
        <v>-1.53</v>
      </c>
      <c r="C4328" s="4">
        <v>-5.58</v>
      </c>
      <c r="D4328" s="4">
        <v>-3.4</v>
      </c>
      <c r="E4328" s="4">
        <v>-2.6250475749933871E-2</v>
      </c>
      <c r="F4328" s="3">
        <v>4326</v>
      </c>
      <c r="G4328" s="3">
        <v>4</v>
      </c>
      <c r="H4328" s="5">
        <v>27961613.34</v>
      </c>
      <c r="I4328" s="5">
        <v>25371613.34</v>
      </c>
      <c r="J4328" s="5">
        <v>0</v>
      </c>
      <c r="K4328" s="5">
        <v>2590000</v>
      </c>
      <c r="L4328" s="5">
        <v>0</v>
      </c>
      <c r="M4328" s="5">
        <v>-16585000</v>
      </c>
      <c r="N4328" s="5">
        <v>-16268000</v>
      </c>
    </row>
    <row r="4329" spans="1:14" x14ac:dyDescent="0.25">
      <c r="A4329" s="3" t="s">
        <v>4340</v>
      </c>
      <c r="B4329" s="4">
        <v>-2.17</v>
      </c>
      <c r="C4329" s="4">
        <v>0.18</v>
      </c>
      <c r="D4329" s="4">
        <v>-92.31</v>
      </c>
      <c r="E4329" s="4">
        <v>-2.636262424559779E-2</v>
      </c>
      <c r="F4329" s="3">
        <v>4327</v>
      </c>
      <c r="G4329" s="3">
        <v>4</v>
      </c>
      <c r="H4329" s="5">
        <v>548127.97050000005</v>
      </c>
      <c r="I4329" s="5">
        <v>3430737.9704999998</v>
      </c>
      <c r="J4329" s="5">
        <v>2882700</v>
      </c>
      <c r="K4329" s="5">
        <v>90</v>
      </c>
      <c r="L4329" s="5">
        <v>0</v>
      </c>
      <c r="M4329" s="5">
        <v>-1579360</v>
      </c>
      <c r="N4329" s="5">
        <v>-2102720</v>
      </c>
    </row>
    <row r="4330" spans="1:14" x14ac:dyDescent="0.25">
      <c r="A4330" s="3" t="s">
        <v>4341</v>
      </c>
      <c r="B4330" s="4">
        <v>29.49</v>
      </c>
      <c r="C4330" s="4">
        <v>0.77</v>
      </c>
      <c r="D4330" s="4">
        <v>0.35</v>
      </c>
      <c r="E4330" s="4">
        <v>-2.6378566401522599E-2</v>
      </c>
      <c r="F4330" s="3">
        <v>4328</v>
      </c>
      <c r="G4330" s="3">
        <v>4</v>
      </c>
      <c r="H4330" s="5">
        <v>58524375</v>
      </c>
      <c r="I4330" s="5">
        <v>56618985</v>
      </c>
      <c r="J4330" s="5">
        <v>160710</v>
      </c>
      <c r="K4330" s="5">
        <v>2066100</v>
      </c>
      <c r="L4330" s="5">
        <v>4338830</v>
      </c>
      <c r="M4330" s="5">
        <v>1919850</v>
      </c>
      <c r="N4330" s="5">
        <v>1619200</v>
      </c>
    </row>
    <row r="4331" spans="1:14" x14ac:dyDescent="0.25">
      <c r="A4331" s="3" t="s">
        <v>4342</v>
      </c>
      <c r="B4331" s="4">
        <v>27.29</v>
      </c>
      <c r="C4331" s="4">
        <v>0.31</v>
      </c>
      <c r="D4331" s="4">
        <v>0.13</v>
      </c>
      <c r="E4331" s="4">
        <v>-2.6388485655535761E-2</v>
      </c>
      <c r="F4331" s="3">
        <v>4329</v>
      </c>
      <c r="G4331" s="3">
        <v>4</v>
      </c>
      <c r="H4331" s="5">
        <v>76125869575</v>
      </c>
      <c r="I4331" s="5">
        <v>71256869575</v>
      </c>
      <c r="J4331" s="5">
        <v>1995000000</v>
      </c>
      <c r="K4331" s="5">
        <v>6864000000</v>
      </c>
      <c r="L4331" s="5">
        <v>11102000000</v>
      </c>
      <c r="M4331" s="5">
        <v>2611000000</v>
      </c>
      <c r="N4331" s="5">
        <v>2648000000</v>
      </c>
    </row>
    <row r="4332" spans="1:14" x14ac:dyDescent="0.25">
      <c r="A4332" s="3" t="s">
        <v>4343</v>
      </c>
      <c r="B4332" s="4">
        <v>18.399999999999999</v>
      </c>
      <c r="C4332" s="4">
        <v>-1.59</v>
      </c>
      <c r="D4332" s="4">
        <v>0.04</v>
      </c>
      <c r="E4332" s="4">
        <v>-2.639342836277847E-2</v>
      </c>
      <c r="F4332" s="3">
        <v>4330</v>
      </c>
      <c r="G4332" s="3">
        <v>4</v>
      </c>
      <c r="H4332" s="5">
        <v>105012767634.17999</v>
      </c>
      <c r="I4332" s="5">
        <v>104975767634.17999</v>
      </c>
      <c r="J4332" s="5">
        <v>5654000000</v>
      </c>
      <c r="K4332" s="5">
        <v>5691000000</v>
      </c>
      <c r="L4332" s="5">
        <v>359051000000</v>
      </c>
      <c r="M4332" s="5">
        <v>5705000000</v>
      </c>
      <c r="N4332" s="5">
        <v>3295000000</v>
      </c>
    </row>
    <row r="4333" spans="1:14" x14ac:dyDescent="0.25">
      <c r="A4333" s="3" t="s">
        <v>4344</v>
      </c>
      <c r="B4333" s="4">
        <v>19.13</v>
      </c>
      <c r="C4333" s="4">
        <v>-1.46</v>
      </c>
      <c r="D4333" s="4">
        <v>0.35</v>
      </c>
      <c r="E4333" s="4">
        <v>-2.6409823663574489E-2</v>
      </c>
      <c r="F4333" s="3">
        <v>4331</v>
      </c>
      <c r="G4333" s="3">
        <v>4</v>
      </c>
      <c r="H4333" s="5">
        <v>214450886.46000001</v>
      </c>
      <c r="I4333" s="5">
        <v>267869886.46000001</v>
      </c>
      <c r="J4333" s="5">
        <v>59129000</v>
      </c>
      <c r="K4333" s="5">
        <v>5710000</v>
      </c>
      <c r="L4333" s="5">
        <v>90246000</v>
      </c>
      <c r="M4333" s="5">
        <v>14003000</v>
      </c>
      <c r="N4333" s="5">
        <v>36868000</v>
      </c>
    </row>
    <row r="4334" spans="1:14" x14ac:dyDescent="0.25">
      <c r="A4334" s="3" t="s">
        <v>4345</v>
      </c>
      <c r="B4334" s="4">
        <v>25.94</v>
      </c>
      <c r="C4334" s="4">
        <v>0.02</v>
      </c>
      <c r="D4334" s="4">
        <v>0.01</v>
      </c>
      <c r="E4334" s="4">
        <v>-2.6414005808779652E-2</v>
      </c>
      <c r="F4334" s="3">
        <v>4332</v>
      </c>
      <c r="G4334" s="3">
        <v>4</v>
      </c>
      <c r="H4334" s="5">
        <v>3019279032</v>
      </c>
      <c r="I4334" s="5">
        <v>4422530032</v>
      </c>
      <c r="J4334" s="5">
        <v>1417077000</v>
      </c>
      <c r="K4334" s="5">
        <v>13826000</v>
      </c>
      <c r="L4334" s="5">
        <v>1813472000</v>
      </c>
      <c r="M4334" s="5">
        <v>170476000</v>
      </c>
      <c r="N4334" s="5">
        <v>41038000</v>
      </c>
    </row>
    <row r="4335" spans="1:14" x14ac:dyDescent="0.25">
      <c r="A4335" s="3" t="s">
        <v>4346</v>
      </c>
      <c r="B4335" s="4">
        <v>-0.36</v>
      </c>
      <c r="C4335" s="4">
        <v>-5.45</v>
      </c>
      <c r="D4335" s="4">
        <v>-2.46</v>
      </c>
      <c r="E4335" s="4">
        <v>-2.641766742701843E-2</v>
      </c>
      <c r="F4335" s="3">
        <v>4333</v>
      </c>
      <c r="G4335" s="3">
        <v>4</v>
      </c>
      <c r="H4335" s="5">
        <v>71314511.511000007</v>
      </c>
      <c r="I4335" s="5">
        <v>35646511.511000007</v>
      </c>
      <c r="J4335" s="5">
        <v>0</v>
      </c>
      <c r="K4335" s="5">
        <v>35668000</v>
      </c>
      <c r="L4335" s="5">
        <v>0</v>
      </c>
      <c r="M4335" s="5">
        <v>-97918000</v>
      </c>
      <c r="N4335" s="5">
        <v>-100507000</v>
      </c>
    </row>
    <row r="4336" spans="1:14" x14ac:dyDescent="0.25">
      <c r="A4336" s="3" t="s">
        <v>4347</v>
      </c>
      <c r="B4336" s="4">
        <v>-2.62</v>
      </c>
      <c r="C4336" s="4">
        <v>-6.07</v>
      </c>
      <c r="D4336" s="4">
        <v>-0.74</v>
      </c>
      <c r="E4336" s="4">
        <v>-2.6478518003044311E-2</v>
      </c>
      <c r="F4336" s="3">
        <v>4334</v>
      </c>
      <c r="G4336" s="3">
        <v>4</v>
      </c>
      <c r="H4336" s="5">
        <v>107206900.2348</v>
      </c>
      <c r="I4336" s="5">
        <v>112150630.2348</v>
      </c>
      <c r="J4336" s="5">
        <v>6804950</v>
      </c>
      <c r="K4336" s="5">
        <v>1861220</v>
      </c>
      <c r="L4336" s="5">
        <v>54189190</v>
      </c>
      <c r="M4336" s="5">
        <v>-42799510</v>
      </c>
      <c r="N4336" s="5">
        <v>-49206020</v>
      </c>
    </row>
    <row r="4337" spans="1:14" x14ac:dyDescent="0.25">
      <c r="A4337" s="3" t="s">
        <v>4348</v>
      </c>
      <c r="B4337" s="4">
        <v>26.16</v>
      </c>
      <c r="C4337" s="4">
        <v>0.04</v>
      </c>
      <c r="D4337" s="4">
        <v>0.03</v>
      </c>
      <c r="E4337" s="4">
        <v>-2.6488523066931419E-2</v>
      </c>
      <c r="F4337" s="3">
        <v>4335</v>
      </c>
      <c r="G4337" s="3">
        <v>4</v>
      </c>
      <c r="H4337" s="5">
        <v>2801598543.8000002</v>
      </c>
      <c r="I4337" s="5">
        <v>2953521543.8000002</v>
      </c>
      <c r="J4337" s="5">
        <v>420556000</v>
      </c>
      <c r="K4337" s="5">
        <v>268633000</v>
      </c>
      <c r="L4337" s="5">
        <v>975177000</v>
      </c>
      <c r="M4337" s="5">
        <v>112898000</v>
      </c>
      <c r="N4337" s="5">
        <v>46925000</v>
      </c>
    </row>
    <row r="4338" spans="1:14" x14ac:dyDescent="0.25">
      <c r="A4338" s="3" t="s">
        <v>4349</v>
      </c>
      <c r="B4338" s="4">
        <v>27.5</v>
      </c>
      <c r="C4338" s="4">
        <v>0.31</v>
      </c>
      <c r="D4338" s="4">
        <v>0.18</v>
      </c>
      <c r="E4338" s="4">
        <v>-2.6508813842286861E-2</v>
      </c>
      <c r="F4338" s="3">
        <v>4336</v>
      </c>
      <c r="G4338" s="3">
        <v>4</v>
      </c>
      <c r="H4338" s="5">
        <v>248940000</v>
      </c>
      <c r="I4338" s="5">
        <v>247092370</v>
      </c>
      <c r="J4338" s="5">
        <v>0</v>
      </c>
      <c r="K4338" s="5">
        <v>1847630</v>
      </c>
      <c r="L4338" s="5">
        <v>53463790</v>
      </c>
      <c r="M4338" s="5">
        <v>8985840</v>
      </c>
      <c r="N4338" s="5">
        <v>6476770</v>
      </c>
    </row>
    <row r="4339" spans="1:14" x14ac:dyDescent="0.25">
      <c r="A4339" s="3" t="s">
        <v>4350</v>
      </c>
      <c r="B4339" s="4">
        <v>27.8</v>
      </c>
      <c r="C4339" s="4">
        <v>0.37</v>
      </c>
      <c r="D4339" s="4">
        <v>0.18</v>
      </c>
      <c r="E4339" s="4">
        <v>-2.652112837111243E-2</v>
      </c>
      <c r="F4339" s="3">
        <v>4337</v>
      </c>
      <c r="G4339" s="3">
        <v>4</v>
      </c>
      <c r="H4339" s="5">
        <v>2172095764.02</v>
      </c>
      <c r="I4339" s="5">
        <v>2224266764.02</v>
      </c>
      <c r="J4339" s="5">
        <v>357928000</v>
      </c>
      <c r="K4339" s="5">
        <v>305757000</v>
      </c>
      <c r="L4339" s="5">
        <v>769325000</v>
      </c>
      <c r="M4339" s="5">
        <v>80019000</v>
      </c>
      <c r="N4339" s="5">
        <v>215586000</v>
      </c>
    </row>
    <row r="4340" spans="1:14" x14ac:dyDescent="0.25">
      <c r="A4340" s="3" t="s">
        <v>4351</v>
      </c>
      <c r="B4340" s="4">
        <v>0</v>
      </c>
      <c r="C4340" s="4">
        <v>-5.53</v>
      </c>
      <c r="D4340" s="4">
        <v>-0.66</v>
      </c>
      <c r="E4340" s="4">
        <v>-2.6524402904277829E-2</v>
      </c>
      <c r="F4340" s="3">
        <v>4338</v>
      </c>
      <c r="G4340" s="3">
        <v>4</v>
      </c>
      <c r="H4340" s="5">
        <v>1396.0740000000001</v>
      </c>
      <c r="I4340" s="5">
        <v>12726.074000000021</v>
      </c>
      <c r="J4340" s="5">
        <v>2347970</v>
      </c>
      <c r="K4340" s="5">
        <v>2336640</v>
      </c>
      <c r="L4340" s="5">
        <v>11830380</v>
      </c>
      <c r="M4340" s="5">
        <v>-9729070</v>
      </c>
      <c r="N4340" s="5">
        <v>-22393260</v>
      </c>
    </row>
    <row r="4341" spans="1:14" x14ac:dyDescent="0.25">
      <c r="A4341" s="3" t="s">
        <v>4352</v>
      </c>
      <c r="B4341" s="4">
        <v>26.9</v>
      </c>
      <c r="C4341" s="4">
        <v>0.18</v>
      </c>
      <c r="D4341" s="4">
        <v>0.11</v>
      </c>
      <c r="E4341" s="4">
        <v>-2.65265815776927E-2</v>
      </c>
      <c r="F4341" s="3">
        <v>4339</v>
      </c>
      <c r="G4341" s="3">
        <v>4</v>
      </c>
      <c r="H4341" s="5">
        <v>11002157354.74</v>
      </c>
      <c r="I4341" s="5">
        <v>10942457354.74</v>
      </c>
      <c r="J4341" s="5">
        <v>247000000</v>
      </c>
      <c r="K4341" s="5">
        <v>306700000</v>
      </c>
      <c r="L4341" s="5">
        <v>2131200000</v>
      </c>
      <c r="M4341" s="5">
        <v>406800000</v>
      </c>
      <c r="N4341" s="5">
        <v>294700000</v>
      </c>
    </row>
    <row r="4342" spans="1:14" x14ac:dyDescent="0.25">
      <c r="A4342" s="3" t="s">
        <v>4353</v>
      </c>
      <c r="B4342" s="4">
        <v>26.95</v>
      </c>
      <c r="C4342" s="4">
        <v>0.18</v>
      </c>
      <c r="D4342" s="4">
        <v>0.14000000000000001</v>
      </c>
      <c r="E4342" s="4">
        <v>-2.6551740526445568E-2</v>
      </c>
      <c r="F4342" s="3">
        <v>4340</v>
      </c>
      <c r="G4342" s="3">
        <v>4</v>
      </c>
      <c r="H4342" s="5">
        <v>20398835038.48</v>
      </c>
      <c r="I4342" s="5">
        <v>20119835038.48</v>
      </c>
      <c r="J4342" s="5">
        <v>205600000</v>
      </c>
      <c r="K4342" s="5">
        <v>484600000</v>
      </c>
      <c r="L4342" s="5">
        <v>2893200000</v>
      </c>
      <c r="M4342" s="5">
        <v>746700000</v>
      </c>
      <c r="N4342" s="5">
        <v>492700000</v>
      </c>
    </row>
    <row r="4343" spans="1:14" x14ac:dyDescent="0.25">
      <c r="A4343" s="3" t="s">
        <v>4354</v>
      </c>
      <c r="B4343" s="4">
        <v>27.92</v>
      </c>
      <c r="C4343" s="4">
        <v>0.36</v>
      </c>
      <c r="D4343" s="4">
        <v>0.12</v>
      </c>
      <c r="E4343" s="4">
        <v>-2.6635866605956848E-2</v>
      </c>
      <c r="F4343" s="3">
        <v>4341</v>
      </c>
      <c r="G4343" s="3">
        <v>4</v>
      </c>
      <c r="H4343" s="5">
        <v>17231818368.599998</v>
      </c>
      <c r="I4343" s="5">
        <v>17675818368.599998</v>
      </c>
      <c r="J4343" s="5">
        <v>742000000</v>
      </c>
      <c r="K4343" s="5">
        <v>298000000</v>
      </c>
      <c r="L4343" s="5">
        <v>2870000000</v>
      </c>
      <c r="M4343" s="5">
        <v>633000000</v>
      </c>
      <c r="N4343" s="5">
        <v>326000000</v>
      </c>
    </row>
    <row r="4344" spans="1:14" x14ac:dyDescent="0.25">
      <c r="A4344" s="3" t="s">
        <v>4355</v>
      </c>
      <c r="B4344" s="4">
        <v>26.49</v>
      </c>
      <c r="C4344" s="4">
        <v>0.06</v>
      </c>
      <c r="D4344" s="4">
        <v>0.02</v>
      </c>
      <c r="E4344" s="4">
        <v>-2.6636908667483569E-2</v>
      </c>
      <c r="F4344" s="3">
        <v>4342</v>
      </c>
      <c r="G4344" s="3">
        <v>4</v>
      </c>
      <c r="H4344" s="5">
        <v>80720738445.360001</v>
      </c>
      <c r="I4344" s="5">
        <v>95690738445.360001</v>
      </c>
      <c r="J4344" s="5">
        <v>17486000000</v>
      </c>
      <c r="K4344" s="5">
        <v>2516000000</v>
      </c>
      <c r="L4344" s="5">
        <v>8748000000</v>
      </c>
      <c r="M4344" s="5">
        <v>3613000000</v>
      </c>
      <c r="N4344" s="5">
        <v>815000000</v>
      </c>
    </row>
    <row r="4345" spans="1:14" x14ac:dyDescent="0.25">
      <c r="A4345" s="3" t="s">
        <v>4356</v>
      </c>
      <c r="B4345" s="4">
        <v>22.57</v>
      </c>
      <c r="C4345" s="4">
        <v>-0.79</v>
      </c>
      <c r="D4345" s="4">
        <v>0.09</v>
      </c>
      <c r="E4345" s="4">
        <v>-2.66531934444156E-2</v>
      </c>
      <c r="F4345" s="3">
        <v>4343</v>
      </c>
      <c r="G4345" s="3">
        <v>4</v>
      </c>
      <c r="H4345" s="5">
        <v>76841570485.729996</v>
      </c>
      <c r="I4345" s="5">
        <v>90892570485.729996</v>
      </c>
      <c r="J4345" s="5">
        <v>14447000000</v>
      </c>
      <c r="K4345" s="5">
        <v>396000000</v>
      </c>
      <c r="L4345" s="5">
        <v>25100000000</v>
      </c>
      <c r="M4345" s="5">
        <v>4027000000</v>
      </c>
      <c r="N4345" s="5">
        <v>2375000000</v>
      </c>
    </row>
    <row r="4346" spans="1:14" x14ac:dyDescent="0.25">
      <c r="A4346" s="3" t="s">
        <v>4357</v>
      </c>
      <c r="B4346" s="4">
        <v>30.37</v>
      </c>
      <c r="C4346" s="4">
        <v>0.87</v>
      </c>
      <c r="D4346" s="4">
        <v>0.25</v>
      </c>
      <c r="E4346" s="4">
        <v>-2.6653570698495901E-2</v>
      </c>
      <c r="F4346" s="3">
        <v>4344</v>
      </c>
      <c r="G4346" s="3">
        <v>4</v>
      </c>
      <c r="H4346" s="5">
        <v>161231537959.79999</v>
      </c>
      <c r="I4346" s="5">
        <v>165036886959.79999</v>
      </c>
      <c r="J4346" s="5">
        <v>5884257000</v>
      </c>
      <c r="K4346" s="5">
        <v>2078908000</v>
      </c>
      <c r="L4346" s="5">
        <v>12156162000</v>
      </c>
      <c r="M4346" s="5">
        <v>5434327000</v>
      </c>
      <c r="N4346" s="5">
        <v>4061643000</v>
      </c>
    </row>
    <row r="4347" spans="1:14" x14ac:dyDescent="0.25">
      <c r="A4347" s="3" t="s">
        <v>4358</v>
      </c>
      <c r="B4347" s="4">
        <v>27.31</v>
      </c>
      <c r="C4347" s="4">
        <v>0.21</v>
      </c>
      <c r="D4347" s="4">
        <v>0.15</v>
      </c>
      <c r="E4347" s="4">
        <v>-2.668594208391948E-2</v>
      </c>
      <c r="F4347" s="3">
        <v>4345</v>
      </c>
      <c r="G4347" s="3">
        <v>4</v>
      </c>
      <c r="H4347" s="5">
        <v>5486979269.1499996</v>
      </c>
      <c r="I4347" s="5">
        <v>5191674269.1499996</v>
      </c>
      <c r="J4347" s="5">
        <v>0</v>
      </c>
      <c r="K4347" s="5">
        <v>295305000</v>
      </c>
      <c r="L4347" s="5">
        <v>826558000</v>
      </c>
      <c r="M4347" s="5">
        <v>190121000</v>
      </c>
      <c r="N4347" s="5">
        <v>124942000</v>
      </c>
    </row>
    <row r="4348" spans="1:14" x14ac:dyDescent="0.25">
      <c r="A4348" s="3" t="s">
        <v>4359</v>
      </c>
      <c r="B4348" s="4">
        <v>27.68</v>
      </c>
      <c r="C4348" s="4">
        <v>0.28000000000000003</v>
      </c>
      <c r="D4348" s="4">
        <v>0.16</v>
      </c>
      <c r="E4348" s="4">
        <v>-2.6710758419032629E-2</v>
      </c>
      <c r="F4348" s="3">
        <v>4346</v>
      </c>
      <c r="G4348" s="3">
        <v>4</v>
      </c>
      <c r="H4348" s="5">
        <v>270541293.44</v>
      </c>
      <c r="I4348" s="5">
        <v>263466293.44</v>
      </c>
      <c r="J4348" s="5">
        <v>0</v>
      </c>
      <c r="K4348" s="5">
        <v>7075000</v>
      </c>
      <c r="L4348" s="5">
        <v>76592000</v>
      </c>
      <c r="M4348" s="5">
        <v>9520000</v>
      </c>
      <c r="N4348" s="5">
        <v>8359000</v>
      </c>
    </row>
    <row r="4349" spans="1:14" x14ac:dyDescent="0.25">
      <c r="A4349" s="3" t="s">
        <v>4360</v>
      </c>
      <c r="B4349" s="4">
        <v>-0.18</v>
      </c>
      <c r="C4349" s="4">
        <v>-5.57</v>
      </c>
      <c r="D4349" s="4">
        <v>-1.65</v>
      </c>
      <c r="E4349" s="4">
        <v>-2.671954526096134E-2</v>
      </c>
      <c r="F4349" s="3">
        <v>4347</v>
      </c>
      <c r="G4349" s="3">
        <v>4</v>
      </c>
      <c r="H4349" s="5">
        <v>32.369610999999999</v>
      </c>
      <c r="I4349" s="5">
        <v>1918032.3696110011</v>
      </c>
      <c r="J4349" s="5">
        <v>10298000</v>
      </c>
      <c r="K4349" s="5">
        <v>8380000</v>
      </c>
      <c r="L4349" s="5">
        <v>9002000</v>
      </c>
      <c r="M4349" s="5">
        <v>-10567000</v>
      </c>
      <c r="N4349" s="5">
        <v>-36255000</v>
      </c>
    </row>
    <row r="4350" spans="1:14" x14ac:dyDescent="0.25">
      <c r="A4350" s="3" t="s">
        <v>4361</v>
      </c>
      <c r="B4350" s="4">
        <v>28.45</v>
      </c>
      <c r="C4350" s="4">
        <v>0.42</v>
      </c>
      <c r="D4350" s="4">
        <v>0.32</v>
      </c>
      <c r="E4350" s="4">
        <v>-2.675195233426509E-2</v>
      </c>
      <c r="F4350" s="3">
        <v>4348</v>
      </c>
      <c r="G4350" s="3">
        <v>4</v>
      </c>
      <c r="H4350" s="5">
        <v>48635364000</v>
      </c>
      <c r="I4350" s="5">
        <v>46187864000</v>
      </c>
      <c r="J4350" s="5">
        <v>597700000</v>
      </c>
      <c r="K4350" s="5">
        <v>3045200000</v>
      </c>
      <c r="L4350" s="5">
        <v>5439500000</v>
      </c>
      <c r="M4350" s="5">
        <v>1623300000</v>
      </c>
      <c r="N4350" s="5">
        <v>4174600000</v>
      </c>
    </row>
    <row r="4351" spans="1:14" x14ac:dyDescent="0.25">
      <c r="A4351" s="3" t="s">
        <v>4362</v>
      </c>
      <c r="B4351" s="4">
        <v>12.06</v>
      </c>
      <c r="C4351" s="4">
        <v>-3.1</v>
      </c>
      <c r="D4351" s="4">
        <v>0.06</v>
      </c>
      <c r="E4351" s="4">
        <v>-2.6828548556859521E-2</v>
      </c>
      <c r="F4351" s="3">
        <v>4349</v>
      </c>
      <c r="G4351" s="3">
        <v>4</v>
      </c>
      <c r="H4351" s="5">
        <v>102145209891.03</v>
      </c>
      <c r="I4351" s="5">
        <v>123079209891.03</v>
      </c>
      <c r="J4351" s="5">
        <v>24567000000</v>
      </c>
      <c r="K4351" s="5">
        <v>3633000000</v>
      </c>
      <c r="L4351" s="5">
        <v>95567000000</v>
      </c>
      <c r="M4351" s="5">
        <v>10202000000</v>
      </c>
      <c r="N4351" s="5">
        <v>4592000000</v>
      </c>
    </row>
    <row r="4352" spans="1:14" x14ac:dyDescent="0.25">
      <c r="A4352" s="3" t="s">
        <v>4363</v>
      </c>
      <c r="B4352" s="4">
        <v>26.83</v>
      </c>
      <c r="C4352" s="4">
        <v>0.05</v>
      </c>
      <c r="D4352" s="4">
        <v>0.02</v>
      </c>
      <c r="E4352" s="4">
        <v>-2.687623526819866E-2</v>
      </c>
      <c r="F4352" s="3">
        <v>4350</v>
      </c>
      <c r="G4352" s="3">
        <v>4</v>
      </c>
      <c r="H4352" s="5">
        <v>74676090491.600006</v>
      </c>
      <c r="I4352" s="5">
        <v>80119090491.600006</v>
      </c>
      <c r="J4352" s="5">
        <v>7211000000</v>
      </c>
      <c r="K4352" s="5">
        <v>1768000000</v>
      </c>
      <c r="L4352" s="5">
        <v>13118000000</v>
      </c>
      <c r="M4352" s="5">
        <v>2986000000</v>
      </c>
      <c r="N4352" s="5">
        <v>506000000</v>
      </c>
    </row>
    <row r="4353" spans="1:14" x14ac:dyDescent="0.25">
      <c r="A4353" s="3" t="s">
        <v>4364</v>
      </c>
      <c r="B4353" s="4">
        <v>26.53</v>
      </c>
      <c r="C4353" s="4">
        <v>-0.02</v>
      </c>
      <c r="D4353" s="4">
        <v>-0.01</v>
      </c>
      <c r="E4353" s="4">
        <v>-2.6898601426120061E-2</v>
      </c>
      <c r="F4353" s="3">
        <v>4351</v>
      </c>
      <c r="G4353" s="3">
        <v>4</v>
      </c>
      <c r="H4353" s="5">
        <v>19055117.25</v>
      </c>
      <c r="I4353" s="5">
        <v>46874307.25</v>
      </c>
      <c r="J4353" s="5">
        <v>28300830</v>
      </c>
      <c r="K4353" s="5">
        <v>481640</v>
      </c>
      <c r="L4353" s="5">
        <v>5062770</v>
      </c>
      <c r="M4353" s="5">
        <v>1767040</v>
      </c>
      <c r="N4353" s="5">
        <v>-995190</v>
      </c>
    </row>
    <row r="4354" spans="1:14" x14ac:dyDescent="0.25">
      <c r="A4354" s="3" t="s">
        <v>4365</v>
      </c>
      <c r="B4354" s="4">
        <v>28.36</v>
      </c>
      <c r="C4354" s="4">
        <v>0.32</v>
      </c>
      <c r="D4354" s="4">
        <v>0.24</v>
      </c>
      <c r="E4354" s="4">
        <v>-2.7000617765756019E-2</v>
      </c>
      <c r="F4354" s="3">
        <v>4352</v>
      </c>
      <c r="G4354" s="3">
        <v>4</v>
      </c>
      <c r="H4354" s="5">
        <v>47850128851.279999</v>
      </c>
      <c r="I4354" s="5">
        <v>47794328851.279999</v>
      </c>
      <c r="J4354" s="5">
        <v>200000000</v>
      </c>
      <c r="K4354" s="5">
        <v>255800000</v>
      </c>
      <c r="L4354" s="5">
        <v>7546000000</v>
      </c>
      <c r="M4354" s="5">
        <v>1685400000</v>
      </c>
      <c r="N4354" s="5">
        <v>1150600000</v>
      </c>
    </row>
    <row r="4355" spans="1:14" x14ac:dyDescent="0.25">
      <c r="A4355" s="3" t="s">
        <v>4366</v>
      </c>
      <c r="B4355" s="4">
        <v>27.59</v>
      </c>
      <c r="C4355" s="4">
        <v>0.16</v>
      </c>
      <c r="D4355" s="4">
        <v>0.02</v>
      </c>
      <c r="E4355" s="4">
        <v>-2.7028785224017509E-2</v>
      </c>
      <c r="F4355" s="3">
        <v>4353</v>
      </c>
      <c r="G4355" s="3">
        <v>4</v>
      </c>
      <c r="H4355" s="5">
        <v>7165164042.6000004</v>
      </c>
      <c r="I4355" s="5">
        <v>28145164042.599998</v>
      </c>
      <c r="J4355" s="5">
        <v>21438000000</v>
      </c>
      <c r="K4355" s="5">
        <v>458000000</v>
      </c>
      <c r="L4355" s="5">
        <v>5722000000</v>
      </c>
      <c r="M4355" s="5">
        <v>1020000000</v>
      </c>
      <c r="N4355" s="5">
        <v>509000000</v>
      </c>
    </row>
    <row r="4356" spans="1:14" x14ac:dyDescent="0.25">
      <c r="A4356" s="3" t="s">
        <v>4367</v>
      </c>
      <c r="B4356" s="4">
        <v>13.74</v>
      </c>
      <c r="C4356" s="4">
        <v>-2.81</v>
      </c>
      <c r="D4356" s="4">
        <v>0.02</v>
      </c>
      <c r="E4356" s="4">
        <v>-2.7038136616859269E-2</v>
      </c>
      <c r="F4356" s="3">
        <v>4354</v>
      </c>
      <c r="G4356" s="3">
        <v>4</v>
      </c>
      <c r="H4356" s="5">
        <v>2103700229.78</v>
      </c>
      <c r="I4356" s="5">
        <v>2659932229.7800002</v>
      </c>
      <c r="J4356" s="5">
        <v>599249000</v>
      </c>
      <c r="K4356" s="5">
        <v>43017000</v>
      </c>
      <c r="L4356" s="5">
        <v>942734000</v>
      </c>
      <c r="M4356" s="5">
        <v>193591000</v>
      </c>
      <c r="N4356" s="5">
        <v>37431000</v>
      </c>
    </row>
    <row r="4357" spans="1:14" x14ac:dyDescent="0.25">
      <c r="A4357" s="3" t="s">
        <v>4368</v>
      </c>
      <c r="B4357" s="4">
        <v>26.58</v>
      </c>
      <c r="C4357" s="4">
        <v>-0.06</v>
      </c>
      <c r="D4357" s="4">
        <v>-0.04</v>
      </c>
      <c r="E4357" s="4">
        <v>-2.70509089623958E-2</v>
      </c>
      <c r="F4357" s="3">
        <v>4355</v>
      </c>
      <c r="G4357" s="3">
        <v>4</v>
      </c>
      <c r="H4357" s="5">
        <v>147728699.03999999</v>
      </c>
      <c r="I4357" s="5">
        <v>493381699.04000002</v>
      </c>
      <c r="J4357" s="5">
        <v>354444000</v>
      </c>
      <c r="K4357" s="5">
        <v>8791000</v>
      </c>
      <c r="L4357" s="5">
        <v>83222000</v>
      </c>
      <c r="M4357" s="5">
        <v>18559000</v>
      </c>
      <c r="N4357" s="5">
        <v>-46730000</v>
      </c>
    </row>
    <row r="4358" spans="1:14" x14ac:dyDescent="0.25">
      <c r="A4358" s="3" t="s">
        <v>4369</v>
      </c>
      <c r="B4358" s="4">
        <v>0.31</v>
      </c>
      <c r="C4358" s="4">
        <v>-5.59</v>
      </c>
      <c r="D4358" s="4">
        <v>-1.56</v>
      </c>
      <c r="E4358" s="4">
        <v>-2.7063242314949498E-2</v>
      </c>
      <c r="F4358" s="3">
        <v>4356</v>
      </c>
      <c r="G4358" s="3">
        <v>4</v>
      </c>
      <c r="H4358" s="5">
        <v>596.26520000000005</v>
      </c>
      <c r="I4358" s="5">
        <v>-11362583.7348</v>
      </c>
      <c r="J4358" s="5">
        <v>936560</v>
      </c>
      <c r="K4358" s="5">
        <v>12299740</v>
      </c>
      <c r="L4358" s="5">
        <v>0</v>
      </c>
      <c r="M4358" s="5">
        <v>-36742060</v>
      </c>
      <c r="N4358" s="5">
        <v>-34179630</v>
      </c>
    </row>
    <row r="4359" spans="1:14" x14ac:dyDescent="0.25">
      <c r="A4359" s="3" t="s">
        <v>4370</v>
      </c>
      <c r="B4359" s="4">
        <v>26.99</v>
      </c>
      <c r="C4359" s="4">
        <v>0.01</v>
      </c>
      <c r="D4359" s="4">
        <v>0</v>
      </c>
      <c r="E4359" s="4">
        <v>-2.7094695040564741E-2</v>
      </c>
      <c r="F4359" s="3">
        <v>4357</v>
      </c>
      <c r="G4359" s="3">
        <v>4</v>
      </c>
      <c r="H4359" s="5">
        <v>22399286</v>
      </c>
      <c r="I4359" s="5">
        <v>20969076</v>
      </c>
      <c r="J4359" s="5">
        <v>0</v>
      </c>
      <c r="K4359" s="5">
        <v>1430210</v>
      </c>
      <c r="L4359" s="5">
        <v>3198130</v>
      </c>
      <c r="M4359" s="5">
        <v>777030</v>
      </c>
      <c r="N4359" s="5">
        <v>239160</v>
      </c>
    </row>
    <row r="4360" spans="1:14" x14ac:dyDescent="0.25">
      <c r="A4360" s="3" t="s">
        <v>4371</v>
      </c>
      <c r="B4360" s="4">
        <v>28.25</v>
      </c>
      <c r="C4360" s="4">
        <v>0.27</v>
      </c>
      <c r="D4360" s="4">
        <v>0.08</v>
      </c>
      <c r="E4360" s="4">
        <v>-2.7107868963400551E-2</v>
      </c>
      <c r="F4360" s="3">
        <v>4358</v>
      </c>
      <c r="G4360" s="3">
        <v>4</v>
      </c>
      <c r="H4360" s="5">
        <v>40768712352.199997</v>
      </c>
      <c r="I4360" s="5">
        <v>43937212352.199997</v>
      </c>
      <c r="J4360" s="5">
        <v>3639500000</v>
      </c>
      <c r="K4360" s="5">
        <v>471000000</v>
      </c>
      <c r="L4360" s="5">
        <v>8264200000</v>
      </c>
      <c r="M4360" s="5">
        <v>1555400000</v>
      </c>
      <c r="N4360" s="5">
        <v>952500000</v>
      </c>
    </row>
    <row r="4361" spans="1:14" x14ac:dyDescent="0.25">
      <c r="A4361" s="3" t="s">
        <v>4372</v>
      </c>
      <c r="B4361" s="4">
        <v>28.34</v>
      </c>
      <c r="C4361" s="4">
        <v>0.26</v>
      </c>
      <c r="D4361" s="4">
        <v>0.14000000000000001</v>
      </c>
      <c r="E4361" s="4">
        <v>-2.7180891262223669E-2</v>
      </c>
      <c r="F4361" s="3">
        <v>4359</v>
      </c>
      <c r="G4361" s="3">
        <v>4</v>
      </c>
      <c r="H4361" s="5">
        <v>3719913604.0999999</v>
      </c>
      <c r="I4361" s="5">
        <v>3662364604.0999999</v>
      </c>
      <c r="J4361" s="5">
        <v>0</v>
      </c>
      <c r="K4361" s="5">
        <v>57549000</v>
      </c>
      <c r="L4361" s="5">
        <v>558514000</v>
      </c>
      <c r="M4361" s="5">
        <v>129246000</v>
      </c>
      <c r="N4361" s="5">
        <v>109002000</v>
      </c>
    </row>
    <row r="4362" spans="1:14" x14ac:dyDescent="0.25">
      <c r="A4362" s="3" t="s">
        <v>4373</v>
      </c>
      <c r="B4362" s="4">
        <v>27.76</v>
      </c>
      <c r="C4362" s="4">
        <v>0.14000000000000001</v>
      </c>
      <c r="D4362" s="4">
        <v>0.02</v>
      </c>
      <c r="E4362" s="4">
        <v>-2.7191788934896748E-2</v>
      </c>
      <c r="F4362" s="3">
        <v>4360</v>
      </c>
      <c r="G4362" s="3">
        <v>4</v>
      </c>
      <c r="H4362" s="5">
        <v>1007186760.0599999</v>
      </c>
      <c r="I4362" s="5">
        <v>9590062760.0599995</v>
      </c>
      <c r="J4362" s="5">
        <v>9087489000</v>
      </c>
      <c r="K4362" s="5">
        <v>504613000</v>
      </c>
      <c r="L4362" s="5">
        <v>1138882000</v>
      </c>
      <c r="M4362" s="5">
        <v>345468000</v>
      </c>
      <c r="N4362" s="5">
        <v>298168000</v>
      </c>
    </row>
    <row r="4363" spans="1:14" x14ac:dyDescent="0.25">
      <c r="A4363" s="3" t="s">
        <v>4374</v>
      </c>
      <c r="B4363" s="4">
        <v>32.68</v>
      </c>
      <c r="C4363" s="4">
        <v>1.17</v>
      </c>
      <c r="D4363" s="4">
        <v>0.18</v>
      </c>
      <c r="E4363" s="4">
        <v>-2.722997219012958E-2</v>
      </c>
      <c r="F4363" s="3">
        <v>4361</v>
      </c>
      <c r="G4363" s="3">
        <v>4</v>
      </c>
      <c r="H4363" s="5">
        <v>65891216177.669998</v>
      </c>
      <c r="I4363" s="5">
        <v>64009616177.669998</v>
      </c>
      <c r="J4363" s="5">
        <v>994300000</v>
      </c>
      <c r="K4363" s="5">
        <v>2875900000</v>
      </c>
      <c r="L4363" s="5">
        <v>5955800000</v>
      </c>
      <c r="M4363" s="5">
        <v>1958700000</v>
      </c>
      <c r="N4363" s="5">
        <v>1745200000</v>
      </c>
    </row>
    <row r="4364" spans="1:14" x14ac:dyDescent="0.25">
      <c r="A4364" s="3" t="s">
        <v>4375</v>
      </c>
      <c r="B4364" s="4">
        <v>27.59</v>
      </c>
      <c r="C4364" s="4">
        <v>0.08</v>
      </c>
      <c r="D4364" s="4">
        <v>0.05</v>
      </c>
      <c r="E4364" s="4">
        <v>-2.7254147000400662E-2</v>
      </c>
      <c r="F4364" s="3">
        <v>4362</v>
      </c>
      <c r="G4364" s="3">
        <v>4</v>
      </c>
      <c r="H4364" s="5">
        <v>6822465625</v>
      </c>
      <c r="I4364" s="5">
        <v>7153165625</v>
      </c>
      <c r="J4364" s="5">
        <v>428970000</v>
      </c>
      <c r="K4364" s="5">
        <v>98270000</v>
      </c>
      <c r="L4364" s="5">
        <v>1104036000</v>
      </c>
      <c r="M4364" s="5">
        <v>259294000</v>
      </c>
      <c r="N4364" s="5">
        <v>117778000</v>
      </c>
    </row>
    <row r="4365" spans="1:14" x14ac:dyDescent="0.25">
      <c r="A4365" s="3" t="s">
        <v>4376</v>
      </c>
      <c r="B4365" s="4">
        <v>28.55</v>
      </c>
      <c r="C4365" s="4">
        <v>0.27</v>
      </c>
      <c r="D4365" s="4">
        <v>0.09</v>
      </c>
      <c r="E4365" s="4">
        <v>-2.729161610773536E-2</v>
      </c>
      <c r="F4365" s="3">
        <v>4363</v>
      </c>
      <c r="G4365" s="3">
        <v>4</v>
      </c>
      <c r="H4365" s="5">
        <v>23120164604.16</v>
      </c>
      <c r="I4365" s="5">
        <v>25020364604.16</v>
      </c>
      <c r="J4365" s="5">
        <v>2506300000</v>
      </c>
      <c r="K4365" s="5">
        <v>606100000</v>
      </c>
      <c r="L4365" s="5">
        <v>4033000000</v>
      </c>
      <c r="M4365" s="5">
        <v>876300000</v>
      </c>
      <c r="N4365" s="5">
        <v>576200000</v>
      </c>
    </row>
    <row r="4366" spans="1:14" x14ac:dyDescent="0.25">
      <c r="A4366" s="3" t="s">
        <v>4377</v>
      </c>
      <c r="B4366" s="4">
        <v>28.84</v>
      </c>
      <c r="C4366" s="4">
        <v>0.33</v>
      </c>
      <c r="D4366" s="4">
        <v>0.04</v>
      </c>
      <c r="E4366" s="4">
        <v>-2.7307386563751399E-2</v>
      </c>
      <c r="F4366" s="3">
        <v>4364</v>
      </c>
      <c r="G4366" s="3">
        <v>4</v>
      </c>
      <c r="H4366" s="5">
        <v>251981934667.39999</v>
      </c>
      <c r="I4366" s="5">
        <v>405477934667.40002</v>
      </c>
      <c r="J4366" s="5">
        <v>190502000000</v>
      </c>
      <c r="K4366" s="5">
        <v>37006000000</v>
      </c>
      <c r="L4366" s="5">
        <v>71644000000</v>
      </c>
      <c r="M4366" s="5">
        <v>14061000000</v>
      </c>
      <c r="N4366" s="5">
        <v>10129000000</v>
      </c>
    </row>
    <row r="4367" spans="1:14" x14ac:dyDescent="0.25">
      <c r="A4367" s="3" t="s">
        <v>4378</v>
      </c>
      <c r="B4367" s="4">
        <v>28.14</v>
      </c>
      <c r="C4367" s="4">
        <v>0.17</v>
      </c>
      <c r="D4367" s="4">
        <v>0.09</v>
      </c>
      <c r="E4367" s="4">
        <v>-2.7326794744299769E-2</v>
      </c>
      <c r="F4367" s="3">
        <v>4365</v>
      </c>
      <c r="G4367" s="3">
        <v>4</v>
      </c>
      <c r="H4367" s="5">
        <v>15730339092.719999</v>
      </c>
      <c r="I4367" s="5">
        <v>16320539092.719999</v>
      </c>
      <c r="J4367" s="5">
        <v>872470000</v>
      </c>
      <c r="K4367" s="5">
        <v>282270000</v>
      </c>
      <c r="L4367" s="5">
        <v>3324249000</v>
      </c>
      <c r="M4367" s="5">
        <v>579935000</v>
      </c>
      <c r="N4367" s="5">
        <v>372971000</v>
      </c>
    </row>
    <row r="4368" spans="1:14" x14ac:dyDescent="0.25">
      <c r="A4368" s="3" t="s">
        <v>4379</v>
      </c>
      <c r="B4368" s="4">
        <v>27.3</v>
      </c>
      <c r="C4368" s="4">
        <v>-0.02</v>
      </c>
      <c r="D4368" s="4">
        <v>0</v>
      </c>
      <c r="E4368" s="4">
        <v>-2.7373241238217511E-2</v>
      </c>
      <c r="F4368" s="3">
        <v>4366</v>
      </c>
      <c r="G4368" s="3">
        <v>4</v>
      </c>
      <c r="H4368" s="5">
        <v>1351417991</v>
      </c>
      <c r="I4368" s="5">
        <v>5918817991</v>
      </c>
      <c r="J4368" s="5">
        <v>4784900000</v>
      </c>
      <c r="K4368" s="5">
        <v>217500000</v>
      </c>
      <c r="L4368" s="5">
        <v>531400000</v>
      </c>
      <c r="M4368" s="5">
        <v>216800000</v>
      </c>
      <c r="N4368" s="5">
        <v>-33000000</v>
      </c>
    </row>
    <row r="4369" spans="1:14" x14ac:dyDescent="0.25">
      <c r="A4369" s="3" t="s">
        <v>4380</v>
      </c>
      <c r="B4369" s="4">
        <v>27.91</v>
      </c>
      <c r="C4369" s="4">
        <v>0.1</v>
      </c>
      <c r="D4369" s="4">
        <v>0.05</v>
      </c>
      <c r="E4369" s="4">
        <v>-2.7394414368678219E-2</v>
      </c>
      <c r="F4369" s="3">
        <v>4367</v>
      </c>
      <c r="G4369" s="3">
        <v>4</v>
      </c>
      <c r="H4369" s="5">
        <v>3435222089.6999998</v>
      </c>
      <c r="I4369" s="5">
        <v>3963110089.6999998</v>
      </c>
      <c r="J4369" s="5">
        <v>616644000</v>
      </c>
      <c r="K4369" s="5">
        <v>88756000</v>
      </c>
      <c r="L4369" s="5">
        <v>402737000</v>
      </c>
      <c r="M4369" s="5">
        <v>141971000</v>
      </c>
      <c r="N4369" s="5">
        <v>74189000</v>
      </c>
    </row>
    <row r="4370" spans="1:14" x14ac:dyDescent="0.25">
      <c r="A4370" s="3" t="s">
        <v>4381</v>
      </c>
      <c r="B4370" s="4">
        <v>-2.42</v>
      </c>
      <c r="C4370" s="4">
        <v>0.25</v>
      </c>
      <c r="D4370" s="4">
        <v>-99.58</v>
      </c>
      <c r="E4370" s="4">
        <v>-2.7408041175916411E-2</v>
      </c>
      <c r="F4370" s="3">
        <v>4368</v>
      </c>
      <c r="G4370" s="3">
        <v>4</v>
      </c>
      <c r="H4370" s="5">
        <v>7357.1127459999998</v>
      </c>
      <c r="I4370" s="5">
        <v>10618317.112746</v>
      </c>
      <c r="J4370" s="5">
        <v>10628410</v>
      </c>
      <c r="K4370" s="5">
        <v>17450</v>
      </c>
      <c r="L4370" s="5">
        <v>3297920</v>
      </c>
      <c r="M4370" s="5">
        <v>-4379580</v>
      </c>
      <c r="N4370" s="5">
        <v>-10418950</v>
      </c>
    </row>
    <row r="4371" spans="1:14" x14ac:dyDescent="0.25">
      <c r="A4371" s="3" t="s">
        <v>4382</v>
      </c>
      <c r="B4371" s="4">
        <v>26.96</v>
      </c>
      <c r="C4371" s="4">
        <v>-0.11</v>
      </c>
      <c r="D4371" s="4">
        <v>-0.01</v>
      </c>
      <c r="E4371" s="4">
        <v>-2.7424779734224521E-2</v>
      </c>
      <c r="F4371" s="3">
        <v>4369</v>
      </c>
      <c r="G4371" s="3">
        <v>4</v>
      </c>
      <c r="H4371" s="5">
        <v>2360131154.3499999</v>
      </c>
      <c r="I4371" s="5">
        <v>2532037154.3499999</v>
      </c>
      <c r="J4371" s="5">
        <v>177995000</v>
      </c>
      <c r="K4371" s="5">
        <v>6089000</v>
      </c>
      <c r="L4371" s="5">
        <v>1140067000</v>
      </c>
      <c r="M4371" s="5">
        <v>93931000</v>
      </c>
      <c r="N4371" s="5">
        <v>-7467000</v>
      </c>
    </row>
    <row r="4372" spans="1:14" x14ac:dyDescent="0.25">
      <c r="A4372" s="3" t="s">
        <v>4383</v>
      </c>
      <c r="B4372" s="4">
        <v>25.08</v>
      </c>
      <c r="C4372" s="4">
        <v>-0.65</v>
      </c>
      <c r="D4372" s="4">
        <v>1.76</v>
      </c>
      <c r="E4372" s="4">
        <v>-2.748002613773615E-2</v>
      </c>
      <c r="F4372" s="3">
        <v>4370</v>
      </c>
      <c r="G4372" s="3">
        <v>4</v>
      </c>
      <c r="H4372" s="5">
        <v>10123.653404000001</v>
      </c>
      <c r="I4372" s="5">
        <v>7277783.6534040002</v>
      </c>
      <c r="J4372" s="5">
        <v>7443400</v>
      </c>
      <c r="K4372" s="5">
        <v>175740</v>
      </c>
      <c r="L4372" s="5">
        <v>4352350</v>
      </c>
      <c r="M4372" s="5">
        <v>290230</v>
      </c>
      <c r="N4372" s="5">
        <v>5196160</v>
      </c>
    </row>
    <row r="4373" spans="1:14" x14ac:dyDescent="0.25">
      <c r="A4373" s="3" t="s">
        <v>4384</v>
      </c>
      <c r="B4373" s="4">
        <v>28.06</v>
      </c>
      <c r="C4373" s="4">
        <v>0.09</v>
      </c>
      <c r="D4373" s="4">
        <v>0.05</v>
      </c>
      <c r="E4373" s="4">
        <v>-2.7516146061148841E-2</v>
      </c>
      <c r="F4373" s="3">
        <v>4371</v>
      </c>
      <c r="G4373" s="3">
        <v>4</v>
      </c>
      <c r="H4373" s="5">
        <v>4739488295.04</v>
      </c>
      <c r="I4373" s="5">
        <v>5046073295.04</v>
      </c>
      <c r="J4373" s="5">
        <v>420574000</v>
      </c>
      <c r="K4373" s="5">
        <v>113989000</v>
      </c>
      <c r="L4373" s="5">
        <v>949245000</v>
      </c>
      <c r="M4373" s="5">
        <v>179856000</v>
      </c>
      <c r="N4373" s="5">
        <v>64087000</v>
      </c>
    </row>
    <row r="4374" spans="1:14" x14ac:dyDescent="0.25">
      <c r="A4374" s="3" t="s">
        <v>4385</v>
      </c>
      <c r="B4374" s="4">
        <v>27.82</v>
      </c>
      <c r="C4374" s="4">
        <v>0.04</v>
      </c>
      <c r="D4374" s="4">
        <v>0.02</v>
      </c>
      <c r="E4374" s="4">
        <v>-2.7517860239223792E-2</v>
      </c>
      <c r="F4374" s="3">
        <v>4372</v>
      </c>
      <c r="G4374" s="3">
        <v>4</v>
      </c>
      <c r="H4374" s="5">
        <v>4931477263.75</v>
      </c>
      <c r="I4374" s="5">
        <v>6433077263.75</v>
      </c>
      <c r="J4374" s="5">
        <v>1688900000</v>
      </c>
      <c r="K4374" s="5">
        <v>187300000</v>
      </c>
      <c r="L4374" s="5">
        <v>2569900000</v>
      </c>
      <c r="M4374" s="5">
        <v>231200000</v>
      </c>
      <c r="N4374" s="5">
        <v>93700000</v>
      </c>
    </row>
    <row r="4375" spans="1:14" x14ac:dyDescent="0.25">
      <c r="A4375" s="3" t="s">
        <v>4386</v>
      </c>
      <c r="B4375" s="4">
        <v>28.66</v>
      </c>
      <c r="C4375" s="4">
        <v>0.2</v>
      </c>
      <c r="D4375" s="4">
        <v>0.14000000000000001</v>
      </c>
      <c r="E4375" s="4">
        <v>-2.7552307486616901E-2</v>
      </c>
      <c r="F4375" s="3">
        <v>4373</v>
      </c>
      <c r="G4375" s="3">
        <v>4</v>
      </c>
      <c r="H4375" s="5">
        <v>7619856978.96</v>
      </c>
      <c r="I4375" s="5">
        <v>7790846978.96</v>
      </c>
      <c r="J4375" s="5">
        <v>171004000</v>
      </c>
      <c r="K4375" s="5">
        <v>14000</v>
      </c>
      <c r="L4375" s="5">
        <v>1200635000</v>
      </c>
      <c r="M4375" s="5">
        <v>271830000</v>
      </c>
      <c r="N4375" s="5">
        <v>168559000</v>
      </c>
    </row>
    <row r="4376" spans="1:14" x14ac:dyDescent="0.25">
      <c r="A4376" s="3" t="s">
        <v>4387</v>
      </c>
      <c r="B4376" s="4">
        <v>-2.98</v>
      </c>
      <c r="C4376" s="4">
        <v>-6.55</v>
      </c>
      <c r="D4376" s="4">
        <v>-0.44</v>
      </c>
      <c r="E4376" s="4">
        <v>-2.758472893731833E-2</v>
      </c>
      <c r="F4376" s="3">
        <v>4374</v>
      </c>
      <c r="G4376" s="3">
        <v>4</v>
      </c>
      <c r="H4376" s="5">
        <v>49112317.68</v>
      </c>
      <c r="I4376" s="5">
        <v>90662317.680000007</v>
      </c>
      <c r="J4376" s="5">
        <v>42288000</v>
      </c>
      <c r="K4376" s="5">
        <v>738000</v>
      </c>
      <c r="L4376" s="5">
        <v>54220000</v>
      </c>
      <c r="M4376" s="5">
        <v>-30436000</v>
      </c>
      <c r="N4376" s="5">
        <v>-57892000</v>
      </c>
    </row>
    <row r="4377" spans="1:14" x14ac:dyDescent="0.25">
      <c r="A4377" s="3" t="s">
        <v>4388</v>
      </c>
      <c r="B4377" s="4">
        <v>27.84</v>
      </c>
      <c r="C4377" s="4">
        <v>0.02</v>
      </c>
      <c r="D4377" s="4">
        <v>0.01</v>
      </c>
      <c r="E4377" s="4">
        <v>-2.7589954891224368E-2</v>
      </c>
      <c r="F4377" s="3">
        <v>4375</v>
      </c>
      <c r="G4377" s="3">
        <v>4</v>
      </c>
      <c r="H4377" s="5">
        <v>4086558425.9400001</v>
      </c>
      <c r="I4377" s="5">
        <v>4025229425.940001</v>
      </c>
      <c r="J4377" s="5">
        <v>259385000</v>
      </c>
      <c r="K4377" s="5">
        <v>320714000</v>
      </c>
      <c r="L4377" s="5">
        <v>1252608000</v>
      </c>
      <c r="M4377" s="5">
        <v>144583000</v>
      </c>
      <c r="N4377" s="5">
        <v>10207000</v>
      </c>
    </row>
    <row r="4378" spans="1:14" x14ac:dyDescent="0.25">
      <c r="A4378" s="3" t="s">
        <v>4389</v>
      </c>
      <c r="B4378" s="4">
        <v>-0.38</v>
      </c>
      <c r="C4378" s="4">
        <v>-5.99</v>
      </c>
      <c r="D4378" s="4">
        <v>-0.54</v>
      </c>
      <c r="E4378" s="4">
        <v>-2.7595170691523879E-2</v>
      </c>
      <c r="F4378" s="3">
        <v>4376</v>
      </c>
      <c r="G4378" s="3">
        <v>4</v>
      </c>
      <c r="H4378" s="5">
        <v>38.789397999999998</v>
      </c>
      <c r="I4378" s="5">
        <v>38584038.789398</v>
      </c>
      <c r="J4378" s="5">
        <v>57541000</v>
      </c>
      <c r="K4378" s="5">
        <v>18957000</v>
      </c>
      <c r="L4378" s="5">
        <v>244541000</v>
      </c>
      <c r="M4378" s="5">
        <v>-100261000</v>
      </c>
      <c r="N4378" s="5">
        <v>-135218000</v>
      </c>
    </row>
    <row r="4379" spans="1:14" x14ac:dyDescent="0.25">
      <c r="A4379" s="3" t="s">
        <v>4390</v>
      </c>
      <c r="B4379" s="4">
        <v>28.1</v>
      </c>
      <c r="C4379" s="4">
        <v>0.05</v>
      </c>
      <c r="D4379" s="4">
        <v>0.04</v>
      </c>
      <c r="E4379" s="4">
        <v>-2.7658406338572489E-2</v>
      </c>
      <c r="F4379" s="3">
        <v>4377</v>
      </c>
      <c r="G4379" s="3">
        <v>4</v>
      </c>
      <c r="H4379" s="5">
        <v>5992525293.9099998</v>
      </c>
      <c r="I4379" s="5">
        <v>6797892293.9099998</v>
      </c>
      <c r="J4379" s="5">
        <v>823437000</v>
      </c>
      <c r="K4379" s="5">
        <v>18070000</v>
      </c>
      <c r="L4379" s="5">
        <v>382621000</v>
      </c>
      <c r="M4379" s="5">
        <v>241944000</v>
      </c>
      <c r="N4379" s="5">
        <v>184497000</v>
      </c>
    </row>
    <row r="4380" spans="1:14" x14ac:dyDescent="0.25">
      <c r="A4380" s="3" t="s">
        <v>4391</v>
      </c>
      <c r="B4380" s="4">
        <v>27.89</v>
      </c>
      <c r="C4380" s="4">
        <v>0</v>
      </c>
      <c r="D4380" s="4">
        <v>0</v>
      </c>
      <c r="E4380" s="4">
        <v>-2.7680617160316171E-2</v>
      </c>
      <c r="F4380" s="3">
        <v>4378</v>
      </c>
      <c r="G4380" s="3">
        <v>4</v>
      </c>
      <c r="H4380" s="5">
        <v>394111528.01999998</v>
      </c>
      <c r="I4380" s="5">
        <v>402573998.01999998</v>
      </c>
      <c r="J4380" s="5">
        <v>39685910</v>
      </c>
      <c r="K4380" s="5">
        <v>31223440</v>
      </c>
      <c r="L4380" s="5">
        <v>108274900</v>
      </c>
      <c r="M4380" s="5">
        <v>14432910</v>
      </c>
      <c r="N4380" s="5">
        <v>-1292450</v>
      </c>
    </row>
    <row r="4381" spans="1:14" x14ac:dyDescent="0.25">
      <c r="A4381" s="3" t="s">
        <v>4392</v>
      </c>
      <c r="B4381" s="4">
        <v>26.29</v>
      </c>
      <c r="C4381" s="4">
        <v>-0.35</v>
      </c>
      <c r="D4381" s="4">
        <v>7.0000000000000007E-2</v>
      </c>
      <c r="E4381" s="4">
        <v>-2.768811730824727E-2</v>
      </c>
      <c r="F4381" s="3">
        <v>4379</v>
      </c>
      <c r="G4381" s="3">
        <v>4</v>
      </c>
      <c r="H4381" s="5">
        <v>1859379710.0999999</v>
      </c>
      <c r="I4381" s="5">
        <v>2102675710.0999999</v>
      </c>
      <c r="J4381" s="5">
        <v>289635000</v>
      </c>
      <c r="K4381" s="5">
        <v>46339000</v>
      </c>
      <c r="L4381" s="5">
        <v>285504000</v>
      </c>
      <c r="M4381" s="5">
        <v>79980000</v>
      </c>
      <c r="N4381" s="5">
        <v>27588000</v>
      </c>
    </row>
    <row r="4382" spans="1:14" x14ac:dyDescent="0.25">
      <c r="A4382" s="3" t="s">
        <v>4393</v>
      </c>
      <c r="B4382" s="4">
        <v>28.14</v>
      </c>
      <c r="C4382" s="4">
        <v>0.05</v>
      </c>
      <c r="D4382" s="4">
        <v>0.01</v>
      </c>
      <c r="E4382" s="4">
        <v>-2.7688950241093319E-2</v>
      </c>
      <c r="F4382" s="3">
        <v>4380</v>
      </c>
      <c r="G4382" s="3">
        <v>4</v>
      </c>
      <c r="H4382" s="5">
        <v>24470614893.029999</v>
      </c>
      <c r="I4382" s="5">
        <v>26907021893.029999</v>
      </c>
      <c r="J4382" s="5">
        <v>2588496000</v>
      </c>
      <c r="K4382" s="5">
        <v>152089000</v>
      </c>
      <c r="L4382" s="5">
        <v>2295427000</v>
      </c>
      <c r="M4382" s="5">
        <v>956149000</v>
      </c>
      <c r="N4382" s="5">
        <v>109584000</v>
      </c>
    </row>
    <row r="4383" spans="1:14" x14ac:dyDescent="0.25">
      <c r="A4383" s="3" t="s">
        <v>4394</v>
      </c>
      <c r="B4383" s="4">
        <v>-2.0699999999999998</v>
      </c>
      <c r="C4383" s="4">
        <v>2.2000000000000002</v>
      </c>
      <c r="D4383" s="4">
        <v>-129.19999999999999</v>
      </c>
      <c r="E4383" s="4">
        <v>-2.7704186730067189E-2</v>
      </c>
      <c r="F4383" s="3">
        <v>4381</v>
      </c>
      <c r="G4383" s="3">
        <v>4</v>
      </c>
      <c r="H4383" s="5">
        <v>9470474.8499999996</v>
      </c>
      <c r="I4383" s="5">
        <v>9435224.8499999996</v>
      </c>
      <c r="J4383" s="5">
        <v>0</v>
      </c>
      <c r="K4383" s="5">
        <v>35250</v>
      </c>
      <c r="L4383" s="5">
        <v>5454120</v>
      </c>
      <c r="M4383" s="5">
        <v>-4554320</v>
      </c>
      <c r="N4383" s="5">
        <v>-4554320</v>
      </c>
    </row>
    <row r="4384" spans="1:14" x14ac:dyDescent="0.25">
      <c r="A4384" s="3" t="s">
        <v>4395</v>
      </c>
      <c r="B4384" s="4">
        <v>28.68</v>
      </c>
      <c r="C4384" s="4">
        <v>0.14000000000000001</v>
      </c>
      <c r="D4384" s="4">
        <v>7.0000000000000007E-2</v>
      </c>
      <c r="E4384" s="4">
        <v>-2.7751550726140339E-2</v>
      </c>
      <c r="F4384" s="3">
        <v>4382</v>
      </c>
      <c r="G4384" s="3">
        <v>4</v>
      </c>
      <c r="H4384" s="5">
        <v>11116322913.379999</v>
      </c>
      <c r="I4384" s="5">
        <v>11574122913.379999</v>
      </c>
      <c r="J4384" s="5">
        <v>614700000</v>
      </c>
      <c r="K4384" s="5">
        <v>156900000</v>
      </c>
      <c r="L4384" s="5">
        <v>1983900000</v>
      </c>
      <c r="M4384" s="5">
        <v>403500000</v>
      </c>
      <c r="N4384" s="5">
        <v>200500000</v>
      </c>
    </row>
    <row r="4385" spans="1:14" x14ac:dyDescent="0.25">
      <c r="A4385" s="3" t="s">
        <v>4396</v>
      </c>
      <c r="B4385" s="4">
        <v>28.35</v>
      </c>
      <c r="C4385" s="4">
        <v>7.0000000000000007E-2</v>
      </c>
      <c r="D4385" s="4">
        <v>0.01</v>
      </c>
      <c r="E4385" s="4">
        <v>-2.776113634670303E-2</v>
      </c>
      <c r="F4385" s="3">
        <v>4383</v>
      </c>
      <c r="G4385" s="3">
        <v>4</v>
      </c>
      <c r="H4385" s="5">
        <v>11124696363.280001</v>
      </c>
      <c r="I4385" s="5">
        <v>34120029363.279999</v>
      </c>
      <c r="J4385" s="5">
        <v>31223212000</v>
      </c>
      <c r="K4385" s="5">
        <v>8227879000</v>
      </c>
      <c r="L4385" s="5">
        <v>10515079000</v>
      </c>
      <c r="M4385" s="5">
        <v>1203406000</v>
      </c>
      <c r="N4385" s="5">
        <v>743383000</v>
      </c>
    </row>
    <row r="4386" spans="1:14" x14ac:dyDescent="0.25">
      <c r="A4386" s="3" t="s">
        <v>4397</v>
      </c>
      <c r="B4386" s="4">
        <v>27.31</v>
      </c>
      <c r="C4386" s="4">
        <v>-0.18</v>
      </c>
      <c r="D4386" s="4">
        <v>-0.08</v>
      </c>
      <c r="E4386" s="4">
        <v>-2.7857160368765971E-2</v>
      </c>
      <c r="F4386" s="3">
        <v>4384</v>
      </c>
      <c r="G4386" s="3">
        <v>4</v>
      </c>
      <c r="H4386" s="5">
        <v>2889455151.1799998</v>
      </c>
      <c r="I4386" s="5">
        <v>3222455151.1799998</v>
      </c>
      <c r="J4386" s="5">
        <v>368000000</v>
      </c>
      <c r="K4386" s="5">
        <v>35000000</v>
      </c>
      <c r="L4386" s="5">
        <v>4550000000</v>
      </c>
      <c r="M4386" s="5">
        <v>118000000</v>
      </c>
      <c r="N4386" s="5">
        <v>-290000000</v>
      </c>
    </row>
    <row r="4387" spans="1:14" x14ac:dyDescent="0.25">
      <c r="A4387" s="3" t="s">
        <v>4398</v>
      </c>
      <c r="B4387" s="4">
        <v>28.73</v>
      </c>
      <c r="C4387" s="4">
        <v>0.1</v>
      </c>
      <c r="D4387" s="4">
        <v>0.05</v>
      </c>
      <c r="E4387" s="4">
        <v>-2.790192923583858E-2</v>
      </c>
      <c r="F4387" s="3">
        <v>4385</v>
      </c>
      <c r="G4387" s="3">
        <v>4</v>
      </c>
      <c r="H4387" s="5">
        <v>18152949375</v>
      </c>
      <c r="I4387" s="5">
        <v>20194749375</v>
      </c>
      <c r="J4387" s="5">
        <v>2173000000</v>
      </c>
      <c r="K4387" s="5">
        <v>131200000</v>
      </c>
      <c r="L4387" s="5">
        <v>3006100000</v>
      </c>
      <c r="M4387" s="5">
        <v>702800000</v>
      </c>
      <c r="N4387" s="5">
        <v>331800000</v>
      </c>
    </row>
    <row r="4388" spans="1:14" x14ac:dyDescent="0.25">
      <c r="A4388" s="3" t="s">
        <v>4399</v>
      </c>
      <c r="B4388" s="4">
        <v>28.74</v>
      </c>
      <c r="C4388" s="4">
        <v>0.1</v>
      </c>
      <c r="D4388" s="4">
        <v>0.06</v>
      </c>
      <c r="E4388" s="4">
        <v>-2.7906189414958139E-2</v>
      </c>
      <c r="F4388" s="3">
        <v>4386</v>
      </c>
      <c r="G4388" s="3">
        <v>4</v>
      </c>
      <c r="H4388" s="5">
        <v>2789189544.96</v>
      </c>
      <c r="I4388" s="5">
        <v>2841982544.96</v>
      </c>
      <c r="J4388" s="5">
        <v>302868000</v>
      </c>
      <c r="K4388" s="5">
        <v>250075000</v>
      </c>
      <c r="L4388" s="5">
        <v>1153762000</v>
      </c>
      <c r="M4388" s="5">
        <v>98884000</v>
      </c>
      <c r="N4388" s="5">
        <v>96053000</v>
      </c>
    </row>
    <row r="4389" spans="1:14" x14ac:dyDescent="0.25">
      <c r="A4389" s="3" t="s">
        <v>4400</v>
      </c>
      <c r="B4389" s="4">
        <v>29.18</v>
      </c>
      <c r="C4389" s="4">
        <v>0.18</v>
      </c>
      <c r="D4389" s="4">
        <v>0.1</v>
      </c>
      <c r="E4389" s="4">
        <v>-2.7939649503203871E-2</v>
      </c>
      <c r="F4389" s="3">
        <v>4387</v>
      </c>
      <c r="G4389" s="3">
        <v>4</v>
      </c>
      <c r="H4389" s="5">
        <v>3175394973.0799999</v>
      </c>
      <c r="I4389" s="5">
        <v>2999779973.0799999</v>
      </c>
      <c r="J4389" s="5">
        <v>0</v>
      </c>
      <c r="K4389" s="5">
        <v>175615000</v>
      </c>
      <c r="L4389" s="5">
        <v>1796161000</v>
      </c>
      <c r="M4389" s="5">
        <v>102800000</v>
      </c>
      <c r="N4389" s="5">
        <v>67856000</v>
      </c>
    </row>
    <row r="4390" spans="1:14" x14ac:dyDescent="0.25">
      <c r="A4390" s="3" t="s">
        <v>4401</v>
      </c>
      <c r="B4390" s="4">
        <v>28.88</v>
      </c>
      <c r="C4390" s="4">
        <v>0.12</v>
      </c>
      <c r="D4390" s="4">
        <v>0.02</v>
      </c>
      <c r="E4390" s="4">
        <v>-2.794276718699833E-2</v>
      </c>
      <c r="F4390" s="3">
        <v>4388</v>
      </c>
      <c r="G4390" s="3">
        <v>4</v>
      </c>
      <c r="H4390" s="5">
        <v>6157125003.6999998</v>
      </c>
      <c r="I4390" s="5">
        <v>37332020003.699997</v>
      </c>
      <c r="J4390" s="5">
        <v>32633638000</v>
      </c>
      <c r="K4390" s="5">
        <v>1458743000</v>
      </c>
      <c r="L4390" s="5">
        <v>5101050000</v>
      </c>
      <c r="M4390" s="5">
        <v>1292473000</v>
      </c>
      <c r="N4390" s="5">
        <v>931503000</v>
      </c>
    </row>
    <row r="4391" spans="1:14" x14ac:dyDescent="0.25">
      <c r="A4391" s="3" t="s">
        <v>4402</v>
      </c>
      <c r="B4391" s="4">
        <v>28.71</v>
      </c>
      <c r="C4391" s="4">
        <v>0.08</v>
      </c>
      <c r="D4391" s="4">
        <v>0.06</v>
      </c>
      <c r="E4391" s="4">
        <v>-2.7945409011895829E-2</v>
      </c>
      <c r="F4391" s="3">
        <v>4389</v>
      </c>
      <c r="G4391" s="3">
        <v>4</v>
      </c>
      <c r="H4391" s="5">
        <v>5743410611.1999998</v>
      </c>
      <c r="I4391" s="5">
        <v>5817431611.1999998</v>
      </c>
      <c r="J4391" s="5">
        <v>139984000</v>
      </c>
      <c r="K4391" s="5">
        <v>65963000</v>
      </c>
      <c r="L4391" s="5">
        <v>1026759000</v>
      </c>
      <c r="M4391" s="5">
        <v>202640000</v>
      </c>
      <c r="N4391" s="5">
        <v>101881000</v>
      </c>
    </row>
    <row r="4392" spans="1:14" x14ac:dyDescent="0.25">
      <c r="A4392" s="3" t="s">
        <v>4403</v>
      </c>
      <c r="B4392" s="4">
        <v>29.46</v>
      </c>
      <c r="C4392" s="4">
        <v>0.22</v>
      </c>
      <c r="D4392" s="4">
        <v>0.15</v>
      </c>
      <c r="E4392" s="4">
        <v>-2.7987727701776668E-2</v>
      </c>
      <c r="F4392" s="3">
        <v>4390</v>
      </c>
      <c r="G4392" s="3">
        <v>4</v>
      </c>
      <c r="H4392" s="5">
        <v>2379867701.8200002</v>
      </c>
      <c r="I4392" s="5">
        <v>2215211701.8200002</v>
      </c>
      <c r="J4392" s="5">
        <v>13000</v>
      </c>
      <c r="K4392" s="5">
        <v>164669000</v>
      </c>
      <c r="L4392" s="5">
        <v>516013000</v>
      </c>
      <c r="M4392" s="5">
        <v>75205000</v>
      </c>
      <c r="N4392" s="5">
        <v>55952000</v>
      </c>
    </row>
    <row r="4393" spans="1:14" x14ac:dyDescent="0.25">
      <c r="A4393" s="3" t="s">
        <v>4404</v>
      </c>
      <c r="B4393" s="4">
        <v>27.97</v>
      </c>
      <c r="C4393" s="4">
        <v>-0.1</v>
      </c>
      <c r="D4393" s="4">
        <v>-7.0000000000000007E-2</v>
      </c>
      <c r="E4393" s="4">
        <v>-2.803257006207991E-2</v>
      </c>
      <c r="F4393" s="3">
        <v>4391</v>
      </c>
      <c r="G4393" s="3">
        <v>4</v>
      </c>
      <c r="H4393" s="5">
        <v>81616.401599999997</v>
      </c>
      <c r="I4393" s="5">
        <v>-21192783.5984</v>
      </c>
      <c r="J4393" s="5">
        <v>800000</v>
      </c>
      <c r="K4393" s="5">
        <v>22074400</v>
      </c>
      <c r="L4393" s="5">
        <v>0</v>
      </c>
      <c r="M4393" s="5">
        <v>-757770</v>
      </c>
      <c r="N4393" s="5">
        <v>-1550350</v>
      </c>
    </row>
    <row r="4394" spans="1:14" x14ac:dyDescent="0.25">
      <c r="A4394" s="3" t="s">
        <v>4405</v>
      </c>
      <c r="B4394" s="4">
        <v>29.42</v>
      </c>
      <c r="C4394" s="4">
        <v>0.2</v>
      </c>
      <c r="D4394" s="4">
        <v>0</v>
      </c>
      <c r="E4394" s="4">
        <v>-2.8049693491679861E-2</v>
      </c>
      <c r="F4394" s="3">
        <v>4392</v>
      </c>
      <c r="G4394" s="3">
        <v>4</v>
      </c>
      <c r="H4394" s="5">
        <v>6591603867.4200001</v>
      </c>
      <c r="I4394" s="5">
        <v>3307171603867.4199</v>
      </c>
      <c r="J4394" s="5">
        <v>3304949000000</v>
      </c>
      <c r="K4394" s="5">
        <v>4369000000</v>
      </c>
      <c r="L4394" s="5">
        <v>119953000000</v>
      </c>
      <c r="M4394" s="5">
        <v>112430000000</v>
      </c>
      <c r="N4394" s="5">
        <v>11858000000</v>
      </c>
    </row>
    <row r="4395" spans="1:14" x14ac:dyDescent="0.25">
      <c r="A4395" s="3" t="s">
        <v>4406</v>
      </c>
      <c r="B4395" s="4">
        <v>28.78</v>
      </c>
      <c r="C4395" s="4">
        <v>0.05</v>
      </c>
      <c r="D4395" s="4">
        <v>0.05</v>
      </c>
      <c r="E4395" s="4">
        <v>-2.8077343299396249E-2</v>
      </c>
      <c r="F4395" s="3">
        <v>4393</v>
      </c>
      <c r="G4395" s="3">
        <v>4</v>
      </c>
      <c r="H4395" s="5">
        <v>350815527.30000001</v>
      </c>
      <c r="I4395" s="5">
        <v>340504527.30000001</v>
      </c>
      <c r="J4395" s="5">
        <v>0</v>
      </c>
      <c r="K4395" s="5">
        <v>10311000</v>
      </c>
      <c r="L4395" s="5">
        <v>70013000</v>
      </c>
      <c r="M4395" s="5">
        <v>11831000</v>
      </c>
      <c r="N4395" s="5">
        <v>9954000</v>
      </c>
    </row>
    <row r="4396" spans="1:14" x14ac:dyDescent="0.25">
      <c r="A4396" s="3" t="s">
        <v>4407</v>
      </c>
      <c r="B4396" s="4">
        <v>27.93</v>
      </c>
      <c r="C4396" s="4">
        <v>-0.14000000000000001</v>
      </c>
      <c r="D4396" s="4">
        <v>-0.01</v>
      </c>
      <c r="E4396" s="4">
        <v>-2.8111813507884401E-2</v>
      </c>
      <c r="F4396" s="3">
        <v>4394</v>
      </c>
      <c r="G4396" s="3">
        <v>4</v>
      </c>
      <c r="H4396" s="5">
        <v>4102461831</v>
      </c>
      <c r="I4396" s="5">
        <v>5630124831</v>
      </c>
      <c r="J4396" s="5">
        <v>1608830000</v>
      </c>
      <c r="K4396" s="5">
        <v>81167000</v>
      </c>
      <c r="L4396" s="5">
        <v>2098602000</v>
      </c>
      <c r="M4396" s="5">
        <v>201575000</v>
      </c>
      <c r="N4396" s="5">
        <v>-28555000</v>
      </c>
    </row>
    <row r="4397" spans="1:14" x14ac:dyDescent="0.25">
      <c r="A4397" s="3" t="s">
        <v>4408</v>
      </c>
      <c r="B4397" s="4">
        <v>28.82</v>
      </c>
      <c r="C4397" s="4">
        <v>0.04</v>
      </c>
      <c r="D4397" s="4">
        <v>0.02</v>
      </c>
      <c r="E4397" s="4">
        <v>-2.813678080893154E-2</v>
      </c>
      <c r="F4397" s="3">
        <v>4395</v>
      </c>
      <c r="G4397" s="3">
        <v>4</v>
      </c>
      <c r="H4397" s="5">
        <v>3892588066.0799999</v>
      </c>
      <c r="I4397" s="5">
        <v>4126988066.0799999</v>
      </c>
      <c r="J4397" s="5">
        <v>658000000</v>
      </c>
      <c r="K4397" s="5">
        <v>423600000</v>
      </c>
      <c r="L4397" s="5">
        <v>1084300000</v>
      </c>
      <c r="M4397" s="5">
        <v>143200000</v>
      </c>
      <c r="N4397" s="5">
        <v>34800000</v>
      </c>
    </row>
    <row r="4398" spans="1:14" x14ac:dyDescent="0.25">
      <c r="A4398" s="3" t="s">
        <v>4409</v>
      </c>
      <c r="B4398" s="4">
        <v>0.76</v>
      </c>
      <c r="C4398" s="4">
        <v>-5.98</v>
      </c>
      <c r="D4398" s="4">
        <v>-0.28999999999999998</v>
      </c>
      <c r="E4398" s="4">
        <v>-2.8223620869538609E-2</v>
      </c>
      <c r="F4398" s="3">
        <v>4396</v>
      </c>
      <c r="G4398" s="3">
        <v>4</v>
      </c>
      <c r="H4398" s="5">
        <v>9541857.2760000005</v>
      </c>
      <c r="I4398" s="5">
        <v>-31360142.723999999</v>
      </c>
      <c r="J4398" s="5">
        <v>50237000</v>
      </c>
      <c r="K4398" s="5">
        <v>91139000</v>
      </c>
      <c r="L4398" s="5">
        <v>178032000</v>
      </c>
      <c r="M4398" s="5">
        <v>-41184000</v>
      </c>
      <c r="N4398" s="5">
        <v>-70814000</v>
      </c>
    </row>
    <row r="4399" spans="1:14" x14ac:dyDescent="0.25">
      <c r="A4399" s="3" t="s">
        <v>4410</v>
      </c>
      <c r="B4399" s="4">
        <v>26.89</v>
      </c>
      <c r="C4399" s="4">
        <v>-0.41</v>
      </c>
      <c r="D4399" s="4">
        <v>0.09</v>
      </c>
      <c r="E4399" s="4">
        <v>-2.8228973239003651E-2</v>
      </c>
      <c r="F4399" s="3">
        <v>4397</v>
      </c>
      <c r="G4399" s="3">
        <v>4</v>
      </c>
      <c r="H4399" s="5">
        <v>61469804000.360001</v>
      </c>
      <c r="I4399" s="5">
        <v>71319804000.360001</v>
      </c>
      <c r="J4399" s="5">
        <v>11151000000</v>
      </c>
      <c r="K4399" s="5">
        <v>1301000000</v>
      </c>
      <c r="L4399" s="5">
        <v>11174000000</v>
      </c>
      <c r="M4399" s="5">
        <v>2652000000</v>
      </c>
      <c r="N4399" s="5">
        <v>1535000000</v>
      </c>
    </row>
    <row r="4400" spans="1:14" x14ac:dyDescent="0.25">
      <c r="A4400" s="3" t="s">
        <v>4411</v>
      </c>
      <c r="B4400" s="4">
        <v>29.86</v>
      </c>
      <c r="C4400" s="4">
        <v>0.23</v>
      </c>
      <c r="D4400" s="4">
        <v>-0.25</v>
      </c>
      <c r="E4400" s="4">
        <v>-2.8283563385745541E-2</v>
      </c>
      <c r="F4400" s="3">
        <v>4398</v>
      </c>
      <c r="G4400" s="3">
        <v>4</v>
      </c>
      <c r="H4400" s="5">
        <v>97167954</v>
      </c>
      <c r="I4400" s="5">
        <v>298892954</v>
      </c>
      <c r="J4400" s="5">
        <v>231536000</v>
      </c>
      <c r="K4400" s="5">
        <v>29811000</v>
      </c>
      <c r="L4400" s="5">
        <v>160134000</v>
      </c>
      <c r="M4400" s="5">
        <v>10009000</v>
      </c>
      <c r="N4400" s="5">
        <v>-35636000</v>
      </c>
    </row>
    <row r="4401" spans="1:14" x14ac:dyDescent="0.25">
      <c r="A4401" s="3" t="s">
        <v>4412</v>
      </c>
      <c r="B4401" s="4">
        <v>29.4</v>
      </c>
      <c r="C4401" s="4">
        <v>0.1</v>
      </c>
      <c r="D4401" s="4">
        <v>0.05</v>
      </c>
      <c r="E4401" s="4">
        <v>-2.831660601754276E-2</v>
      </c>
      <c r="F4401" s="3">
        <v>4399</v>
      </c>
      <c r="G4401" s="3">
        <v>4</v>
      </c>
      <c r="H4401" s="5">
        <v>1380131337.5699999</v>
      </c>
      <c r="I4401" s="5">
        <v>1397977337.5699999</v>
      </c>
      <c r="J4401" s="5">
        <v>92004000</v>
      </c>
      <c r="K4401" s="5">
        <v>74158000</v>
      </c>
      <c r="L4401" s="5">
        <v>565798000</v>
      </c>
      <c r="M4401" s="5">
        <v>47555000</v>
      </c>
      <c r="N4401" s="5">
        <v>22570000</v>
      </c>
    </row>
    <row r="4402" spans="1:14" x14ac:dyDescent="0.25">
      <c r="A4402" s="3" t="s">
        <v>4413</v>
      </c>
      <c r="B4402" s="4">
        <v>30.29</v>
      </c>
      <c r="C4402" s="4">
        <v>0.25</v>
      </c>
      <c r="D4402" s="4">
        <v>0.2</v>
      </c>
      <c r="E4402" s="4">
        <v>-2.8405105820703189E-2</v>
      </c>
      <c r="F4402" s="3">
        <v>4400</v>
      </c>
      <c r="G4402" s="3">
        <v>4</v>
      </c>
      <c r="H4402" s="5">
        <v>66270181187.43</v>
      </c>
      <c r="I4402" s="5">
        <v>65115094187.43</v>
      </c>
      <c r="J4402" s="5">
        <v>378200000</v>
      </c>
      <c r="K4402" s="5">
        <v>1533287000</v>
      </c>
      <c r="L4402" s="5">
        <v>7492709000</v>
      </c>
      <c r="M4402" s="5">
        <v>2149494000</v>
      </c>
      <c r="N4402" s="5">
        <v>1509048000</v>
      </c>
    </row>
    <row r="4403" spans="1:14" x14ac:dyDescent="0.25">
      <c r="A4403" s="3" t="s">
        <v>4414</v>
      </c>
      <c r="B4403" s="4">
        <v>29.74</v>
      </c>
      <c r="C4403" s="4">
        <v>0.1</v>
      </c>
      <c r="D4403" s="4">
        <v>7.0000000000000007E-2</v>
      </c>
      <c r="E4403" s="4">
        <v>-2.8523180958088382E-2</v>
      </c>
      <c r="F4403" s="3">
        <v>4401</v>
      </c>
      <c r="G4403" s="3">
        <v>4</v>
      </c>
      <c r="H4403" s="5">
        <v>523723760.27999997</v>
      </c>
      <c r="I4403" s="5">
        <v>533965760.27999997</v>
      </c>
      <c r="J4403" s="5">
        <v>17371000</v>
      </c>
      <c r="K4403" s="5">
        <v>7129000</v>
      </c>
      <c r="L4403" s="5">
        <v>152116000</v>
      </c>
      <c r="M4403" s="5">
        <v>17957000</v>
      </c>
      <c r="N4403" s="5">
        <v>11167000</v>
      </c>
    </row>
    <row r="4404" spans="1:14" x14ac:dyDescent="0.25">
      <c r="A4404" s="3" t="s">
        <v>4415</v>
      </c>
      <c r="B4404" s="4">
        <v>29.65</v>
      </c>
      <c r="C4404" s="4">
        <v>0.08</v>
      </c>
      <c r="D4404" s="4">
        <v>0.05</v>
      </c>
      <c r="E4404" s="4">
        <v>-2.852912337399862E-2</v>
      </c>
      <c r="F4404" s="3">
        <v>4402</v>
      </c>
      <c r="G4404" s="3">
        <v>4</v>
      </c>
      <c r="H4404" s="5">
        <v>13635911621.120001</v>
      </c>
      <c r="I4404" s="5">
        <v>14568511621.120001</v>
      </c>
      <c r="J4404" s="5">
        <v>969400000</v>
      </c>
      <c r="K4404" s="5">
        <v>36800000</v>
      </c>
      <c r="L4404" s="5">
        <v>1636300000</v>
      </c>
      <c r="M4404" s="5">
        <v>491400000</v>
      </c>
      <c r="N4404" s="5">
        <v>246200000</v>
      </c>
    </row>
    <row r="4405" spans="1:14" x14ac:dyDescent="0.25">
      <c r="A4405" s="3" t="s">
        <v>4416</v>
      </c>
      <c r="B4405" s="4">
        <v>19.27</v>
      </c>
      <c r="C4405" s="4">
        <v>-2.17</v>
      </c>
      <c r="D4405" s="4">
        <v>0.15</v>
      </c>
      <c r="E4405" s="4">
        <v>-2.8586499172910201E-2</v>
      </c>
      <c r="F4405" s="3">
        <v>4403</v>
      </c>
      <c r="G4405" s="3">
        <v>4</v>
      </c>
      <c r="H4405" s="5">
        <v>218127467340.78</v>
      </c>
      <c r="I4405" s="5">
        <v>257247467340.78</v>
      </c>
      <c r="J4405" s="5">
        <v>40205000000</v>
      </c>
      <c r="K4405" s="5">
        <v>1085000000</v>
      </c>
      <c r="L4405" s="5">
        <v>25920000000</v>
      </c>
      <c r="M4405" s="5">
        <v>13352000000</v>
      </c>
      <c r="N4405" s="5">
        <v>8224000000</v>
      </c>
    </row>
    <row r="4406" spans="1:14" x14ac:dyDescent="0.25">
      <c r="A4406" s="3" t="s">
        <v>4417</v>
      </c>
      <c r="B4406" s="4">
        <v>-4.99</v>
      </c>
      <c r="C4406" s="4">
        <v>-7.13</v>
      </c>
      <c r="D4406" s="4">
        <v>-3.42</v>
      </c>
      <c r="E4406" s="4">
        <v>-2.8591377719141081E-2</v>
      </c>
      <c r="F4406" s="3">
        <v>4404</v>
      </c>
      <c r="G4406" s="3">
        <v>4</v>
      </c>
      <c r="H4406" s="5">
        <v>172684545.66</v>
      </c>
      <c r="I4406" s="5">
        <v>161964365.66</v>
      </c>
      <c r="J4406" s="5">
        <v>0</v>
      </c>
      <c r="K4406" s="5">
        <v>10720180</v>
      </c>
      <c r="L4406" s="5">
        <v>0</v>
      </c>
      <c r="M4406" s="5">
        <v>-32473910</v>
      </c>
      <c r="N4406" s="5">
        <v>-37879160</v>
      </c>
    </row>
    <row r="4407" spans="1:14" x14ac:dyDescent="0.25">
      <c r="A4407" s="3" t="s">
        <v>4418</v>
      </c>
      <c r="B4407" s="4">
        <v>29.95</v>
      </c>
      <c r="C4407" s="4">
        <v>0.12</v>
      </c>
      <c r="D4407" s="4">
        <v>0.03</v>
      </c>
      <c r="E4407" s="4">
        <v>-2.860308317000812E-2</v>
      </c>
      <c r="F4407" s="3">
        <v>4405</v>
      </c>
      <c r="G4407" s="3">
        <v>4</v>
      </c>
      <c r="H4407" s="5">
        <v>4213682629.8000002</v>
      </c>
      <c r="I4407" s="5">
        <v>5146952629.8000002</v>
      </c>
      <c r="J4407" s="5">
        <v>1302380000</v>
      </c>
      <c r="K4407" s="5">
        <v>369110000</v>
      </c>
      <c r="L4407" s="5">
        <v>1330383000</v>
      </c>
      <c r="M4407" s="5">
        <v>171835000</v>
      </c>
      <c r="N4407" s="5">
        <v>102658000</v>
      </c>
    </row>
    <row r="4408" spans="1:14" x14ac:dyDescent="0.25">
      <c r="A4408" s="3" t="s">
        <v>4419</v>
      </c>
      <c r="B4408" s="4">
        <v>29.84</v>
      </c>
      <c r="C4408" s="4">
        <v>7.0000000000000007E-2</v>
      </c>
      <c r="D4408" s="4">
        <v>0.03</v>
      </c>
      <c r="E4408" s="4">
        <v>-2.867946994241255E-2</v>
      </c>
      <c r="F4408" s="3">
        <v>4406</v>
      </c>
      <c r="G4408" s="3">
        <v>4</v>
      </c>
      <c r="H4408" s="5">
        <v>464690880</v>
      </c>
      <c r="I4408" s="5">
        <v>369259880</v>
      </c>
      <c r="J4408" s="5">
        <v>9025000</v>
      </c>
      <c r="K4408" s="5">
        <v>104456000</v>
      </c>
      <c r="L4408" s="5">
        <v>425202000</v>
      </c>
      <c r="M4408" s="5">
        <v>12375000</v>
      </c>
      <c r="N4408" s="5">
        <v>12588000</v>
      </c>
    </row>
    <row r="4409" spans="1:14" x14ac:dyDescent="0.25">
      <c r="A4409" s="3" t="s">
        <v>4420</v>
      </c>
      <c r="B4409" s="4">
        <v>28.86</v>
      </c>
      <c r="C4409" s="4">
        <v>-0.19</v>
      </c>
      <c r="D4409" s="4">
        <v>-7.0000000000000007E-2</v>
      </c>
      <c r="E4409" s="4">
        <v>-2.8843451832249931E-2</v>
      </c>
      <c r="F4409" s="3">
        <v>4407</v>
      </c>
      <c r="G4409" s="3">
        <v>4</v>
      </c>
      <c r="H4409" s="5">
        <v>228800.40049999999</v>
      </c>
      <c r="I4409" s="5">
        <v>-5771199.5994999995</v>
      </c>
      <c r="J4409" s="5">
        <v>38400000</v>
      </c>
      <c r="K4409" s="5">
        <v>44400000</v>
      </c>
      <c r="L4409" s="5">
        <v>218500000</v>
      </c>
      <c r="M4409" s="5">
        <v>-200000</v>
      </c>
      <c r="N4409" s="5">
        <v>-10200000</v>
      </c>
    </row>
    <row r="4410" spans="1:14" x14ac:dyDescent="0.25">
      <c r="A4410" s="3" t="s">
        <v>4421</v>
      </c>
      <c r="B4410" s="4">
        <v>-2.9</v>
      </c>
      <c r="C4410" s="4">
        <v>0.49</v>
      </c>
      <c r="D4410" s="4">
        <v>-112.24</v>
      </c>
      <c r="E4410" s="4">
        <v>-2.8859660381232131E-2</v>
      </c>
      <c r="F4410" s="3">
        <v>4408</v>
      </c>
      <c r="G4410" s="3">
        <v>4</v>
      </c>
      <c r="H4410" s="5">
        <v>4.4205040000000002</v>
      </c>
      <c r="I4410" s="5">
        <v>4086774.420504</v>
      </c>
      <c r="J4410" s="5">
        <v>4087580</v>
      </c>
      <c r="K4410" s="5">
        <v>810</v>
      </c>
      <c r="L4410" s="5">
        <v>689340</v>
      </c>
      <c r="M4410" s="5">
        <v>-1408460</v>
      </c>
      <c r="N4410" s="5">
        <v>-3233620</v>
      </c>
    </row>
    <row r="4411" spans="1:14" x14ac:dyDescent="0.25">
      <c r="A4411" s="3" t="s">
        <v>4422</v>
      </c>
      <c r="B4411" s="4">
        <v>16.36</v>
      </c>
      <c r="C4411" s="4">
        <v>-2.86</v>
      </c>
      <c r="D4411" s="4">
        <v>-0.36</v>
      </c>
      <c r="E4411" s="4">
        <v>-2.887747955451107E-2</v>
      </c>
      <c r="F4411" s="3">
        <v>4409</v>
      </c>
      <c r="G4411" s="3">
        <v>4</v>
      </c>
      <c r="H4411" s="5">
        <v>7.1711520000000002</v>
      </c>
      <c r="I4411" s="5">
        <v>129471007.171152</v>
      </c>
      <c r="J4411" s="5">
        <v>134695000</v>
      </c>
      <c r="K4411" s="5">
        <v>5224000</v>
      </c>
      <c r="L4411" s="5">
        <v>188422000</v>
      </c>
      <c r="M4411" s="5">
        <v>7915000</v>
      </c>
      <c r="N4411" s="5">
        <v>-68399000</v>
      </c>
    </row>
    <row r="4412" spans="1:14" x14ac:dyDescent="0.25">
      <c r="A4412" s="3" t="s">
        <v>4423</v>
      </c>
      <c r="B4412" s="4">
        <v>29.74</v>
      </c>
      <c r="C4412" s="4">
        <v>-0.04</v>
      </c>
      <c r="D4412" s="4">
        <v>-0.02</v>
      </c>
      <c r="E4412" s="4">
        <v>-2.8945052695488339E-2</v>
      </c>
      <c r="F4412" s="3">
        <v>4410</v>
      </c>
      <c r="G4412" s="3">
        <v>4</v>
      </c>
      <c r="H4412" s="5">
        <v>367189320.30000001</v>
      </c>
      <c r="I4412" s="5">
        <v>291754320.30000001</v>
      </c>
      <c r="J4412" s="5">
        <v>0</v>
      </c>
      <c r="K4412" s="5">
        <v>75435000</v>
      </c>
      <c r="L4412" s="5">
        <v>378340000</v>
      </c>
      <c r="M4412" s="5">
        <v>9810000</v>
      </c>
      <c r="N4412" s="5">
        <v>-6124000</v>
      </c>
    </row>
    <row r="4413" spans="1:14" x14ac:dyDescent="0.25">
      <c r="A4413" s="3" t="s">
        <v>4424</v>
      </c>
      <c r="B4413" s="4">
        <v>30.1</v>
      </c>
      <c r="C4413" s="4">
        <v>0.03</v>
      </c>
      <c r="D4413" s="4">
        <v>0.01</v>
      </c>
      <c r="E4413" s="4">
        <v>-2.8959821771749411E-2</v>
      </c>
      <c r="F4413" s="3">
        <v>4411</v>
      </c>
      <c r="G4413" s="3">
        <v>4</v>
      </c>
      <c r="H4413" s="5">
        <v>57199878439.040001</v>
      </c>
      <c r="I4413" s="5">
        <v>70362647439.040009</v>
      </c>
      <c r="J4413" s="5">
        <v>17033660000</v>
      </c>
      <c r="K4413" s="5">
        <v>3870891000</v>
      </c>
      <c r="L4413" s="5">
        <v>5554968000</v>
      </c>
      <c r="M4413" s="5">
        <v>2337563000</v>
      </c>
      <c r="N4413" s="5">
        <v>602490000</v>
      </c>
    </row>
    <row r="4414" spans="1:14" x14ac:dyDescent="0.25">
      <c r="A4414" s="3" t="s">
        <v>4425</v>
      </c>
      <c r="B4414" s="4">
        <v>10.24</v>
      </c>
      <c r="C4414" s="4">
        <v>-4.17</v>
      </c>
      <c r="D4414" s="4">
        <v>-0.84</v>
      </c>
      <c r="E4414" s="4">
        <v>-2.8967341462513951E-2</v>
      </c>
      <c r="F4414" s="3">
        <v>4412</v>
      </c>
      <c r="G4414" s="3">
        <v>4</v>
      </c>
      <c r="H4414" s="5">
        <v>421933400.74000001</v>
      </c>
      <c r="I4414" s="5">
        <v>582801400.74000001</v>
      </c>
      <c r="J4414" s="5">
        <v>282353000</v>
      </c>
      <c r="K4414" s="5">
        <v>121485000</v>
      </c>
      <c r="L4414" s="5">
        <v>331504000</v>
      </c>
      <c r="M4414" s="5">
        <v>56919000</v>
      </c>
      <c r="N4414" s="5">
        <v>-588078000</v>
      </c>
    </row>
    <row r="4415" spans="1:14" x14ac:dyDescent="0.25">
      <c r="A4415" s="3" t="s">
        <v>4426</v>
      </c>
      <c r="B4415" s="4">
        <v>31.26</v>
      </c>
      <c r="C4415" s="4">
        <v>0.26</v>
      </c>
      <c r="D4415" s="4">
        <v>0.22</v>
      </c>
      <c r="E4415" s="4">
        <v>-2.8972707113150239E-2</v>
      </c>
      <c r="F4415" s="3">
        <v>4413</v>
      </c>
      <c r="G4415" s="3">
        <v>4</v>
      </c>
      <c r="H4415" s="5">
        <v>1583317663.98</v>
      </c>
      <c r="I4415" s="5">
        <v>1516962663.98</v>
      </c>
      <c r="J4415" s="5">
        <v>0</v>
      </c>
      <c r="K4415" s="5">
        <v>66355000</v>
      </c>
      <c r="L4415" s="5">
        <v>181621000</v>
      </c>
      <c r="M4415" s="5">
        <v>48535000</v>
      </c>
      <c r="N4415" s="5">
        <v>43406000</v>
      </c>
    </row>
    <row r="4416" spans="1:14" x14ac:dyDescent="0.25">
      <c r="A4416" s="3" t="s">
        <v>4427</v>
      </c>
      <c r="B4416" s="4">
        <v>30.29</v>
      </c>
      <c r="C4416" s="4">
        <v>0.05</v>
      </c>
      <c r="D4416" s="4">
        <v>0.03</v>
      </c>
      <c r="E4416" s="4">
        <v>-2.9015771412809949E-2</v>
      </c>
      <c r="F4416" s="3">
        <v>4414</v>
      </c>
      <c r="G4416" s="3">
        <v>4</v>
      </c>
      <c r="H4416" s="5">
        <v>9113071603.6800003</v>
      </c>
      <c r="I4416" s="5">
        <v>9648042603.6800003</v>
      </c>
      <c r="J4416" s="5">
        <v>590058000</v>
      </c>
      <c r="K4416" s="5">
        <v>55087000</v>
      </c>
      <c r="L4416" s="5">
        <v>1054006000</v>
      </c>
      <c r="M4416" s="5">
        <v>318478000</v>
      </c>
      <c r="N4416" s="5">
        <v>58900000</v>
      </c>
    </row>
    <row r="4417" spans="1:14" x14ac:dyDescent="0.25">
      <c r="A4417" s="3" t="s">
        <v>4428</v>
      </c>
      <c r="B4417" s="4">
        <v>32.67</v>
      </c>
      <c r="C4417" s="4">
        <v>0.54</v>
      </c>
      <c r="D4417" s="4">
        <v>0.25</v>
      </c>
      <c r="E4417" s="4">
        <v>-2.903057704030082E-2</v>
      </c>
      <c r="F4417" s="3">
        <v>4415</v>
      </c>
      <c r="G4417" s="3">
        <v>4</v>
      </c>
      <c r="H4417" s="5">
        <v>207307751500</v>
      </c>
      <c r="I4417" s="5">
        <v>205401597500</v>
      </c>
      <c r="J4417" s="5">
        <v>4484505000</v>
      </c>
      <c r="K4417" s="5">
        <v>6390659000</v>
      </c>
      <c r="L4417" s="5">
        <v>18435591000</v>
      </c>
      <c r="M4417" s="5">
        <v>6287245000</v>
      </c>
      <c r="N4417" s="5">
        <v>5358217000</v>
      </c>
    </row>
    <row r="4418" spans="1:14" x14ac:dyDescent="0.25">
      <c r="A4418" s="3" t="s">
        <v>4429</v>
      </c>
      <c r="B4418" s="4">
        <v>33.090000000000003</v>
      </c>
      <c r="C4418" s="4">
        <v>0.61</v>
      </c>
      <c r="D4418" s="4">
        <v>7.0000000000000007E-2</v>
      </c>
      <c r="E4418" s="4">
        <v>-2.9122990908871969E-2</v>
      </c>
      <c r="F4418" s="3">
        <v>4416</v>
      </c>
      <c r="G4418" s="3">
        <v>4</v>
      </c>
      <c r="H4418" s="5">
        <v>713581896957.55005</v>
      </c>
      <c r="I4418" s="5">
        <v>798320896957.55005</v>
      </c>
      <c r="J4418" s="5">
        <v>95525000000</v>
      </c>
      <c r="K4418" s="5">
        <v>10786000000</v>
      </c>
      <c r="L4418" s="5">
        <v>57399000000</v>
      </c>
      <c r="M4418" s="5">
        <v>24128000000</v>
      </c>
      <c r="N4418" s="5">
        <v>12443000000</v>
      </c>
    </row>
    <row r="4419" spans="1:14" x14ac:dyDescent="0.25">
      <c r="A4419" s="3" t="s">
        <v>4430</v>
      </c>
      <c r="B4419" s="4">
        <v>30.26</v>
      </c>
      <c r="C4419" s="4">
        <v>0</v>
      </c>
      <c r="D4419" s="4">
        <v>0</v>
      </c>
      <c r="E4419" s="4">
        <v>-2.9147458910523529E-2</v>
      </c>
      <c r="F4419" s="3">
        <v>4417</v>
      </c>
      <c r="G4419" s="3">
        <v>4</v>
      </c>
      <c r="H4419" s="5">
        <v>7569390312.7200003</v>
      </c>
      <c r="I4419" s="5">
        <v>8752624312.7200012</v>
      </c>
      <c r="J4419" s="5">
        <v>1809151000</v>
      </c>
      <c r="K4419" s="5">
        <v>625917000</v>
      </c>
      <c r="L4419" s="5">
        <v>1640018000</v>
      </c>
      <c r="M4419" s="5">
        <v>289280000</v>
      </c>
      <c r="N4419" s="5">
        <v>9931000</v>
      </c>
    </row>
    <row r="4420" spans="1:14" x14ac:dyDescent="0.25">
      <c r="A4420" s="3" t="s">
        <v>4431</v>
      </c>
      <c r="B4420" s="4">
        <v>0.95</v>
      </c>
      <c r="C4420" s="4">
        <v>-5.94</v>
      </c>
      <c r="D4420" s="4">
        <v>-5.2</v>
      </c>
      <c r="E4420" s="4">
        <v>-2.9172793399280621E-2</v>
      </c>
      <c r="F4420" s="3">
        <v>4418</v>
      </c>
      <c r="G4420" s="3">
        <v>4</v>
      </c>
      <c r="H4420" s="5">
        <v>7450.1558999999997</v>
      </c>
      <c r="I4420" s="5">
        <v>-1034549.8441</v>
      </c>
      <c r="J4420" s="5">
        <v>0</v>
      </c>
      <c r="K4420" s="5">
        <v>1042000</v>
      </c>
      <c r="L4420" s="5">
        <v>0</v>
      </c>
      <c r="M4420" s="5">
        <v>-1090000</v>
      </c>
      <c r="N4420" s="5">
        <v>-6991000</v>
      </c>
    </row>
    <row r="4421" spans="1:14" x14ac:dyDescent="0.25">
      <c r="A4421" s="3" t="s">
        <v>4432</v>
      </c>
      <c r="B4421" s="4">
        <v>11.33</v>
      </c>
      <c r="C4421" s="4">
        <v>-4.05</v>
      </c>
      <c r="D4421" s="4">
        <v>-0.28999999999999998</v>
      </c>
      <c r="E4421" s="4">
        <v>-2.9189145137559071E-2</v>
      </c>
      <c r="F4421" s="3">
        <v>4419</v>
      </c>
      <c r="G4421" s="3">
        <v>4</v>
      </c>
      <c r="H4421" s="5">
        <v>544708675.62</v>
      </c>
      <c r="I4421" s="5">
        <v>2163523675.6199999</v>
      </c>
      <c r="J4421" s="5">
        <v>1723718000</v>
      </c>
      <c r="K4421" s="5">
        <v>104903000</v>
      </c>
      <c r="L4421" s="5">
        <v>2474262000</v>
      </c>
      <c r="M4421" s="5">
        <v>190906000</v>
      </c>
      <c r="N4421" s="5">
        <v>-816969000</v>
      </c>
    </row>
    <row r="4422" spans="1:14" x14ac:dyDescent="0.25">
      <c r="A4422" s="3" t="s">
        <v>4433</v>
      </c>
      <c r="B4422" s="4">
        <v>31.14</v>
      </c>
      <c r="C4422" s="4">
        <v>0.16</v>
      </c>
      <c r="D4422" s="4">
        <v>0.16</v>
      </c>
      <c r="E4422" s="4">
        <v>-2.9198946874394931E-2</v>
      </c>
      <c r="F4422" s="3">
        <v>4420</v>
      </c>
      <c r="G4422" s="3">
        <v>4</v>
      </c>
      <c r="H4422" s="5">
        <v>93279917.5</v>
      </c>
      <c r="I4422" s="5">
        <v>79792437.5</v>
      </c>
      <c r="J4422" s="5">
        <v>0</v>
      </c>
      <c r="K4422" s="5">
        <v>13487480</v>
      </c>
      <c r="L4422" s="5">
        <v>5902240</v>
      </c>
      <c r="M4422" s="5">
        <v>2562600</v>
      </c>
      <c r="N4422" s="5">
        <v>2822350</v>
      </c>
    </row>
    <row r="4423" spans="1:14" x14ac:dyDescent="0.25">
      <c r="A4423" s="3" t="s">
        <v>4434</v>
      </c>
      <c r="B4423" s="4">
        <v>32.06</v>
      </c>
      <c r="C4423" s="4">
        <v>0.38</v>
      </c>
      <c r="D4423" s="4">
        <v>-0.28999999999999998</v>
      </c>
      <c r="E4423" s="4">
        <v>-2.9219500640195739E-2</v>
      </c>
      <c r="F4423" s="3">
        <v>4421</v>
      </c>
      <c r="G4423" s="3">
        <v>4</v>
      </c>
      <c r="H4423" s="5">
        <v>133434836</v>
      </c>
      <c r="I4423" s="5">
        <v>391134836</v>
      </c>
      <c r="J4423" s="5">
        <v>335100000</v>
      </c>
      <c r="K4423" s="5">
        <v>77400000</v>
      </c>
      <c r="L4423" s="5">
        <v>306200000</v>
      </c>
      <c r="M4423" s="5">
        <v>12200000</v>
      </c>
      <c r="N4423" s="5">
        <v>-69900000</v>
      </c>
    </row>
    <row r="4424" spans="1:14" x14ac:dyDescent="0.25">
      <c r="A4424" s="3" t="s">
        <v>4435</v>
      </c>
      <c r="B4424" s="4">
        <v>30.28</v>
      </c>
      <c r="C4424" s="4">
        <v>-0.02</v>
      </c>
      <c r="D4424" s="4">
        <v>-0.01</v>
      </c>
      <c r="E4424" s="4">
        <v>-2.9219553562524109E-2</v>
      </c>
      <c r="F4424" s="3">
        <v>4422</v>
      </c>
      <c r="G4424" s="3">
        <v>4</v>
      </c>
      <c r="H4424" s="5">
        <v>7938206356.3599997</v>
      </c>
      <c r="I4424" s="5">
        <v>9566979356.3600006</v>
      </c>
      <c r="J4424" s="5">
        <v>1705475000</v>
      </c>
      <c r="K4424" s="5">
        <v>76702000</v>
      </c>
      <c r="L4424" s="5">
        <v>2070668000</v>
      </c>
      <c r="M4424" s="5">
        <v>315977000</v>
      </c>
      <c r="N4424" s="5">
        <v>-37812000</v>
      </c>
    </row>
    <row r="4425" spans="1:14" x14ac:dyDescent="0.25">
      <c r="A4425" s="3" t="s">
        <v>4436</v>
      </c>
      <c r="B4425" s="4">
        <v>32.68</v>
      </c>
      <c r="C4425" s="4">
        <v>0.45</v>
      </c>
      <c r="D4425" s="4">
        <v>0.38</v>
      </c>
      <c r="E4425" s="4">
        <v>-2.9271731363620442E-2</v>
      </c>
      <c r="F4425" s="3">
        <v>4423</v>
      </c>
      <c r="G4425" s="3">
        <v>4</v>
      </c>
      <c r="H4425" s="5">
        <v>40269754.700000003</v>
      </c>
      <c r="I4425" s="5">
        <v>39486944.700000003</v>
      </c>
      <c r="J4425" s="5">
        <v>0</v>
      </c>
      <c r="K4425" s="5">
        <v>782810</v>
      </c>
      <c r="L4425" s="5">
        <v>2662110</v>
      </c>
      <c r="M4425" s="5">
        <v>1208320</v>
      </c>
      <c r="N4425" s="5">
        <v>850750</v>
      </c>
    </row>
    <row r="4426" spans="1:14" x14ac:dyDescent="0.25">
      <c r="A4426" s="3" t="s">
        <v>4437</v>
      </c>
      <c r="B4426" s="4">
        <v>31.81</v>
      </c>
      <c r="C4426" s="4">
        <v>0.28000000000000003</v>
      </c>
      <c r="D4426" s="4">
        <v>0.11</v>
      </c>
      <c r="E4426" s="4">
        <v>-2.9276545504813151E-2</v>
      </c>
      <c r="F4426" s="3">
        <v>4424</v>
      </c>
      <c r="G4426" s="3">
        <v>4</v>
      </c>
      <c r="H4426" s="5">
        <v>414385824935.28003</v>
      </c>
      <c r="I4426" s="5">
        <v>407491824935.28003</v>
      </c>
      <c r="J4426" s="5">
        <v>7267000000</v>
      </c>
      <c r="K4426" s="5">
        <v>14161000000</v>
      </c>
      <c r="L4426" s="5">
        <v>275235000000</v>
      </c>
      <c r="M4426" s="5">
        <v>12809000000</v>
      </c>
      <c r="N4426" s="5">
        <v>8099000000</v>
      </c>
    </row>
    <row r="4427" spans="1:14" x14ac:dyDescent="0.25">
      <c r="A4427" s="3" t="s">
        <v>4438</v>
      </c>
      <c r="B4427" s="4">
        <v>0.56000000000000005</v>
      </c>
      <c r="C4427" s="4">
        <v>-6.29</v>
      </c>
      <c r="D4427" s="4">
        <v>-1.76</v>
      </c>
      <c r="E4427" s="4">
        <v>-2.9279105479938609E-2</v>
      </c>
      <c r="F4427" s="3">
        <v>4425</v>
      </c>
      <c r="G4427" s="3">
        <v>4</v>
      </c>
      <c r="H4427" s="5">
        <v>6224.6914999999999</v>
      </c>
      <c r="I4427" s="5">
        <v>-40618375.308499999</v>
      </c>
      <c r="J4427" s="5">
        <v>46987580</v>
      </c>
      <c r="K4427" s="5">
        <v>87612180</v>
      </c>
      <c r="L4427" s="5">
        <v>9791370</v>
      </c>
      <c r="M4427" s="5">
        <v>-72657030</v>
      </c>
      <c r="N4427" s="5">
        <v>-713172940</v>
      </c>
    </row>
    <row r="4428" spans="1:14" x14ac:dyDescent="0.25">
      <c r="A4428" s="3" t="s">
        <v>4439</v>
      </c>
      <c r="B4428" s="4">
        <v>23.72</v>
      </c>
      <c r="C4428" s="4">
        <v>-1.45</v>
      </c>
      <c r="D4428" s="4">
        <v>-0.1</v>
      </c>
      <c r="E4428" s="4">
        <v>-2.9308581667506339E-2</v>
      </c>
      <c r="F4428" s="3">
        <v>4426</v>
      </c>
      <c r="G4428" s="3">
        <v>4</v>
      </c>
      <c r="H4428" s="5">
        <v>827317783.02499998</v>
      </c>
      <c r="I4428" s="5">
        <v>844487783.02499998</v>
      </c>
      <c r="J4428" s="5">
        <v>246013000</v>
      </c>
      <c r="K4428" s="5">
        <v>228843000</v>
      </c>
      <c r="L4428" s="5">
        <v>492557000</v>
      </c>
      <c r="M4428" s="5">
        <v>35600000</v>
      </c>
      <c r="N4428" s="5">
        <v>-59027000</v>
      </c>
    </row>
    <row r="4429" spans="1:14" x14ac:dyDescent="0.25">
      <c r="A4429" s="3" t="s">
        <v>4440</v>
      </c>
      <c r="B4429" s="4">
        <v>30.12</v>
      </c>
      <c r="C4429" s="4">
        <v>-0.12</v>
      </c>
      <c r="D4429" s="4">
        <v>-0.02</v>
      </c>
      <c r="E4429" s="4">
        <v>-2.9411391368092961E-2</v>
      </c>
      <c r="F4429" s="3">
        <v>4427</v>
      </c>
      <c r="G4429" s="3">
        <v>4</v>
      </c>
      <c r="H4429" s="5">
        <v>708666238.64999998</v>
      </c>
      <c r="I4429" s="5">
        <v>766528238.64999998</v>
      </c>
      <c r="J4429" s="5">
        <v>76706000</v>
      </c>
      <c r="K4429" s="5">
        <v>18844000</v>
      </c>
      <c r="L4429" s="5">
        <v>342269000</v>
      </c>
      <c r="M4429" s="5">
        <v>25445000</v>
      </c>
      <c r="N4429" s="5">
        <v>-6793000</v>
      </c>
    </row>
    <row r="4430" spans="1:14" x14ac:dyDescent="0.25">
      <c r="A4430" s="3" t="s">
        <v>4441</v>
      </c>
      <c r="B4430" s="4">
        <v>29.82</v>
      </c>
      <c r="C4430" s="4">
        <v>-0.25</v>
      </c>
      <c r="D4430" s="4">
        <v>-0.09</v>
      </c>
      <c r="E4430" s="4">
        <v>-2.9614835274411121E-2</v>
      </c>
      <c r="F4430" s="3">
        <v>4428</v>
      </c>
      <c r="G4430" s="3">
        <v>4</v>
      </c>
      <c r="H4430" s="5">
        <v>5240.4368999999997</v>
      </c>
      <c r="I4430" s="5">
        <v>68116240.436900005</v>
      </c>
      <c r="J4430" s="5">
        <v>76589000</v>
      </c>
      <c r="K4430" s="5">
        <v>8478000</v>
      </c>
      <c r="L4430" s="5">
        <v>176846000</v>
      </c>
      <c r="M4430" s="5">
        <v>2284000</v>
      </c>
      <c r="N4430" s="5">
        <v>-20180000</v>
      </c>
    </row>
    <row r="4431" spans="1:14" x14ac:dyDescent="0.25">
      <c r="A4431" s="3" t="s">
        <v>4442</v>
      </c>
      <c r="B4431" s="4">
        <v>10.52</v>
      </c>
      <c r="C4431" s="4">
        <v>-4.34</v>
      </c>
      <c r="D4431" s="4">
        <v>-0.96</v>
      </c>
      <c r="E4431" s="4">
        <v>-2.9654978860207969E-2</v>
      </c>
      <c r="F4431" s="3">
        <v>4429</v>
      </c>
      <c r="G4431" s="3">
        <v>4</v>
      </c>
      <c r="H4431" s="5">
        <v>99660830.799999997</v>
      </c>
      <c r="I4431" s="5">
        <v>452850830.80000001</v>
      </c>
      <c r="J4431" s="5">
        <v>485949000</v>
      </c>
      <c r="K4431" s="5">
        <v>132759000</v>
      </c>
      <c r="L4431" s="5">
        <v>617574000</v>
      </c>
      <c r="M4431" s="5">
        <v>43034000</v>
      </c>
      <c r="N4431" s="5">
        <v>-837068000</v>
      </c>
    </row>
    <row r="4432" spans="1:14" x14ac:dyDescent="0.25">
      <c r="A4432" s="3" t="s">
        <v>4443</v>
      </c>
      <c r="B4432" s="4">
        <v>23.11</v>
      </c>
      <c r="C4432" s="4">
        <v>-1.74</v>
      </c>
      <c r="D4432" s="4">
        <v>0.16</v>
      </c>
      <c r="E4432" s="4">
        <v>-2.9718800032388751E-2</v>
      </c>
      <c r="F4432" s="3">
        <v>4430</v>
      </c>
      <c r="G4432" s="3">
        <v>4</v>
      </c>
      <c r="H4432" s="5">
        <v>80398263119.119995</v>
      </c>
      <c r="I4432" s="5">
        <v>85788950119.119995</v>
      </c>
      <c r="J4432" s="5">
        <v>5520932000</v>
      </c>
      <c r="K4432" s="5">
        <v>130245000</v>
      </c>
      <c r="L4432" s="5">
        <v>16708479000</v>
      </c>
      <c r="M4432" s="5">
        <v>3712257000</v>
      </c>
      <c r="N4432" s="5">
        <v>2386680000</v>
      </c>
    </row>
    <row r="4433" spans="1:14" x14ac:dyDescent="0.25">
      <c r="A4433" s="3" t="s">
        <v>4444</v>
      </c>
      <c r="B4433" s="4">
        <v>31.34</v>
      </c>
      <c r="C4433" s="4">
        <v>0.03</v>
      </c>
      <c r="D4433" s="4">
        <v>0.02</v>
      </c>
      <c r="E4433" s="4">
        <v>-2.972535425160951E-2</v>
      </c>
      <c r="F4433" s="3">
        <v>4431</v>
      </c>
      <c r="G4433" s="3">
        <v>4</v>
      </c>
      <c r="H4433" s="5">
        <v>2008082728.96</v>
      </c>
      <c r="I4433" s="5">
        <v>1085066728.96</v>
      </c>
      <c r="J4433" s="5">
        <v>0</v>
      </c>
      <c r="K4433" s="5">
        <v>923016000</v>
      </c>
      <c r="L4433" s="5">
        <v>506995000</v>
      </c>
      <c r="M4433" s="5">
        <v>34618000</v>
      </c>
      <c r="N4433" s="5">
        <v>27287000</v>
      </c>
    </row>
    <row r="4434" spans="1:14" x14ac:dyDescent="0.25">
      <c r="A4434" s="3" t="s">
        <v>4445</v>
      </c>
      <c r="B4434" s="4">
        <v>18.850000000000001</v>
      </c>
      <c r="C4434" s="4">
        <v>-2.64</v>
      </c>
      <c r="D4434" s="4">
        <v>-0.21</v>
      </c>
      <c r="E4434" s="4">
        <v>-2.9753997020102691E-2</v>
      </c>
      <c r="F4434" s="3">
        <v>4432</v>
      </c>
      <c r="G4434" s="3">
        <v>4</v>
      </c>
      <c r="H4434" s="5">
        <v>702.52189999999996</v>
      </c>
      <c r="I4434" s="5">
        <v>143117702.5219</v>
      </c>
      <c r="J4434" s="5">
        <v>145194000</v>
      </c>
      <c r="K4434" s="5">
        <v>2077000</v>
      </c>
      <c r="L4434" s="5">
        <v>626073000</v>
      </c>
      <c r="M4434" s="5">
        <v>7593000</v>
      </c>
      <c r="N4434" s="5">
        <v>-49548000</v>
      </c>
    </row>
    <row r="4435" spans="1:14" x14ac:dyDescent="0.25">
      <c r="A4435" s="3" t="s">
        <v>4446</v>
      </c>
      <c r="B4435" s="4">
        <v>31.3</v>
      </c>
      <c r="C4435" s="4">
        <v>0</v>
      </c>
      <c r="D4435" s="4">
        <v>0</v>
      </c>
      <c r="E4435" s="4">
        <v>-2.9791136303019581E-2</v>
      </c>
      <c r="F4435" s="3">
        <v>4433</v>
      </c>
      <c r="G4435" s="3">
        <v>4</v>
      </c>
      <c r="H4435" s="5">
        <v>13246426.5744</v>
      </c>
      <c r="I4435" s="5">
        <v>31554426.5744</v>
      </c>
      <c r="J4435" s="5">
        <v>20054000</v>
      </c>
      <c r="K4435" s="5">
        <v>1746000</v>
      </c>
      <c r="L4435" s="5">
        <v>58333000</v>
      </c>
      <c r="M4435" s="5">
        <v>1008000</v>
      </c>
      <c r="N4435" s="5">
        <v>8000</v>
      </c>
    </row>
    <row r="4436" spans="1:14" x14ac:dyDescent="0.25">
      <c r="A4436" s="3" t="s">
        <v>4447</v>
      </c>
      <c r="B4436" s="4">
        <v>31.76</v>
      </c>
      <c r="C4436" s="4">
        <v>0.09</v>
      </c>
      <c r="D4436" s="4">
        <v>0.05</v>
      </c>
      <c r="E4436" s="4">
        <v>-2.9806152169067499E-2</v>
      </c>
      <c r="F4436" s="3">
        <v>4434</v>
      </c>
      <c r="G4436" s="3">
        <v>4</v>
      </c>
      <c r="H4436" s="5">
        <v>146613517657.10001</v>
      </c>
      <c r="I4436" s="5">
        <v>156945517657.10001</v>
      </c>
      <c r="J4436" s="5">
        <v>10746000000</v>
      </c>
      <c r="K4436" s="5">
        <v>414000000</v>
      </c>
      <c r="L4436" s="5">
        <v>16747000000</v>
      </c>
      <c r="M4436" s="5">
        <v>4942000000</v>
      </c>
      <c r="N4436" s="5">
        <v>1854000000</v>
      </c>
    </row>
    <row r="4437" spans="1:14" x14ac:dyDescent="0.25">
      <c r="A4437" s="3" t="s">
        <v>4448</v>
      </c>
      <c r="B4437" s="4">
        <v>32.33</v>
      </c>
      <c r="C4437" s="4">
        <v>0.2</v>
      </c>
      <c r="D4437" s="4">
        <v>0.1</v>
      </c>
      <c r="E4437" s="4">
        <v>-2.983146208375434E-2</v>
      </c>
      <c r="F4437" s="3">
        <v>4435</v>
      </c>
      <c r="G4437" s="3">
        <v>4</v>
      </c>
      <c r="H4437" s="5">
        <v>182709280650</v>
      </c>
      <c r="I4437" s="5">
        <v>185798280650</v>
      </c>
      <c r="J4437" s="5">
        <v>5973000000</v>
      </c>
      <c r="K4437" s="5">
        <v>2884000000</v>
      </c>
      <c r="L4437" s="5">
        <v>18831000000</v>
      </c>
      <c r="M4437" s="5">
        <v>5747000000</v>
      </c>
      <c r="N4437" s="5">
        <v>3869000000</v>
      </c>
    </row>
    <row r="4438" spans="1:14" x14ac:dyDescent="0.25">
      <c r="A4438" s="3" t="s">
        <v>4449</v>
      </c>
      <c r="B4438" s="4">
        <v>34.630000000000003</v>
      </c>
      <c r="C4438" s="4">
        <v>0.69</v>
      </c>
      <c r="D4438" s="4">
        <v>0.08</v>
      </c>
      <c r="E4438" s="4">
        <v>-2.9843050703528731E-2</v>
      </c>
      <c r="F4438" s="3">
        <v>4436</v>
      </c>
      <c r="G4438" s="3">
        <v>4</v>
      </c>
      <c r="H4438" s="5">
        <v>2458618137.0999999</v>
      </c>
      <c r="I4438" s="5">
        <v>2496652137.0999999</v>
      </c>
      <c r="J4438" s="5">
        <v>92314000</v>
      </c>
      <c r="K4438" s="5">
        <v>54280000</v>
      </c>
      <c r="L4438" s="5">
        <v>314505000</v>
      </c>
      <c r="M4438" s="5">
        <v>72095000</v>
      </c>
      <c r="N4438" s="5">
        <v>30426000</v>
      </c>
    </row>
    <row r="4439" spans="1:14" x14ac:dyDescent="0.25">
      <c r="A4439" s="3" t="s">
        <v>4450</v>
      </c>
      <c r="B4439" s="4">
        <v>28.01</v>
      </c>
      <c r="C4439" s="4">
        <v>-0.75</v>
      </c>
      <c r="D4439" s="4">
        <v>-0.26</v>
      </c>
      <c r="E4439" s="4">
        <v>-2.9972062845780609E-2</v>
      </c>
      <c r="F4439" s="3">
        <v>4437</v>
      </c>
      <c r="G4439" s="3">
        <v>4</v>
      </c>
      <c r="H4439" s="5">
        <v>222197533.34999999</v>
      </c>
      <c r="I4439" s="5">
        <v>331459533.35000002</v>
      </c>
      <c r="J4439" s="5">
        <v>155764000</v>
      </c>
      <c r="K4439" s="5">
        <v>46502000</v>
      </c>
      <c r="L4439" s="5">
        <v>1685658000</v>
      </c>
      <c r="M4439" s="5">
        <v>11834000</v>
      </c>
      <c r="N4439" s="5">
        <v>-199993000</v>
      </c>
    </row>
    <row r="4440" spans="1:14" x14ac:dyDescent="0.25">
      <c r="A4440" s="3" t="s">
        <v>4451</v>
      </c>
      <c r="B4440" s="4">
        <v>-3.57</v>
      </c>
      <c r="C4440" s="4">
        <v>-7.48</v>
      </c>
      <c r="D4440" s="4">
        <v>-0.86</v>
      </c>
      <c r="E4440" s="4">
        <v>-2.9987690369790598E-2</v>
      </c>
      <c r="F4440" s="3">
        <v>4438</v>
      </c>
      <c r="G4440" s="3">
        <v>4</v>
      </c>
      <c r="H4440" s="5">
        <v>152516932.24000001</v>
      </c>
      <c r="I4440" s="5">
        <v>181281932.24000001</v>
      </c>
      <c r="J4440" s="5">
        <v>40511000</v>
      </c>
      <c r="K4440" s="5">
        <v>11746000</v>
      </c>
      <c r="L4440" s="5">
        <v>54014000</v>
      </c>
      <c r="M4440" s="5">
        <v>-50778000</v>
      </c>
      <c r="N4440" s="5">
        <v>-62746000</v>
      </c>
    </row>
    <row r="4441" spans="1:14" x14ac:dyDescent="0.25">
      <c r="A4441" s="3" t="s">
        <v>4452</v>
      </c>
      <c r="B4441" s="4">
        <v>34.020000000000003</v>
      </c>
      <c r="C4441" s="4">
        <v>0.49</v>
      </c>
      <c r="D4441" s="4">
        <v>0.19</v>
      </c>
      <c r="E4441" s="4">
        <v>-3.00221620039436E-2</v>
      </c>
      <c r="F4441" s="3">
        <v>4439</v>
      </c>
      <c r="G4441" s="3">
        <v>4</v>
      </c>
      <c r="H4441" s="5">
        <v>16867413614.629999</v>
      </c>
      <c r="I4441" s="5">
        <v>16197977614.629999</v>
      </c>
      <c r="J4441" s="5">
        <v>0</v>
      </c>
      <c r="K4441" s="5">
        <v>669436000</v>
      </c>
      <c r="L4441" s="5">
        <v>2109054000</v>
      </c>
      <c r="M4441" s="5">
        <v>476121000</v>
      </c>
      <c r="N4441" s="5">
        <v>404386000</v>
      </c>
    </row>
    <row r="4442" spans="1:14" x14ac:dyDescent="0.25">
      <c r="A4442" s="3" t="s">
        <v>4453</v>
      </c>
      <c r="B4442" s="4">
        <v>32.28</v>
      </c>
      <c r="C4442" s="4">
        <v>0.12</v>
      </c>
      <c r="D4442" s="4">
        <v>0.06</v>
      </c>
      <c r="E4442" s="4">
        <v>-3.0039381017694652E-2</v>
      </c>
      <c r="F4442" s="3">
        <v>4440</v>
      </c>
      <c r="G4442" s="3">
        <v>4</v>
      </c>
      <c r="H4442" s="5">
        <v>84663465.25</v>
      </c>
      <c r="I4442" s="5">
        <v>152815545.25</v>
      </c>
      <c r="J4442" s="5">
        <v>135723640</v>
      </c>
      <c r="K4442" s="5">
        <v>67571560</v>
      </c>
      <c r="L4442" s="5">
        <v>22181600</v>
      </c>
      <c r="M4442" s="5">
        <v>4733860</v>
      </c>
      <c r="N4442" s="5">
        <v>18619120</v>
      </c>
    </row>
    <row r="4443" spans="1:14" x14ac:dyDescent="0.25">
      <c r="A4443" s="3" t="s">
        <v>4454</v>
      </c>
      <c r="B4443" s="4">
        <v>31.84</v>
      </c>
      <c r="C4443" s="4">
        <v>0</v>
      </c>
      <c r="D4443" s="4">
        <v>0</v>
      </c>
      <c r="E4443" s="4">
        <v>-3.0125353410661759E-2</v>
      </c>
      <c r="F4443" s="3">
        <v>4441</v>
      </c>
      <c r="G4443" s="3">
        <v>4</v>
      </c>
      <c r="H4443" s="5">
        <v>515483959.92000002</v>
      </c>
      <c r="I4443" s="5">
        <v>367368959.92000008</v>
      </c>
      <c r="J4443" s="5">
        <v>29214000</v>
      </c>
      <c r="K4443" s="5">
        <v>177329000</v>
      </c>
      <c r="L4443" s="5">
        <v>323140000</v>
      </c>
      <c r="M4443" s="5">
        <v>11538000</v>
      </c>
      <c r="N4443" s="5">
        <v>1215000</v>
      </c>
    </row>
    <row r="4444" spans="1:14" x14ac:dyDescent="0.25">
      <c r="A4444" s="3" t="s">
        <v>4455</v>
      </c>
      <c r="B4444" s="4">
        <v>-0.6</v>
      </c>
      <c r="C4444" s="4">
        <v>1.24</v>
      </c>
      <c r="D4444" s="4">
        <v>-122.97</v>
      </c>
      <c r="E4444" s="4">
        <v>-3.0186002683139389E-2</v>
      </c>
      <c r="F4444" s="3">
        <v>4442</v>
      </c>
      <c r="G4444" s="3">
        <v>4</v>
      </c>
      <c r="H4444" s="5">
        <v>14821.388000999999</v>
      </c>
      <c r="I4444" s="5">
        <v>797511.38800100004</v>
      </c>
      <c r="J4444" s="5">
        <v>785140</v>
      </c>
      <c r="K4444" s="5">
        <v>2450</v>
      </c>
      <c r="L4444" s="5">
        <v>15140</v>
      </c>
      <c r="M4444" s="5">
        <v>-1328990</v>
      </c>
      <c r="N4444" s="5">
        <v>-1619570</v>
      </c>
    </row>
    <row r="4445" spans="1:14" x14ac:dyDescent="0.25">
      <c r="A4445" s="3" t="s">
        <v>4456</v>
      </c>
      <c r="B4445" s="4">
        <v>28.86</v>
      </c>
      <c r="C4445" s="4">
        <v>-0.78</v>
      </c>
      <c r="D4445" s="4">
        <v>1.49</v>
      </c>
      <c r="E4445" s="4">
        <v>-3.024724650001203E-2</v>
      </c>
      <c r="F4445" s="3">
        <v>4443</v>
      </c>
      <c r="G4445" s="3">
        <v>4</v>
      </c>
      <c r="H4445" s="5">
        <v>1502579785.7</v>
      </c>
      <c r="I4445" s="5">
        <v>1550406585.7</v>
      </c>
      <c r="J4445" s="5">
        <v>59942800</v>
      </c>
      <c r="K4445" s="5">
        <v>12116000</v>
      </c>
      <c r="L4445" s="5">
        <v>81289100</v>
      </c>
      <c r="M4445" s="5">
        <v>53729900</v>
      </c>
      <c r="N4445" s="5">
        <v>39954200</v>
      </c>
    </row>
    <row r="4446" spans="1:14" x14ac:dyDescent="0.25">
      <c r="A4446" s="3" t="s">
        <v>4457</v>
      </c>
      <c r="B4446" s="4">
        <v>32.5</v>
      </c>
      <c r="C4446" s="4">
        <v>7.0000000000000007E-2</v>
      </c>
      <c r="D4446" s="4">
        <v>0.05</v>
      </c>
      <c r="E4446" s="4">
        <v>-3.0321940604680141E-2</v>
      </c>
      <c r="F4446" s="3">
        <v>4444</v>
      </c>
      <c r="G4446" s="3">
        <v>4</v>
      </c>
      <c r="H4446" s="5">
        <v>210304612.80000001</v>
      </c>
      <c r="I4446" s="5">
        <v>191061612.80000001</v>
      </c>
      <c r="J4446" s="5">
        <v>0</v>
      </c>
      <c r="K4446" s="5">
        <v>19243000</v>
      </c>
      <c r="L4446" s="5">
        <v>61009000</v>
      </c>
      <c r="M4446" s="5">
        <v>5878000</v>
      </c>
      <c r="N4446" s="5">
        <v>6968000</v>
      </c>
    </row>
    <row r="4447" spans="1:14" x14ac:dyDescent="0.25">
      <c r="A4447" s="3" t="s">
        <v>4458</v>
      </c>
      <c r="B4447" s="4">
        <v>32.65</v>
      </c>
      <c r="C4447" s="4">
        <v>0.1</v>
      </c>
      <c r="D4447" s="4">
        <v>0.05</v>
      </c>
      <c r="E4447" s="4">
        <v>-3.0328097869092931E-2</v>
      </c>
      <c r="F4447" s="3">
        <v>4445</v>
      </c>
      <c r="G4447" s="3">
        <v>4</v>
      </c>
      <c r="H4447" s="5">
        <v>701907142.29999995</v>
      </c>
      <c r="I4447" s="5">
        <v>680395142.29999995</v>
      </c>
      <c r="J4447" s="5">
        <v>65000</v>
      </c>
      <c r="K4447" s="5">
        <v>21577000</v>
      </c>
      <c r="L4447" s="5">
        <v>209896000</v>
      </c>
      <c r="M4447" s="5">
        <v>20836000</v>
      </c>
      <c r="N4447" s="5">
        <v>12230000</v>
      </c>
    </row>
    <row r="4448" spans="1:14" x14ac:dyDescent="0.25">
      <c r="A4448" s="3" t="s">
        <v>4459</v>
      </c>
      <c r="B4448" s="4">
        <v>32.31</v>
      </c>
      <c r="C4448" s="4">
        <v>0.02</v>
      </c>
      <c r="D4448" s="4">
        <v>0.02</v>
      </c>
      <c r="E4448" s="4">
        <v>-3.035460081124047E-2</v>
      </c>
      <c r="F4448" s="3">
        <v>4446</v>
      </c>
      <c r="G4448" s="3">
        <v>4</v>
      </c>
      <c r="H4448" s="5">
        <v>3989034.9112499999</v>
      </c>
      <c r="I4448" s="5">
        <v>-42869965.088749997</v>
      </c>
      <c r="J4448" s="5">
        <v>0</v>
      </c>
      <c r="K4448" s="5">
        <v>46859000</v>
      </c>
      <c r="L4448" s="5">
        <v>26000</v>
      </c>
      <c r="M4448" s="5">
        <v>-1327000</v>
      </c>
      <c r="N4448" s="5">
        <v>778000</v>
      </c>
    </row>
    <row r="4449" spans="1:14" x14ac:dyDescent="0.25">
      <c r="A4449" s="3" t="s">
        <v>4460</v>
      </c>
      <c r="B4449" s="4">
        <v>32.56</v>
      </c>
      <c r="C4449" s="4">
        <v>7.0000000000000007E-2</v>
      </c>
      <c r="D4449" s="4">
        <v>0.04</v>
      </c>
      <c r="E4449" s="4">
        <v>-3.0361004865440109E-2</v>
      </c>
      <c r="F4449" s="3">
        <v>4447</v>
      </c>
      <c r="G4449" s="3">
        <v>4</v>
      </c>
      <c r="H4449" s="5">
        <v>189762433.69999999</v>
      </c>
      <c r="I4449" s="5">
        <v>170002433.69999999</v>
      </c>
      <c r="J4449" s="5">
        <v>0</v>
      </c>
      <c r="K4449" s="5">
        <v>19760000</v>
      </c>
      <c r="L4449" s="5">
        <v>53399000</v>
      </c>
      <c r="M4449" s="5">
        <v>5221000</v>
      </c>
      <c r="N4449" s="5">
        <v>2932000</v>
      </c>
    </row>
    <row r="4450" spans="1:14" x14ac:dyDescent="0.25">
      <c r="A4450" s="3" t="s">
        <v>4461</v>
      </c>
      <c r="B4450" s="4">
        <v>32.5</v>
      </c>
      <c r="C4450" s="4">
        <v>0.05</v>
      </c>
      <c r="D4450" s="4">
        <v>0.05</v>
      </c>
      <c r="E4450" s="4">
        <v>-3.0379727818709061E-2</v>
      </c>
      <c r="F4450" s="3">
        <v>4448</v>
      </c>
      <c r="G4450" s="3">
        <v>4</v>
      </c>
      <c r="H4450" s="5">
        <v>387168257.35000002</v>
      </c>
      <c r="I4450" s="5">
        <v>365547257.35000002</v>
      </c>
      <c r="J4450" s="5">
        <v>0</v>
      </c>
      <c r="K4450" s="5">
        <v>21621000</v>
      </c>
      <c r="L4450" s="5">
        <v>62026000</v>
      </c>
      <c r="M4450" s="5">
        <v>11247000</v>
      </c>
      <c r="N4450" s="5">
        <v>5882000</v>
      </c>
    </row>
    <row r="4451" spans="1:14" x14ac:dyDescent="0.25">
      <c r="A4451" s="3" t="s">
        <v>4462</v>
      </c>
      <c r="B4451" s="4">
        <v>33.6</v>
      </c>
      <c r="C4451" s="4">
        <v>0.27</v>
      </c>
      <c r="D4451" s="4">
        <v>0.1</v>
      </c>
      <c r="E4451" s="4">
        <v>-3.041523595818197E-2</v>
      </c>
      <c r="F4451" s="3">
        <v>4449</v>
      </c>
      <c r="G4451" s="3">
        <v>4</v>
      </c>
      <c r="H4451" s="5">
        <v>101920000</v>
      </c>
      <c r="I4451" s="5">
        <v>104336080</v>
      </c>
      <c r="J4451" s="5">
        <v>2524830</v>
      </c>
      <c r="K4451" s="5">
        <v>108750</v>
      </c>
      <c r="L4451" s="5">
        <v>36539850</v>
      </c>
      <c r="M4451" s="5">
        <v>3105400</v>
      </c>
      <c r="N4451" s="5">
        <v>3124660</v>
      </c>
    </row>
    <row r="4452" spans="1:14" x14ac:dyDescent="0.25">
      <c r="A4452" s="3" t="s">
        <v>4463</v>
      </c>
      <c r="B4452" s="4">
        <v>17.32</v>
      </c>
      <c r="C4452" s="4">
        <v>-3.21</v>
      </c>
      <c r="D4452" s="4">
        <v>-0.23</v>
      </c>
      <c r="E4452" s="4">
        <v>-3.0457842201428959E-2</v>
      </c>
      <c r="F4452" s="3">
        <v>4450</v>
      </c>
      <c r="G4452" s="3">
        <v>4</v>
      </c>
      <c r="H4452" s="5">
        <v>2649746502.7199998</v>
      </c>
      <c r="I4452" s="5">
        <v>3983746502.7199998</v>
      </c>
      <c r="J4452" s="5">
        <v>1500000000</v>
      </c>
      <c r="K4452" s="5">
        <v>166000000</v>
      </c>
      <c r="L4452" s="5">
        <v>4442000000</v>
      </c>
      <c r="M4452" s="5">
        <v>230000000</v>
      </c>
      <c r="N4452" s="5">
        <v>-1182000000</v>
      </c>
    </row>
    <row r="4453" spans="1:14" x14ac:dyDescent="0.25">
      <c r="A4453" s="3" t="s">
        <v>4464</v>
      </c>
      <c r="B4453" s="4">
        <v>-1.32</v>
      </c>
      <c r="C4453" s="4">
        <v>-6.99</v>
      </c>
      <c r="D4453" s="4">
        <v>-3.67</v>
      </c>
      <c r="E4453" s="4">
        <v>-3.0506531376203731E-2</v>
      </c>
      <c r="F4453" s="3">
        <v>4451</v>
      </c>
      <c r="G4453" s="3">
        <v>4</v>
      </c>
      <c r="H4453" s="5">
        <v>17118710.66</v>
      </c>
      <c r="I4453" s="5">
        <v>15933990.66</v>
      </c>
      <c r="J4453" s="5">
        <v>6610</v>
      </c>
      <c r="K4453" s="5">
        <v>1191330</v>
      </c>
      <c r="L4453" s="5">
        <v>0</v>
      </c>
      <c r="M4453" s="5">
        <v>-12050430</v>
      </c>
      <c r="N4453" s="5">
        <v>-11850120</v>
      </c>
    </row>
    <row r="4454" spans="1:14" x14ac:dyDescent="0.25">
      <c r="A4454" s="3" t="s">
        <v>4465</v>
      </c>
      <c r="B4454" s="4">
        <v>33.03</v>
      </c>
      <c r="C4454" s="4">
        <v>0.04</v>
      </c>
      <c r="D4454" s="4">
        <v>0.04</v>
      </c>
      <c r="E4454" s="4">
        <v>-3.0738578354246131E-2</v>
      </c>
      <c r="F4454" s="3">
        <v>4452</v>
      </c>
      <c r="G4454" s="3">
        <v>4</v>
      </c>
      <c r="H4454" s="5">
        <v>8038811592</v>
      </c>
      <c r="I4454" s="5">
        <v>8221916592</v>
      </c>
      <c r="J4454" s="5">
        <v>396927000</v>
      </c>
      <c r="K4454" s="5">
        <v>213822000</v>
      </c>
      <c r="L4454" s="5">
        <v>296286000</v>
      </c>
      <c r="M4454" s="5">
        <v>248911000</v>
      </c>
      <c r="N4454" s="5">
        <v>125080000</v>
      </c>
    </row>
    <row r="4455" spans="1:14" x14ac:dyDescent="0.25">
      <c r="A4455" s="3" t="s">
        <v>4466</v>
      </c>
      <c r="B4455" s="4">
        <v>27.43</v>
      </c>
      <c r="C4455" s="4">
        <v>-1.18</v>
      </c>
      <c r="D4455" s="4">
        <v>0.2</v>
      </c>
      <c r="E4455" s="4">
        <v>-3.0766778794406532E-2</v>
      </c>
      <c r="F4455" s="3">
        <v>4453</v>
      </c>
      <c r="G4455" s="3">
        <v>4</v>
      </c>
      <c r="H4455" s="5">
        <v>42974556540.269997</v>
      </c>
      <c r="I4455" s="5">
        <v>47079518540.269997</v>
      </c>
      <c r="J4455" s="5">
        <v>4510816000</v>
      </c>
      <c r="K4455" s="5">
        <v>405854000</v>
      </c>
      <c r="L4455" s="5">
        <v>2856128000</v>
      </c>
      <c r="M4455" s="5">
        <v>1716484000</v>
      </c>
      <c r="N4455" s="5">
        <v>1109128000</v>
      </c>
    </row>
    <row r="4456" spans="1:14" x14ac:dyDescent="0.25">
      <c r="A4456" s="3" t="s">
        <v>4467</v>
      </c>
      <c r="B4456" s="4">
        <v>33.61</v>
      </c>
      <c r="C4456" s="4">
        <v>0.15</v>
      </c>
      <c r="D4456" s="4">
        <v>0.09</v>
      </c>
      <c r="E4456" s="4">
        <v>-3.077007747463005E-2</v>
      </c>
      <c r="F4456" s="3">
        <v>4454</v>
      </c>
      <c r="G4456" s="3">
        <v>4</v>
      </c>
      <c r="H4456" s="5">
        <v>6685073620.4899998</v>
      </c>
      <c r="I4456" s="5">
        <v>6793057620.4899998</v>
      </c>
      <c r="J4456" s="5">
        <v>256676000</v>
      </c>
      <c r="K4456" s="5">
        <v>148692000</v>
      </c>
      <c r="L4456" s="5">
        <v>1313517000</v>
      </c>
      <c r="M4456" s="5">
        <v>202142000</v>
      </c>
      <c r="N4456" s="5">
        <v>112089000</v>
      </c>
    </row>
    <row r="4457" spans="1:14" x14ac:dyDescent="0.25">
      <c r="A4457" s="3" t="s">
        <v>4468</v>
      </c>
      <c r="B4457" s="4">
        <v>34.42</v>
      </c>
      <c r="C4457" s="4">
        <v>0.31</v>
      </c>
      <c r="D4457" s="4">
        <v>0.19</v>
      </c>
      <c r="E4457" s="4">
        <v>-3.0789815158086941E-2</v>
      </c>
      <c r="F4457" s="3">
        <v>4455</v>
      </c>
      <c r="G4457" s="3">
        <v>4</v>
      </c>
      <c r="H4457" s="5">
        <v>3767343872.5999999</v>
      </c>
      <c r="I4457" s="5">
        <v>3447754872.5999999</v>
      </c>
      <c r="J4457" s="5">
        <v>0</v>
      </c>
      <c r="K4457" s="5">
        <v>319589000</v>
      </c>
      <c r="L4457" s="5">
        <v>957797000</v>
      </c>
      <c r="M4457" s="5">
        <v>100162000</v>
      </c>
      <c r="N4457" s="5">
        <v>226451000</v>
      </c>
    </row>
    <row r="4458" spans="1:14" x14ac:dyDescent="0.25">
      <c r="A4458" s="3" t="s">
        <v>4469</v>
      </c>
      <c r="B4458" s="4">
        <v>33.22</v>
      </c>
      <c r="C4458" s="4">
        <v>0.05</v>
      </c>
      <c r="D4458" s="4">
        <v>0.02</v>
      </c>
      <c r="E4458" s="4">
        <v>-3.0831137708631148E-2</v>
      </c>
      <c r="F4458" s="3">
        <v>4456</v>
      </c>
      <c r="G4458" s="3">
        <v>4</v>
      </c>
      <c r="H4458" s="5">
        <v>3660129028.8600001</v>
      </c>
      <c r="I4458" s="5">
        <v>3734022028.8600001</v>
      </c>
      <c r="J4458" s="5">
        <v>77357000</v>
      </c>
      <c r="K4458" s="5">
        <v>3464000</v>
      </c>
      <c r="L4458" s="5">
        <v>3362290000</v>
      </c>
      <c r="M4458" s="5">
        <v>112417000</v>
      </c>
      <c r="N4458" s="5">
        <v>30263000</v>
      </c>
    </row>
    <row r="4459" spans="1:14" x14ac:dyDescent="0.25">
      <c r="A4459" s="3" t="s">
        <v>4470</v>
      </c>
      <c r="B4459" s="4">
        <v>10.08</v>
      </c>
      <c r="C4459" s="4">
        <v>-4.93</v>
      </c>
      <c r="D4459" s="4">
        <v>0.14000000000000001</v>
      </c>
      <c r="E4459" s="4">
        <v>-3.0875183699863942E-2</v>
      </c>
      <c r="F4459" s="3">
        <v>4457</v>
      </c>
      <c r="G4459" s="3">
        <v>4</v>
      </c>
      <c r="H4459" s="5">
        <v>25015839556.639999</v>
      </c>
      <c r="I4459" s="5">
        <v>39930839556.639999</v>
      </c>
      <c r="J4459" s="5">
        <v>15185000000</v>
      </c>
      <c r="K4459" s="5">
        <v>270000000</v>
      </c>
      <c r="L4459" s="5">
        <v>8704000000</v>
      </c>
      <c r="M4459" s="5">
        <v>3960000000</v>
      </c>
      <c r="N4459" s="5">
        <v>2510000000</v>
      </c>
    </row>
    <row r="4460" spans="1:14" x14ac:dyDescent="0.25">
      <c r="A4460" s="3" t="s">
        <v>4471</v>
      </c>
      <c r="B4460" s="4">
        <v>34.58</v>
      </c>
      <c r="C4460" s="4">
        <v>0.32</v>
      </c>
      <c r="D4460" s="4">
        <v>0.08</v>
      </c>
      <c r="E4460" s="4">
        <v>-3.088116813457829E-2</v>
      </c>
      <c r="F4460" s="3">
        <v>4458</v>
      </c>
      <c r="G4460" s="3">
        <v>4</v>
      </c>
      <c r="H4460" s="5">
        <v>1834037380.45</v>
      </c>
      <c r="I4460" s="5">
        <v>1691976380.45</v>
      </c>
      <c r="J4460" s="5">
        <v>3000</v>
      </c>
      <c r="K4460" s="5">
        <v>142064000</v>
      </c>
      <c r="L4460" s="5">
        <v>681881000</v>
      </c>
      <c r="M4460" s="5">
        <v>48936000</v>
      </c>
      <c r="N4460" s="5">
        <v>29963000</v>
      </c>
    </row>
    <row r="4461" spans="1:14" x14ac:dyDescent="0.25">
      <c r="A4461" s="3" t="s">
        <v>4472</v>
      </c>
      <c r="B4461" s="4">
        <v>33.18</v>
      </c>
      <c r="C4461" s="4">
        <v>0.01</v>
      </c>
      <c r="D4461" s="4">
        <v>0.01</v>
      </c>
      <c r="E4461" s="4">
        <v>-3.0923884340478189E-2</v>
      </c>
      <c r="F4461" s="3">
        <v>4459</v>
      </c>
      <c r="G4461" s="3">
        <v>4</v>
      </c>
      <c r="H4461" s="5">
        <v>766450244.90999997</v>
      </c>
      <c r="I4461" s="5">
        <v>862153244.90999997</v>
      </c>
      <c r="J4461" s="5">
        <v>102401000</v>
      </c>
      <c r="K4461" s="5">
        <v>6698000</v>
      </c>
      <c r="L4461" s="5">
        <v>426564000</v>
      </c>
      <c r="M4461" s="5">
        <v>25986000</v>
      </c>
      <c r="N4461" s="5">
        <v>3034000</v>
      </c>
    </row>
    <row r="4462" spans="1:14" x14ac:dyDescent="0.25">
      <c r="A4462" s="3" t="s">
        <v>4473</v>
      </c>
      <c r="B4462" s="4">
        <v>-0.98</v>
      </c>
      <c r="C4462" s="4">
        <v>-7.26</v>
      </c>
      <c r="D4462" s="4">
        <v>-0.84</v>
      </c>
      <c r="E4462" s="4">
        <v>-3.0951177237860571E-2</v>
      </c>
      <c r="F4462" s="3">
        <v>4460</v>
      </c>
      <c r="G4462" s="3">
        <v>4</v>
      </c>
      <c r="H4462" s="5">
        <v>12383433.2105</v>
      </c>
      <c r="I4462" s="5">
        <v>31302433.210499998</v>
      </c>
      <c r="J4462" s="5">
        <v>19597000</v>
      </c>
      <c r="K4462" s="5">
        <v>678000</v>
      </c>
      <c r="L4462" s="5">
        <v>6770000</v>
      </c>
      <c r="M4462" s="5">
        <v>-31829000</v>
      </c>
      <c r="N4462" s="5">
        <v>-53364000</v>
      </c>
    </row>
    <row r="4463" spans="1:14" x14ac:dyDescent="0.25">
      <c r="A4463" s="3" t="s">
        <v>4474</v>
      </c>
      <c r="B4463" s="4">
        <v>33.200000000000003</v>
      </c>
      <c r="C4463" s="4">
        <v>0</v>
      </c>
      <c r="D4463" s="4">
        <v>0</v>
      </c>
      <c r="E4463" s="4">
        <v>-3.0967085385464301E-2</v>
      </c>
      <c r="F4463" s="3">
        <v>4461</v>
      </c>
      <c r="G4463" s="3">
        <v>4</v>
      </c>
      <c r="H4463" s="5">
        <v>37128849607.239998</v>
      </c>
      <c r="I4463" s="5">
        <v>39605470607.239998</v>
      </c>
      <c r="J4463" s="5">
        <v>3002177000</v>
      </c>
      <c r="K4463" s="5">
        <v>525556000</v>
      </c>
      <c r="L4463" s="5">
        <v>2804341000</v>
      </c>
      <c r="M4463" s="5">
        <v>1192970000</v>
      </c>
      <c r="N4463" s="5">
        <v>9408000</v>
      </c>
    </row>
    <row r="4464" spans="1:14" x14ac:dyDescent="0.25">
      <c r="A4464" s="3" t="s">
        <v>4475</v>
      </c>
      <c r="B4464" s="4">
        <v>33.869999999999997</v>
      </c>
      <c r="C4464" s="4">
        <v>0.13</v>
      </c>
      <c r="D4464" s="4">
        <v>0.08</v>
      </c>
      <c r="E4464" s="4">
        <v>-3.099071306336049E-2</v>
      </c>
      <c r="F4464" s="3">
        <v>4462</v>
      </c>
      <c r="G4464" s="3">
        <v>4</v>
      </c>
      <c r="H4464" s="5">
        <v>1952939022.9400001</v>
      </c>
      <c r="I4464" s="5">
        <v>2095101022.9400001</v>
      </c>
      <c r="J4464" s="5">
        <v>167772000</v>
      </c>
      <c r="K4464" s="5">
        <v>25610000</v>
      </c>
      <c r="L4464" s="5">
        <v>219863000</v>
      </c>
      <c r="M4464" s="5">
        <v>61864000</v>
      </c>
      <c r="N4464" s="5">
        <v>44038000</v>
      </c>
    </row>
    <row r="4465" spans="1:14" x14ac:dyDescent="0.25">
      <c r="A4465" s="3" t="s">
        <v>4476</v>
      </c>
      <c r="B4465" s="4">
        <v>36.56</v>
      </c>
      <c r="C4465" s="4">
        <v>0.66</v>
      </c>
      <c r="D4465" s="4">
        <v>0.6</v>
      </c>
      <c r="E4465" s="4">
        <v>-3.1023938842077738E-2</v>
      </c>
      <c r="F4465" s="3">
        <v>4463</v>
      </c>
      <c r="G4465" s="3">
        <v>4</v>
      </c>
      <c r="H4465" s="5">
        <v>913974115.5</v>
      </c>
      <c r="I4465" s="5">
        <v>912783645.5</v>
      </c>
      <c r="J4465" s="5">
        <v>0</v>
      </c>
      <c r="K4465" s="5">
        <v>1190470</v>
      </c>
      <c r="L4465" s="5">
        <v>37393800</v>
      </c>
      <c r="M4465" s="5">
        <v>24963880</v>
      </c>
      <c r="N4465" s="5">
        <v>18675550</v>
      </c>
    </row>
    <row r="4466" spans="1:14" x14ac:dyDescent="0.25">
      <c r="A4466" s="3" t="s">
        <v>4477</v>
      </c>
      <c r="B4466" s="4">
        <v>33.89</v>
      </c>
      <c r="C4466" s="4">
        <v>0.12</v>
      </c>
      <c r="D4466" s="4">
        <v>0.04</v>
      </c>
      <c r="E4466" s="4">
        <v>-3.1039701188079121E-2</v>
      </c>
      <c r="F4466" s="3">
        <v>4464</v>
      </c>
      <c r="G4466" s="3">
        <v>4</v>
      </c>
      <c r="H4466" s="5">
        <v>6441948903.8000002</v>
      </c>
      <c r="I4466" s="5">
        <v>6880786903.8000002</v>
      </c>
      <c r="J4466" s="5">
        <v>513524000</v>
      </c>
      <c r="K4466" s="5">
        <v>74686000</v>
      </c>
      <c r="L4466" s="5">
        <v>1823889000</v>
      </c>
      <c r="M4466" s="5">
        <v>203057000</v>
      </c>
      <c r="N4466" s="5">
        <v>68935000</v>
      </c>
    </row>
    <row r="4467" spans="1:14" x14ac:dyDescent="0.25">
      <c r="A4467" s="3" t="s">
        <v>4478</v>
      </c>
      <c r="B4467" s="4">
        <v>32.590000000000003</v>
      </c>
      <c r="C4467" s="4">
        <v>-0.15</v>
      </c>
      <c r="D4467" s="4">
        <v>-0.09</v>
      </c>
      <c r="E4467" s="4">
        <v>-3.1040309182357E-2</v>
      </c>
      <c r="F4467" s="3">
        <v>4465</v>
      </c>
      <c r="G4467" s="3">
        <v>4</v>
      </c>
      <c r="H4467" s="5">
        <v>117474745.08</v>
      </c>
      <c r="I4467" s="5">
        <v>103084745.08</v>
      </c>
      <c r="J4467" s="5">
        <v>1718000</v>
      </c>
      <c r="K4467" s="5">
        <v>16108000</v>
      </c>
      <c r="L4467" s="5">
        <v>177872000</v>
      </c>
      <c r="M4467" s="5">
        <v>3163000</v>
      </c>
      <c r="N4467" s="5">
        <v>-13598000</v>
      </c>
    </row>
    <row r="4468" spans="1:14" x14ac:dyDescent="0.25">
      <c r="A4468" s="3" t="s">
        <v>4479</v>
      </c>
      <c r="B4468" s="4">
        <v>33.86</v>
      </c>
      <c r="C4468" s="4">
        <v>0.11</v>
      </c>
      <c r="D4468" s="4">
        <v>0.09</v>
      </c>
      <c r="E4468" s="4">
        <v>-3.104038204511482E-2</v>
      </c>
      <c r="F4468" s="3">
        <v>4466</v>
      </c>
      <c r="G4468" s="3">
        <v>4</v>
      </c>
      <c r="H4468" s="5">
        <v>918204142.36000001</v>
      </c>
      <c r="I4468" s="5">
        <v>888577142.36000001</v>
      </c>
      <c r="J4468" s="5">
        <v>0</v>
      </c>
      <c r="K4468" s="5">
        <v>29627000</v>
      </c>
      <c r="L4468" s="5">
        <v>144948000</v>
      </c>
      <c r="M4468" s="5">
        <v>26246000</v>
      </c>
      <c r="N4468" s="5">
        <v>23050000</v>
      </c>
    </row>
    <row r="4469" spans="1:14" x14ac:dyDescent="0.25">
      <c r="A4469" s="3" t="s">
        <v>4480</v>
      </c>
      <c r="B4469" s="4">
        <v>30.17</v>
      </c>
      <c r="C4469" s="4">
        <v>-0.68</v>
      </c>
      <c r="D4469" s="4">
        <v>0.03</v>
      </c>
      <c r="E4469" s="4">
        <v>-3.105073425650046E-2</v>
      </c>
      <c r="F4469" s="3">
        <v>4467</v>
      </c>
      <c r="G4469" s="3">
        <v>4</v>
      </c>
      <c r="H4469" s="5">
        <v>2266525924.5</v>
      </c>
      <c r="I4469" s="5">
        <v>2609110924.5</v>
      </c>
      <c r="J4469" s="5">
        <v>432039000</v>
      </c>
      <c r="K4469" s="5">
        <v>89454000</v>
      </c>
      <c r="L4469" s="5">
        <v>514012000</v>
      </c>
      <c r="M4469" s="5">
        <v>86475000</v>
      </c>
      <c r="N4469" s="5">
        <v>18695000</v>
      </c>
    </row>
    <row r="4470" spans="1:14" x14ac:dyDescent="0.25">
      <c r="A4470" s="3" t="s">
        <v>4481</v>
      </c>
      <c r="B4470" s="4">
        <v>34.61</v>
      </c>
      <c r="C4470" s="4">
        <v>0.25</v>
      </c>
      <c r="D4470" s="4">
        <v>0.11</v>
      </c>
      <c r="E4470" s="4">
        <v>-3.10962039210382E-2</v>
      </c>
      <c r="F4470" s="3">
        <v>4468</v>
      </c>
      <c r="G4470" s="3">
        <v>4</v>
      </c>
      <c r="H4470" s="5">
        <v>86097269810.199997</v>
      </c>
      <c r="I4470" s="5">
        <v>81787447810.199997</v>
      </c>
      <c r="J4470" s="5">
        <v>4234081000</v>
      </c>
      <c r="K4470" s="5">
        <v>8543903000</v>
      </c>
      <c r="L4470" s="5">
        <v>6564028000</v>
      </c>
      <c r="M4470" s="5">
        <v>2362935000</v>
      </c>
      <c r="N4470" s="5">
        <v>2579066000</v>
      </c>
    </row>
    <row r="4471" spans="1:14" x14ac:dyDescent="0.25">
      <c r="A4471" s="3" t="s">
        <v>4482</v>
      </c>
      <c r="B4471" s="4">
        <v>33.479999999999997</v>
      </c>
      <c r="C4471" s="4">
        <v>0.01</v>
      </c>
      <c r="D4471" s="4">
        <v>0</v>
      </c>
      <c r="E4471" s="4">
        <v>-3.111148953796801E-2</v>
      </c>
      <c r="F4471" s="3">
        <v>4469</v>
      </c>
      <c r="G4471" s="3">
        <v>4</v>
      </c>
      <c r="H4471" s="5">
        <v>10968796364.02</v>
      </c>
      <c r="I4471" s="5">
        <v>11605496364.02</v>
      </c>
      <c r="J4471" s="5">
        <v>1216400000</v>
      </c>
      <c r="K4471" s="5">
        <v>579700000</v>
      </c>
      <c r="L4471" s="5">
        <v>1760000000</v>
      </c>
      <c r="M4471" s="5">
        <v>346600000</v>
      </c>
      <c r="N4471" s="5">
        <v>18100000</v>
      </c>
    </row>
    <row r="4472" spans="1:14" x14ac:dyDescent="0.25">
      <c r="A4472" s="3" t="s">
        <v>4483</v>
      </c>
      <c r="B4472" s="4">
        <v>33.47</v>
      </c>
      <c r="C4472" s="4">
        <v>0</v>
      </c>
      <c r="D4472" s="4">
        <v>0</v>
      </c>
      <c r="E4472" s="4">
        <v>-3.113419393928538E-2</v>
      </c>
      <c r="F4472" s="3">
        <v>4470</v>
      </c>
      <c r="G4472" s="3">
        <v>4</v>
      </c>
      <c r="H4472" s="5">
        <v>32812523753.599998</v>
      </c>
      <c r="I4472" s="5">
        <v>37671223753.599998</v>
      </c>
      <c r="J4472" s="5">
        <v>5630400000</v>
      </c>
      <c r="K4472" s="5">
        <v>771700000</v>
      </c>
      <c r="L4472" s="5">
        <v>4401600000</v>
      </c>
      <c r="M4472" s="5">
        <v>1125600000</v>
      </c>
      <c r="N4472" s="5">
        <v>-500000</v>
      </c>
    </row>
    <row r="4473" spans="1:14" x14ac:dyDescent="0.25">
      <c r="A4473" s="3" t="s">
        <v>4484</v>
      </c>
      <c r="B4473" s="4">
        <v>33.89</v>
      </c>
      <c r="C4473" s="4">
        <v>7.0000000000000007E-2</v>
      </c>
      <c r="D4473" s="4">
        <v>-0.01</v>
      </c>
      <c r="E4473" s="4">
        <v>-3.1193814356038942E-2</v>
      </c>
      <c r="F4473" s="3">
        <v>4471</v>
      </c>
      <c r="G4473" s="3">
        <v>4</v>
      </c>
      <c r="H4473" s="5">
        <v>169.57056399999999</v>
      </c>
      <c r="I4473" s="5">
        <v>1366543169.570564</v>
      </c>
      <c r="J4473" s="5">
        <v>1578614000</v>
      </c>
      <c r="K4473" s="5">
        <v>212071000</v>
      </c>
      <c r="L4473" s="5">
        <v>3906223000</v>
      </c>
      <c r="M4473" s="5">
        <v>40328000</v>
      </c>
      <c r="N4473" s="5">
        <v>-58963000</v>
      </c>
    </row>
    <row r="4474" spans="1:14" x14ac:dyDescent="0.25">
      <c r="A4474" s="3" t="s">
        <v>4485</v>
      </c>
      <c r="B4474" s="4">
        <v>3.9</v>
      </c>
      <c r="C4474" s="4">
        <v>-6.38</v>
      </c>
      <c r="D4474" s="4">
        <v>-0.11</v>
      </c>
      <c r="E4474" s="4">
        <v>-3.1288053260604139E-2</v>
      </c>
      <c r="F4474" s="3">
        <v>4472</v>
      </c>
      <c r="G4474" s="3">
        <v>4</v>
      </c>
      <c r="H4474" s="5">
        <v>1812703.3092</v>
      </c>
      <c r="I4474" s="5">
        <v>451090703.30919999</v>
      </c>
      <c r="J4474" s="5">
        <v>489388000</v>
      </c>
      <c r="K4474" s="5">
        <v>40110000</v>
      </c>
      <c r="L4474" s="5">
        <v>1267344000</v>
      </c>
      <c r="M4474" s="5">
        <v>115699000</v>
      </c>
      <c r="N4474" s="5">
        <v>-78197000</v>
      </c>
    </row>
    <row r="4475" spans="1:14" x14ac:dyDescent="0.25">
      <c r="A4475" s="3" t="s">
        <v>4486</v>
      </c>
      <c r="B4475" s="4">
        <v>34.35</v>
      </c>
      <c r="C4475" s="4">
        <v>0.12</v>
      </c>
      <c r="D4475" s="4">
        <v>0.05</v>
      </c>
      <c r="E4475" s="4">
        <v>-3.1322475623567193E-2</v>
      </c>
      <c r="F4475" s="3">
        <v>4473</v>
      </c>
      <c r="G4475" s="3">
        <v>4</v>
      </c>
      <c r="H4475" s="5">
        <v>67616598960.150002</v>
      </c>
      <c r="I4475" s="5">
        <v>71037074960.149994</v>
      </c>
      <c r="J4475" s="5">
        <v>4162436000</v>
      </c>
      <c r="K4475" s="5">
        <v>741960000</v>
      </c>
      <c r="L4475" s="5">
        <v>23672795000</v>
      </c>
      <c r="M4475" s="5">
        <v>2068300000</v>
      </c>
      <c r="N4475" s="5">
        <v>904824000</v>
      </c>
    </row>
    <row r="4476" spans="1:14" x14ac:dyDescent="0.25">
      <c r="A4476" s="3" t="s">
        <v>4487</v>
      </c>
      <c r="B4476" s="4">
        <v>-0.83</v>
      </c>
      <c r="C4476" s="4">
        <v>-7.21</v>
      </c>
      <c r="D4476" s="4">
        <v>-3.29</v>
      </c>
      <c r="E4476" s="4">
        <v>-3.1372158799733388E-2</v>
      </c>
      <c r="F4476" s="3">
        <v>4474</v>
      </c>
      <c r="G4476" s="3">
        <v>4</v>
      </c>
      <c r="H4476" s="5">
        <v>4847782.5</v>
      </c>
      <c r="I4476" s="5">
        <v>4394122.5</v>
      </c>
      <c r="J4476" s="5">
        <v>0</v>
      </c>
      <c r="K4476" s="5">
        <v>453660</v>
      </c>
      <c r="L4476" s="5">
        <v>45720</v>
      </c>
      <c r="M4476" s="5">
        <v>-5319910</v>
      </c>
      <c r="N4476" s="5">
        <v>-6992930</v>
      </c>
    </row>
    <row r="4477" spans="1:14" x14ac:dyDescent="0.25">
      <c r="A4477" s="3" t="s">
        <v>4488</v>
      </c>
      <c r="B4477" s="4">
        <v>33.659999999999997</v>
      </c>
      <c r="C4477" s="4">
        <v>-0.04</v>
      </c>
      <c r="D4477" s="4">
        <v>-0.03</v>
      </c>
      <c r="E4477" s="4">
        <v>-3.1373150355320213E-2</v>
      </c>
      <c r="F4477" s="3">
        <v>4475</v>
      </c>
      <c r="G4477" s="3">
        <v>4</v>
      </c>
      <c r="H4477" s="5">
        <v>26210575154.849998</v>
      </c>
      <c r="I4477" s="5">
        <v>31573575154.849998</v>
      </c>
      <c r="J4477" s="5">
        <v>5680000000</v>
      </c>
      <c r="K4477" s="5">
        <v>317000000</v>
      </c>
      <c r="L4477" s="5">
        <v>4196000000</v>
      </c>
      <c r="M4477" s="5">
        <v>938000000</v>
      </c>
      <c r="N4477" s="5">
        <v>-714000000</v>
      </c>
    </row>
    <row r="4478" spans="1:14" x14ac:dyDescent="0.25">
      <c r="A4478" s="3" t="s">
        <v>4489</v>
      </c>
      <c r="B4478" s="4">
        <v>34.81</v>
      </c>
      <c r="C4478" s="4">
        <v>0.17</v>
      </c>
      <c r="D4478" s="4">
        <v>0.08</v>
      </c>
      <c r="E4478" s="4">
        <v>-3.1456923970827937E-2</v>
      </c>
      <c r="F4478" s="3">
        <v>4476</v>
      </c>
      <c r="G4478" s="3">
        <v>4</v>
      </c>
      <c r="H4478" s="5">
        <v>22046215138.080002</v>
      </c>
      <c r="I4478" s="5">
        <v>22716864138.080002</v>
      </c>
      <c r="J4478" s="5">
        <v>1055691000</v>
      </c>
      <c r="K4478" s="5">
        <v>385042000</v>
      </c>
      <c r="L4478" s="5">
        <v>3121189000</v>
      </c>
      <c r="M4478" s="5">
        <v>652517000</v>
      </c>
      <c r="N4478" s="5">
        <v>404978000</v>
      </c>
    </row>
    <row r="4479" spans="1:14" x14ac:dyDescent="0.25">
      <c r="A4479" s="3" t="s">
        <v>4490</v>
      </c>
      <c r="B4479" s="4">
        <v>34.74</v>
      </c>
      <c r="C4479" s="4">
        <v>0.15</v>
      </c>
      <c r="D4479" s="4">
        <v>0.01</v>
      </c>
      <c r="E4479" s="4">
        <v>-3.1484889931019847E-2</v>
      </c>
      <c r="F4479" s="3">
        <v>4477</v>
      </c>
      <c r="G4479" s="3">
        <v>4</v>
      </c>
      <c r="H4479" s="5">
        <v>4436341870.29</v>
      </c>
      <c r="I4479" s="5">
        <v>14246441870.290001</v>
      </c>
      <c r="J4479" s="5">
        <v>11079100000</v>
      </c>
      <c r="K4479" s="5">
        <v>1269000000</v>
      </c>
      <c r="L4479" s="5">
        <v>99887800000</v>
      </c>
      <c r="M4479" s="5">
        <v>410100000</v>
      </c>
      <c r="N4479" s="5">
        <v>260800000</v>
      </c>
    </row>
    <row r="4480" spans="1:14" x14ac:dyDescent="0.25">
      <c r="A4480" s="3" t="s">
        <v>4491</v>
      </c>
      <c r="B4480" s="4">
        <v>-0.14000000000000001</v>
      </c>
      <c r="C4480" s="4">
        <v>-7.22</v>
      </c>
      <c r="D4480" s="4">
        <v>-1.75</v>
      </c>
      <c r="E4480" s="4">
        <v>-3.1531037506910282E-2</v>
      </c>
      <c r="F4480" s="3">
        <v>4478</v>
      </c>
      <c r="G4480" s="3">
        <v>4</v>
      </c>
      <c r="H4480" s="5">
        <v>190238.24</v>
      </c>
      <c r="I4480" s="5">
        <v>2359858.2400000002</v>
      </c>
      <c r="J4480" s="5">
        <v>2195710</v>
      </c>
      <c r="K4480" s="5">
        <v>26090</v>
      </c>
      <c r="L4480" s="5">
        <v>1007710</v>
      </c>
      <c r="M4480" s="5">
        <v>-16715490</v>
      </c>
      <c r="N4480" s="5">
        <v>-22543940</v>
      </c>
    </row>
    <row r="4481" spans="1:14" x14ac:dyDescent="0.25">
      <c r="A4481" s="3" t="s">
        <v>4492</v>
      </c>
      <c r="B4481" s="4">
        <v>33.159999999999997</v>
      </c>
      <c r="C4481" s="4">
        <v>-0.2</v>
      </c>
      <c r="D4481" s="4">
        <v>-0.1</v>
      </c>
      <c r="E4481" s="4">
        <v>-3.1539490968740203E-2</v>
      </c>
      <c r="F4481" s="3">
        <v>4479</v>
      </c>
      <c r="G4481" s="3">
        <v>4</v>
      </c>
      <c r="H4481" s="5">
        <v>26215516.262600001</v>
      </c>
      <c r="I4481" s="5">
        <v>59063516.262599997</v>
      </c>
      <c r="J4481" s="5">
        <v>36956000</v>
      </c>
      <c r="K4481" s="5">
        <v>4108000</v>
      </c>
      <c r="L4481" s="5">
        <v>94135000</v>
      </c>
      <c r="M4481" s="5">
        <v>1781000</v>
      </c>
      <c r="N4481" s="5">
        <v>-12405000</v>
      </c>
    </row>
    <row r="4482" spans="1:14" x14ac:dyDescent="0.25">
      <c r="A4482" s="3" t="s">
        <v>4493</v>
      </c>
      <c r="B4482" s="4">
        <v>34.229999999999997</v>
      </c>
      <c r="C4482" s="4">
        <v>0</v>
      </c>
      <c r="D4482" s="4">
        <v>0</v>
      </c>
      <c r="E4482" s="4">
        <v>-3.1604573572263268E-2</v>
      </c>
      <c r="F4482" s="3">
        <v>4480</v>
      </c>
      <c r="G4482" s="3">
        <v>4</v>
      </c>
      <c r="H4482" s="5">
        <v>25106396675.540001</v>
      </c>
      <c r="I4482" s="5">
        <v>25467396675.540001</v>
      </c>
      <c r="J4482" s="5">
        <v>2992000000</v>
      </c>
      <c r="K4482" s="5">
        <v>2631000000</v>
      </c>
      <c r="L4482" s="5">
        <v>3653000000</v>
      </c>
      <c r="M4482" s="5">
        <v>744000000</v>
      </c>
      <c r="N4482" s="5">
        <v>-30000000</v>
      </c>
    </row>
    <row r="4483" spans="1:14" x14ac:dyDescent="0.25">
      <c r="A4483" s="3" t="s">
        <v>4494</v>
      </c>
      <c r="B4483" s="4">
        <v>35.78</v>
      </c>
      <c r="C4483" s="4">
        <v>0.33</v>
      </c>
      <c r="D4483" s="4">
        <v>-0.1</v>
      </c>
      <c r="E4483" s="4">
        <v>-3.1629701689608228E-2</v>
      </c>
      <c r="F4483" s="3">
        <v>4481</v>
      </c>
      <c r="G4483" s="3">
        <v>4</v>
      </c>
      <c r="H4483" s="5">
        <v>55802658.240000002</v>
      </c>
      <c r="I4483" s="5">
        <v>81577658.24000001</v>
      </c>
      <c r="J4483" s="5">
        <v>34446000</v>
      </c>
      <c r="K4483" s="5">
        <v>8671000</v>
      </c>
      <c r="L4483" s="5">
        <v>85564000</v>
      </c>
      <c r="M4483" s="5">
        <v>2280000</v>
      </c>
      <c r="N4483" s="5">
        <v>-7190000</v>
      </c>
    </row>
    <row r="4484" spans="1:14" x14ac:dyDescent="0.25">
      <c r="A4484" s="3" t="s">
        <v>4495</v>
      </c>
      <c r="B4484" s="4">
        <v>34.58</v>
      </c>
      <c r="C4484" s="4">
        <v>0.06</v>
      </c>
      <c r="D4484" s="4">
        <v>0.02</v>
      </c>
      <c r="E4484" s="4">
        <v>-3.1643976076419229E-2</v>
      </c>
      <c r="F4484" s="3">
        <v>4482</v>
      </c>
      <c r="G4484" s="3">
        <v>4</v>
      </c>
      <c r="H4484" s="5">
        <v>852469565.39999998</v>
      </c>
      <c r="I4484" s="5">
        <v>4980973565.3999996</v>
      </c>
      <c r="J4484" s="5">
        <v>4312947000</v>
      </c>
      <c r="K4484" s="5">
        <v>184443000</v>
      </c>
      <c r="L4484" s="5">
        <v>562331000</v>
      </c>
      <c r="M4484" s="5">
        <v>144042000</v>
      </c>
      <c r="N4484" s="5">
        <v>95878000</v>
      </c>
    </row>
    <row r="4485" spans="1:14" x14ac:dyDescent="0.25">
      <c r="A4485" s="3" t="s">
        <v>4496</v>
      </c>
      <c r="B4485" s="4">
        <v>-0.08</v>
      </c>
      <c r="C4485" s="4">
        <v>-7.02</v>
      </c>
      <c r="D4485" s="4">
        <v>-5.57</v>
      </c>
      <c r="E4485" s="4">
        <v>-3.172718875341083E-2</v>
      </c>
      <c r="F4485" s="3">
        <v>4483</v>
      </c>
      <c r="G4485" s="3">
        <v>4</v>
      </c>
      <c r="H4485" s="5">
        <v>5377503.1962000001</v>
      </c>
      <c r="I4485" s="5">
        <v>4434063.1962000001</v>
      </c>
      <c r="J4485" s="5">
        <v>0</v>
      </c>
      <c r="K4485" s="5">
        <v>943440</v>
      </c>
      <c r="L4485" s="5">
        <v>1400140</v>
      </c>
      <c r="M4485" s="5">
        <v>-55667380</v>
      </c>
      <c r="N4485" s="5">
        <v>-59132920</v>
      </c>
    </row>
    <row r="4486" spans="1:14" x14ac:dyDescent="0.25">
      <c r="A4486" s="3" t="s">
        <v>4497</v>
      </c>
      <c r="B4486" s="4">
        <v>-1.1000000000000001</v>
      </c>
      <c r="C4486" s="4">
        <v>-7.6</v>
      </c>
      <c r="D4486" s="4">
        <v>-0.39</v>
      </c>
      <c r="E4486" s="4">
        <v>-3.1772483211999443E-2</v>
      </c>
      <c r="F4486" s="3">
        <v>4484</v>
      </c>
      <c r="G4486" s="3">
        <v>4</v>
      </c>
      <c r="H4486" s="5">
        <v>21743.703300000001</v>
      </c>
      <c r="I4486" s="5">
        <v>4104423.7033000002</v>
      </c>
      <c r="J4486" s="5">
        <v>4919180</v>
      </c>
      <c r="K4486" s="5">
        <v>836500</v>
      </c>
      <c r="L4486" s="5">
        <v>54892680</v>
      </c>
      <c r="M4486" s="5">
        <v>-3742070</v>
      </c>
      <c r="N4486" s="5">
        <v>-4212050</v>
      </c>
    </row>
    <row r="4487" spans="1:14" x14ac:dyDescent="0.25">
      <c r="A4487" s="3" t="s">
        <v>4498</v>
      </c>
      <c r="B4487" s="4">
        <v>33.68</v>
      </c>
      <c r="C4487" s="4">
        <v>-0.19</v>
      </c>
      <c r="D4487" s="4">
        <v>-0.1</v>
      </c>
      <c r="E4487" s="4">
        <v>-3.1832436057973777E-2</v>
      </c>
      <c r="F4487" s="3">
        <v>4485</v>
      </c>
      <c r="G4487" s="3">
        <v>4</v>
      </c>
      <c r="H4487" s="5">
        <v>182919080000</v>
      </c>
      <c r="I4487" s="5">
        <v>224681080000</v>
      </c>
      <c r="J4487" s="5">
        <v>50011000000</v>
      </c>
      <c r="K4487" s="5">
        <v>8249000000</v>
      </c>
      <c r="L4487" s="5">
        <v>53101000000</v>
      </c>
      <c r="M4487" s="5">
        <v>6671000000</v>
      </c>
      <c r="N4487" s="5">
        <v>-18756000000</v>
      </c>
    </row>
    <row r="4488" spans="1:14" x14ac:dyDescent="0.25">
      <c r="A4488" s="3" t="s">
        <v>4499</v>
      </c>
      <c r="B4488" s="4">
        <v>35.49</v>
      </c>
      <c r="C4488" s="4">
        <v>0.18</v>
      </c>
      <c r="D4488" s="4">
        <v>0.01</v>
      </c>
      <c r="E4488" s="4">
        <v>-3.1862399537257287E-2</v>
      </c>
      <c r="F4488" s="3">
        <v>4486</v>
      </c>
      <c r="G4488" s="3">
        <v>4</v>
      </c>
      <c r="H4488" s="5">
        <v>121741136475.03999</v>
      </c>
      <c r="I4488" s="5">
        <v>134370136475.03999</v>
      </c>
      <c r="J4488" s="5">
        <v>16262000000</v>
      </c>
      <c r="K4488" s="5">
        <v>3633000000</v>
      </c>
      <c r="L4488" s="5">
        <v>9376000000</v>
      </c>
      <c r="M4488" s="5">
        <v>3786000000</v>
      </c>
      <c r="N4488" s="5">
        <v>755000000</v>
      </c>
    </row>
    <row r="4489" spans="1:14" x14ac:dyDescent="0.25">
      <c r="A4489" s="3" t="s">
        <v>4500</v>
      </c>
      <c r="B4489" s="4">
        <v>33.5</v>
      </c>
      <c r="C4489" s="4">
        <v>-0.26</v>
      </c>
      <c r="D4489" s="4">
        <v>-0.15</v>
      </c>
      <c r="E4489" s="4">
        <v>-3.193293073741512E-2</v>
      </c>
      <c r="F4489" s="3">
        <v>4487</v>
      </c>
      <c r="G4489" s="3">
        <v>4</v>
      </c>
      <c r="H4489" s="5">
        <v>89780296.120000005</v>
      </c>
      <c r="I4489" s="5">
        <v>147215296.12</v>
      </c>
      <c r="J4489" s="5">
        <v>92904000</v>
      </c>
      <c r="K4489" s="5">
        <v>35469000</v>
      </c>
      <c r="L4489" s="5">
        <v>965258000</v>
      </c>
      <c r="M4489" s="5">
        <v>4394000</v>
      </c>
      <c r="N4489" s="5">
        <v>-58984000</v>
      </c>
    </row>
    <row r="4490" spans="1:14" x14ac:dyDescent="0.25">
      <c r="A4490" s="3" t="s">
        <v>4501</v>
      </c>
      <c r="B4490" s="4">
        <v>36.880000000000003</v>
      </c>
      <c r="C4490" s="4">
        <v>0.44</v>
      </c>
      <c r="D4490" s="4">
        <v>0.08</v>
      </c>
      <c r="E4490" s="4">
        <v>-3.19579621607326E-2</v>
      </c>
      <c r="F4490" s="3">
        <v>4488</v>
      </c>
      <c r="G4490" s="3">
        <v>4</v>
      </c>
      <c r="H4490" s="5">
        <v>116698829302.16</v>
      </c>
      <c r="I4490" s="5">
        <v>119778829302.16</v>
      </c>
      <c r="J4490" s="5">
        <v>5715000000</v>
      </c>
      <c r="K4490" s="5">
        <v>2635000000</v>
      </c>
      <c r="L4490" s="5">
        <v>20777000000</v>
      </c>
      <c r="M4490" s="5">
        <v>3248000000</v>
      </c>
      <c r="N4490" s="5">
        <v>1911000000</v>
      </c>
    </row>
    <row r="4491" spans="1:14" x14ac:dyDescent="0.25">
      <c r="A4491" s="3" t="s">
        <v>4502</v>
      </c>
      <c r="B4491" s="4">
        <v>35.04</v>
      </c>
      <c r="C4491" s="4">
        <v>0.05</v>
      </c>
      <c r="D4491" s="4">
        <v>0.01</v>
      </c>
      <c r="E4491" s="4">
        <v>-3.1959502172076749E-2</v>
      </c>
      <c r="F4491" s="3">
        <v>4489</v>
      </c>
      <c r="G4491" s="3">
        <v>4</v>
      </c>
      <c r="H4491" s="5">
        <v>4702953917.8599997</v>
      </c>
      <c r="I4491" s="5">
        <v>14004363917.860001</v>
      </c>
      <c r="J4491" s="5">
        <v>9495928000</v>
      </c>
      <c r="K4491" s="5">
        <v>194518000</v>
      </c>
      <c r="L4491" s="5">
        <v>2078519000</v>
      </c>
      <c r="M4491" s="5">
        <v>399686000</v>
      </c>
      <c r="N4491" s="5">
        <v>184045000</v>
      </c>
    </row>
    <row r="4492" spans="1:14" x14ac:dyDescent="0.25">
      <c r="A4492" s="3" t="s">
        <v>4503</v>
      </c>
      <c r="B4492" s="4">
        <v>37.07</v>
      </c>
      <c r="C4492" s="4">
        <v>0.4</v>
      </c>
      <c r="D4492" s="4">
        <v>0.36</v>
      </c>
      <c r="E4492" s="4">
        <v>-3.2137118752864742E-2</v>
      </c>
      <c r="F4492" s="3">
        <v>4490</v>
      </c>
      <c r="G4492" s="3">
        <v>4</v>
      </c>
      <c r="H4492" s="5">
        <v>21119226760.5</v>
      </c>
      <c r="I4492" s="5">
        <v>20749391760.5</v>
      </c>
      <c r="J4492" s="5">
        <v>0</v>
      </c>
      <c r="K4492" s="5">
        <v>369835000</v>
      </c>
      <c r="L4492" s="5">
        <v>705823000</v>
      </c>
      <c r="M4492" s="5">
        <v>559684000</v>
      </c>
      <c r="N4492" s="5">
        <v>453960000</v>
      </c>
    </row>
    <row r="4493" spans="1:14" x14ac:dyDescent="0.25">
      <c r="A4493" s="3" t="s">
        <v>4504</v>
      </c>
      <c r="B4493" s="4">
        <v>35.29</v>
      </c>
      <c r="C4493" s="4">
        <v>0.04</v>
      </c>
      <c r="D4493" s="4">
        <v>0.03</v>
      </c>
      <c r="E4493" s="4">
        <v>-3.2139267868363131E-2</v>
      </c>
      <c r="F4493" s="3">
        <v>4491</v>
      </c>
      <c r="G4493" s="3">
        <v>4</v>
      </c>
      <c r="H4493" s="5">
        <v>979863282.63</v>
      </c>
      <c r="I4493" s="5">
        <v>870589282.63</v>
      </c>
      <c r="J4493" s="5">
        <v>10435000</v>
      </c>
      <c r="K4493" s="5">
        <v>119709000</v>
      </c>
      <c r="L4493" s="5">
        <v>332069000</v>
      </c>
      <c r="M4493" s="5">
        <v>24667000</v>
      </c>
      <c r="N4493" s="5">
        <v>18245000</v>
      </c>
    </row>
    <row r="4494" spans="1:14" x14ac:dyDescent="0.25">
      <c r="A4494" s="3" t="s">
        <v>4505</v>
      </c>
      <c r="B4494" s="4">
        <v>35.24</v>
      </c>
      <c r="C4494" s="4">
        <v>0.02</v>
      </c>
      <c r="D4494" s="4">
        <v>0.01</v>
      </c>
      <c r="E4494" s="4">
        <v>-3.216996710706168E-2</v>
      </c>
      <c r="F4494" s="3">
        <v>4492</v>
      </c>
      <c r="G4494" s="3">
        <v>4</v>
      </c>
      <c r="H4494" s="5">
        <v>4115631233.4200001</v>
      </c>
      <c r="I4494" s="5">
        <v>4516774233.4200001</v>
      </c>
      <c r="J4494" s="5">
        <v>430173000</v>
      </c>
      <c r="K4494" s="5">
        <v>29030000</v>
      </c>
      <c r="L4494" s="5">
        <v>1080132000</v>
      </c>
      <c r="M4494" s="5">
        <v>128186000</v>
      </c>
      <c r="N4494" s="5">
        <v>15324000</v>
      </c>
    </row>
    <row r="4495" spans="1:14" x14ac:dyDescent="0.25">
      <c r="A4495" s="3" t="s">
        <v>4506</v>
      </c>
      <c r="B4495" s="4">
        <v>35.64</v>
      </c>
      <c r="C4495" s="4">
        <v>-0.04</v>
      </c>
      <c r="D4495" s="4">
        <v>2</v>
      </c>
      <c r="E4495" s="4">
        <v>-3.2207020688107851E-2</v>
      </c>
      <c r="F4495" s="3">
        <v>4493</v>
      </c>
      <c r="G4495" s="3">
        <v>4</v>
      </c>
      <c r="H4495" s="5">
        <v>4592022.54</v>
      </c>
      <c r="I4495" s="5">
        <v>5014322.54</v>
      </c>
      <c r="J4495" s="5">
        <v>435830</v>
      </c>
      <c r="K4495" s="5">
        <v>13530</v>
      </c>
      <c r="L4495" s="5">
        <v>0</v>
      </c>
      <c r="M4495" s="5">
        <v>140680</v>
      </c>
      <c r="N4495" s="5">
        <v>66010</v>
      </c>
    </row>
    <row r="4496" spans="1:14" x14ac:dyDescent="0.25">
      <c r="A4496" s="3" t="s">
        <v>4507</v>
      </c>
      <c r="B4496" s="4">
        <v>35.409999999999997</v>
      </c>
      <c r="C4496" s="4">
        <v>0.04</v>
      </c>
      <c r="D4496" s="4">
        <v>0.01</v>
      </c>
      <c r="E4496" s="4">
        <v>-3.221739638988308E-2</v>
      </c>
      <c r="F4496" s="3">
        <v>4494</v>
      </c>
      <c r="G4496" s="3">
        <v>4</v>
      </c>
      <c r="H4496" s="5">
        <v>68395225.829999998</v>
      </c>
      <c r="I4496" s="5">
        <v>455914225.82999998</v>
      </c>
      <c r="J4496" s="5">
        <v>416201000</v>
      </c>
      <c r="K4496" s="5">
        <v>28682000</v>
      </c>
      <c r="L4496" s="5">
        <v>25876000</v>
      </c>
      <c r="M4496" s="5">
        <v>12877000</v>
      </c>
      <c r="N4496" s="5">
        <v>3654000</v>
      </c>
    </row>
    <row r="4497" spans="1:14" x14ac:dyDescent="0.25">
      <c r="A4497" s="3" t="s">
        <v>4508</v>
      </c>
      <c r="B4497" s="4">
        <v>30.92</v>
      </c>
      <c r="C4497" s="4">
        <v>-0.92</v>
      </c>
      <c r="D4497" s="4">
        <v>-0.06</v>
      </c>
      <c r="E4497" s="4">
        <v>-3.2225732491325813E-2</v>
      </c>
      <c r="F4497" s="3">
        <v>4495</v>
      </c>
      <c r="G4497" s="3">
        <v>4</v>
      </c>
      <c r="H4497" s="5">
        <v>1883697754.7</v>
      </c>
      <c r="I4497" s="5">
        <v>3663480754.6999998</v>
      </c>
      <c r="J4497" s="5">
        <v>1978269000</v>
      </c>
      <c r="K4497" s="5">
        <v>198486000</v>
      </c>
      <c r="L4497" s="5">
        <v>1036104000</v>
      </c>
      <c r="M4497" s="5">
        <v>118487000</v>
      </c>
      <c r="N4497" s="5">
        <v>-204074000</v>
      </c>
    </row>
    <row r="4498" spans="1:14" x14ac:dyDescent="0.25">
      <c r="A4498" s="3" t="s">
        <v>4509</v>
      </c>
      <c r="B4498" s="4">
        <v>36.81</v>
      </c>
      <c r="C4498" s="4">
        <v>0.32</v>
      </c>
      <c r="D4498" s="4">
        <v>0.13</v>
      </c>
      <c r="E4498" s="4">
        <v>-3.2251715872139028E-2</v>
      </c>
      <c r="F4498" s="3">
        <v>4496</v>
      </c>
      <c r="G4498" s="3">
        <v>4</v>
      </c>
      <c r="H4498" s="5">
        <v>12621947923.42</v>
      </c>
      <c r="I4498" s="5">
        <v>12274073923.42</v>
      </c>
      <c r="J4498" s="5">
        <v>316321000</v>
      </c>
      <c r="K4498" s="5">
        <v>664195000</v>
      </c>
      <c r="L4498" s="5">
        <v>2115756000</v>
      </c>
      <c r="M4498" s="5">
        <v>333453000</v>
      </c>
      <c r="N4498" s="5">
        <v>257461000</v>
      </c>
    </row>
    <row r="4499" spans="1:14" x14ac:dyDescent="0.25">
      <c r="A4499" s="3" t="s">
        <v>4510</v>
      </c>
      <c r="B4499" s="4">
        <v>35.520000000000003</v>
      </c>
      <c r="C4499" s="4">
        <v>0.03</v>
      </c>
      <c r="D4499" s="4">
        <v>0.01</v>
      </c>
      <c r="E4499" s="4">
        <v>-3.2314371259565398E-2</v>
      </c>
      <c r="F4499" s="3">
        <v>4497</v>
      </c>
      <c r="G4499" s="3">
        <v>4</v>
      </c>
      <c r="H4499" s="5">
        <v>4403242740</v>
      </c>
      <c r="I4499" s="5">
        <v>3175611740</v>
      </c>
      <c r="J4499" s="5">
        <v>299555000</v>
      </c>
      <c r="K4499" s="5">
        <v>1527186000</v>
      </c>
      <c r="L4499" s="5">
        <v>9177564000</v>
      </c>
      <c r="M4499" s="5">
        <v>89410000</v>
      </c>
      <c r="N4499" s="5">
        <v>25432000</v>
      </c>
    </row>
    <row r="4500" spans="1:14" x14ac:dyDescent="0.25">
      <c r="A4500" s="3" t="s">
        <v>4511</v>
      </c>
      <c r="B4500" s="4">
        <v>36.130000000000003</v>
      </c>
      <c r="C4500" s="4">
        <v>0.12</v>
      </c>
      <c r="D4500" s="4">
        <v>0.06</v>
      </c>
      <c r="E4500" s="4">
        <v>-3.2422225211069459E-2</v>
      </c>
      <c r="F4500" s="3">
        <v>4498</v>
      </c>
      <c r="G4500" s="3">
        <v>4</v>
      </c>
      <c r="H4500" s="5">
        <v>22757019978.880001</v>
      </c>
      <c r="I4500" s="5">
        <v>24239783978.880001</v>
      </c>
      <c r="J4500" s="5">
        <v>1748572000</v>
      </c>
      <c r="K4500" s="5">
        <v>265808000</v>
      </c>
      <c r="L4500" s="5">
        <v>2298472000</v>
      </c>
      <c r="M4500" s="5">
        <v>670879000</v>
      </c>
      <c r="N4500" s="5">
        <v>376333000</v>
      </c>
    </row>
    <row r="4501" spans="1:14" x14ac:dyDescent="0.25">
      <c r="A4501" s="3" t="s">
        <v>4512</v>
      </c>
      <c r="B4501" s="4">
        <v>12.4</v>
      </c>
      <c r="C4501" s="4">
        <v>-5.03</v>
      </c>
      <c r="D4501" s="4">
        <v>0.32</v>
      </c>
      <c r="E4501" s="4">
        <v>-3.2565293013335377E-2</v>
      </c>
      <c r="F4501" s="3">
        <v>4499</v>
      </c>
      <c r="G4501" s="3">
        <v>4</v>
      </c>
      <c r="H4501" s="5">
        <v>95952865912.320007</v>
      </c>
      <c r="I4501" s="5">
        <v>117751865912.32001</v>
      </c>
      <c r="J4501" s="5">
        <v>24926000000</v>
      </c>
      <c r="K4501" s="5">
        <v>3127000000</v>
      </c>
      <c r="L4501" s="5">
        <v>24018000000</v>
      </c>
      <c r="M4501" s="5">
        <v>9496000000</v>
      </c>
      <c r="N4501" s="5">
        <v>11264000000</v>
      </c>
    </row>
    <row r="4502" spans="1:14" x14ac:dyDescent="0.25">
      <c r="A4502" s="3" t="s">
        <v>4513</v>
      </c>
      <c r="B4502" s="4">
        <v>37.44</v>
      </c>
      <c r="C4502" s="4">
        <v>0.32</v>
      </c>
      <c r="D4502" s="4">
        <v>0.1</v>
      </c>
      <c r="E4502" s="4">
        <v>-3.2647422910787427E-2</v>
      </c>
      <c r="F4502" s="3">
        <v>4500</v>
      </c>
      <c r="G4502" s="3">
        <v>4</v>
      </c>
      <c r="H4502" s="5">
        <v>23557844.120000001</v>
      </c>
      <c r="I4502" s="5">
        <v>30397074.120000001</v>
      </c>
      <c r="J4502" s="5">
        <v>9170110</v>
      </c>
      <c r="K4502" s="5">
        <v>2330880</v>
      </c>
      <c r="L4502" s="5">
        <v>72134380</v>
      </c>
      <c r="M4502" s="5">
        <v>811800</v>
      </c>
      <c r="N4502" s="5">
        <v>2611510</v>
      </c>
    </row>
    <row r="4503" spans="1:14" x14ac:dyDescent="0.25">
      <c r="A4503" s="3" t="s">
        <v>4514</v>
      </c>
      <c r="B4503" s="4">
        <v>39.520000000000003</v>
      </c>
      <c r="C4503" s="4">
        <v>0.73</v>
      </c>
      <c r="D4503" s="4">
        <v>0.28999999999999998</v>
      </c>
      <c r="E4503" s="4">
        <v>-3.271348830321414E-2</v>
      </c>
      <c r="F4503" s="3">
        <v>4501</v>
      </c>
      <c r="G4503" s="3">
        <v>4</v>
      </c>
      <c r="H4503" s="5">
        <v>10854318032.110001</v>
      </c>
      <c r="I4503" s="5">
        <v>10588088032.110001</v>
      </c>
      <c r="J4503" s="5">
        <v>0</v>
      </c>
      <c r="K4503" s="5">
        <v>266230000</v>
      </c>
      <c r="L4503" s="5">
        <v>1042352000</v>
      </c>
      <c r="M4503" s="5">
        <v>267897000</v>
      </c>
      <c r="N4503" s="5">
        <v>218364000</v>
      </c>
    </row>
    <row r="4504" spans="1:14" x14ac:dyDescent="0.25">
      <c r="A4504" s="3" t="s">
        <v>4515</v>
      </c>
      <c r="B4504" s="4">
        <v>37.090000000000003</v>
      </c>
      <c r="C4504" s="4">
        <v>0.19</v>
      </c>
      <c r="D4504" s="4">
        <v>0.1</v>
      </c>
      <c r="E4504" s="4">
        <v>-3.2806417602577659E-2</v>
      </c>
      <c r="F4504" s="3">
        <v>4502</v>
      </c>
      <c r="G4504" s="3">
        <v>4</v>
      </c>
      <c r="H4504" s="5">
        <v>671209882.02999997</v>
      </c>
      <c r="I4504" s="5">
        <v>659396882.02999997</v>
      </c>
      <c r="J4504" s="5">
        <v>0</v>
      </c>
      <c r="K4504" s="5">
        <v>11813000</v>
      </c>
      <c r="L4504" s="5">
        <v>105757000</v>
      </c>
      <c r="M4504" s="5">
        <v>17778000</v>
      </c>
      <c r="N4504" s="5">
        <v>12085000</v>
      </c>
    </row>
    <row r="4505" spans="1:14" x14ac:dyDescent="0.25">
      <c r="A4505" s="3" t="s">
        <v>4516</v>
      </c>
      <c r="B4505" s="4">
        <v>37.01</v>
      </c>
      <c r="C4505" s="4">
        <v>0.17</v>
      </c>
      <c r="D4505" s="4">
        <v>0.1</v>
      </c>
      <c r="E4505" s="4">
        <v>-3.2814691171029961E-2</v>
      </c>
      <c r="F4505" s="3">
        <v>4503</v>
      </c>
      <c r="G4505" s="3">
        <v>4</v>
      </c>
      <c r="H4505" s="5">
        <v>11781540938.639999</v>
      </c>
      <c r="I4505" s="5">
        <v>11707440938.639999</v>
      </c>
      <c r="J4505" s="5">
        <v>349300000</v>
      </c>
      <c r="K4505" s="5">
        <v>423400000</v>
      </c>
      <c r="L4505" s="5">
        <v>2318300000</v>
      </c>
      <c r="M4505" s="5">
        <v>316300000</v>
      </c>
      <c r="N4505" s="5">
        <v>242200000</v>
      </c>
    </row>
    <row r="4506" spans="1:14" x14ac:dyDescent="0.25">
      <c r="A4506" s="3" t="s">
        <v>4517</v>
      </c>
      <c r="B4506" s="4">
        <v>37.909999999999997</v>
      </c>
      <c r="C4506" s="4">
        <v>0.35</v>
      </c>
      <c r="D4506" s="4">
        <v>0.17</v>
      </c>
      <c r="E4506" s="4">
        <v>-3.2838131571464153E-2</v>
      </c>
      <c r="F4506" s="3">
        <v>4504</v>
      </c>
      <c r="G4506" s="3">
        <v>4</v>
      </c>
      <c r="H4506" s="5">
        <v>28917801331.380001</v>
      </c>
      <c r="I4506" s="5">
        <v>29223481331.380001</v>
      </c>
      <c r="J4506" s="5">
        <v>395310000</v>
      </c>
      <c r="K4506" s="5">
        <v>89630000</v>
      </c>
      <c r="L4506" s="5">
        <v>3388708000</v>
      </c>
      <c r="M4506" s="5">
        <v>770890000</v>
      </c>
      <c r="N4506" s="5">
        <v>466379000</v>
      </c>
    </row>
    <row r="4507" spans="1:14" x14ac:dyDescent="0.25">
      <c r="A4507" s="3" t="s">
        <v>4518</v>
      </c>
      <c r="B4507" s="4">
        <v>38.76</v>
      </c>
      <c r="C4507" s="4">
        <v>0.55000000000000004</v>
      </c>
      <c r="D4507" s="4">
        <v>-0.11</v>
      </c>
      <c r="E4507" s="4">
        <v>-3.2840354659596727E-2</v>
      </c>
      <c r="F4507" s="3">
        <v>4505</v>
      </c>
      <c r="G4507" s="3">
        <v>4</v>
      </c>
      <c r="H4507" s="5">
        <v>3195328.1999999899</v>
      </c>
      <c r="I4507" s="5">
        <v>2984195328.1999998</v>
      </c>
      <c r="J4507" s="5">
        <v>3268000000</v>
      </c>
      <c r="K4507" s="5">
        <v>287000000</v>
      </c>
      <c r="L4507" s="5">
        <v>3245000000</v>
      </c>
      <c r="M4507" s="5">
        <v>77000000</v>
      </c>
      <c r="N4507" s="5">
        <v>-2034000000</v>
      </c>
    </row>
    <row r="4508" spans="1:14" x14ac:dyDescent="0.25">
      <c r="A4508" s="3" t="s">
        <v>4519</v>
      </c>
      <c r="B4508" s="4">
        <v>36.07</v>
      </c>
      <c r="C4508" s="4">
        <v>-0.04</v>
      </c>
      <c r="D4508" s="4">
        <v>-0.01</v>
      </c>
      <c r="E4508" s="4">
        <v>-3.2860890875160857E-2</v>
      </c>
      <c r="F4508" s="3">
        <v>4506</v>
      </c>
      <c r="G4508" s="3">
        <v>4</v>
      </c>
      <c r="H4508" s="5">
        <v>2065660884.3199999</v>
      </c>
      <c r="I4508" s="5">
        <v>2545182884.3200002</v>
      </c>
      <c r="J4508" s="5">
        <v>624383000</v>
      </c>
      <c r="K4508" s="5">
        <v>144861000</v>
      </c>
      <c r="L4508" s="5">
        <v>614376000</v>
      </c>
      <c r="M4508" s="5">
        <v>70568000</v>
      </c>
      <c r="N4508" s="5">
        <v>-18522000</v>
      </c>
    </row>
    <row r="4509" spans="1:14" x14ac:dyDescent="0.25">
      <c r="A4509" s="3" t="s">
        <v>4520</v>
      </c>
      <c r="B4509" s="4">
        <v>37.26</v>
      </c>
      <c r="C4509" s="4">
        <v>0.2</v>
      </c>
      <c r="D4509" s="4">
        <v>0.1</v>
      </c>
      <c r="E4509" s="4">
        <v>-3.288274049241352E-2</v>
      </c>
      <c r="F4509" s="3">
        <v>4507</v>
      </c>
      <c r="G4509" s="3">
        <v>4</v>
      </c>
      <c r="H4509" s="5">
        <v>1843084648.5999999</v>
      </c>
      <c r="I4509" s="5">
        <v>1697814648.5999999</v>
      </c>
      <c r="J4509" s="5">
        <v>0</v>
      </c>
      <c r="K4509" s="5">
        <v>145270000</v>
      </c>
      <c r="L4509" s="5">
        <v>796394000</v>
      </c>
      <c r="M4509" s="5">
        <v>45567000</v>
      </c>
      <c r="N4509" s="5">
        <v>121609000</v>
      </c>
    </row>
    <row r="4510" spans="1:14" x14ac:dyDescent="0.25">
      <c r="A4510" s="3" t="s">
        <v>4521</v>
      </c>
      <c r="B4510" s="4">
        <v>38.25</v>
      </c>
      <c r="C4510" s="4">
        <v>0.39</v>
      </c>
      <c r="D4510" s="4">
        <v>0.22</v>
      </c>
      <c r="E4510" s="4">
        <v>-3.2923345004219423E-2</v>
      </c>
      <c r="F4510" s="3">
        <v>4508</v>
      </c>
      <c r="G4510" s="3">
        <v>4</v>
      </c>
      <c r="H4510" s="5">
        <v>28034043.624000002</v>
      </c>
      <c r="I4510" s="5">
        <v>26391323.624000002</v>
      </c>
      <c r="J4510" s="5">
        <v>0</v>
      </c>
      <c r="K4510" s="5">
        <v>1642720</v>
      </c>
      <c r="L4510" s="5">
        <v>4262660</v>
      </c>
      <c r="M4510" s="5">
        <v>689970</v>
      </c>
      <c r="N4510" s="5">
        <v>460440</v>
      </c>
    </row>
    <row r="4511" spans="1:14" x14ac:dyDescent="0.25">
      <c r="A4511" s="3" t="s">
        <v>4522</v>
      </c>
      <c r="B4511" s="4">
        <v>36.1</v>
      </c>
      <c r="C4511" s="4">
        <v>-0.06</v>
      </c>
      <c r="D4511" s="4">
        <v>-0.02</v>
      </c>
      <c r="E4511" s="4">
        <v>-3.2939174732858512E-2</v>
      </c>
      <c r="F4511" s="3">
        <v>4509</v>
      </c>
      <c r="G4511" s="3">
        <v>4</v>
      </c>
      <c r="H4511" s="5">
        <v>1679301387.1500001</v>
      </c>
      <c r="I4511" s="5">
        <v>1838812387.1500001</v>
      </c>
      <c r="J4511" s="5">
        <v>168796000</v>
      </c>
      <c r="K4511" s="5">
        <v>9285000</v>
      </c>
      <c r="L4511" s="5">
        <v>795426000</v>
      </c>
      <c r="M4511" s="5">
        <v>50942000</v>
      </c>
      <c r="N4511" s="5">
        <v>-16215000</v>
      </c>
    </row>
    <row r="4512" spans="1:14" x14ac:dyDescent="0.25">
      <c r="A4512" s="3" t="s">
        <v>4523</v>
      </c>
      <c r="B4512" s="4">
        <v>36.21</v>
      </c>
      <c r="C4512" s="4">
        <v>-0.04</v>
      </c>
      <c r="D4512" s="4">
        <v>-0.03</v>
      </c>
      <c r="E4512" s="4">
        <v>-3.2951397808074961E-2</v>
      </c>
      <c r="F4512" s="3">
        <v>4510</v>
      </c>
      <c r="G4512" s="3">
        <v>4</v>
      </c>
      <c r="H4512" s="5">
        <v>5328.0626000000002</v>
      </c>
      <c r="I4512" s="5">
        <v>-2313631.9374000002</v>
      </c>
      <c r="J4512" s="5">
        <v>3180</v>
      </c>
      <c r="K4512" s="5">
        <v>2322140</v>
      </c>
      <c r="L4512" s="5">
        <v>3086410</v>
      </c>
      <c r="M4512" s="5">
        <v>-63900</v>
      </c>
      <c r="N4512" s="5">
        <v>-119000</v>
      </c>
    </row>
    <row r="4513" spans="1:14" x14ac:dyDescent="0.25">
      <c r="A4513" s="3" t="s">
        <v>4524</v>
      </c>
      <c r="B4513" s="4">
        <v>-22.09</v>
      </c>
      <c r="C4513" s="4">
        <v>-12.53</v>
      </c>
      <c r="D4513" s="4">
        <v>-0.76</v>
      </c>
      <c r="E4513" s="4">
        <v>-3.309726269532938E-2</v>
      </c>
      <c r="F4513" s="3">
        <v>4511</v>
      </c>
      <c r="G4513" s="3">
        <v>4</v>
      </c>
      <c r="H4513" s="5">
        <v>14290828921.08</v>
      </c>
      <c r="I4513" s="5">
        <v>14385310921.08</v>
      </c>
      <c r="J4513" s="5">
        <v>435436000</v>
      </c>
      <c r="K4513" s="5">
        <v>340954000</v>
      </c>
      <c r="L4513" s="5">
        <v>693398000</v>
      </c>
      <c r="M4513" s="5">
        <v>-651118000</v>
      </c>
      <c r="N4513" s="5">
        <v>-705809000</v>
      </c>
    </row>
    <row r="4514" spans="1:14" x14ac:dyDescent="0.25">
      <c r="A4514" s="3" t="s">
        <v>4525</v>
      </c>
      <c r="B4514" s="4">
        <v>36.99</v>
      </c>
      <c r="C4514" s="4">
        <v>7.0000000000000007E-2</v>
      </c>
      <c r="D4514" s="4">
        <v>0.01</v>
      </c>
      <c r="E4514" s="4">
        <v>-3.3108610068977952E-2</v>
      </c>
      <c r="F4514" s="3">
        <v>4512</v>
      </c>
      <c r="G4514" s="3">
        <v>4</v>
      </c>
      <c r="H4514" s="5">
        <v>3892688877.6199999</v>
      </c>
      <c r="I4514" s="5">
        <v>3892872877.6199999</v>
      </c>
      <c r="J4514" s="5">
        <v>104968000</v>
      </c>
      <c r="K4514" s="5">
        <v>104784000</v>
      </c>
      <c r="L4514" s="5">
        <v>1200038000</v>
      </c>
      <c r="M4514" s="5">
        <v>105236000</v>
      </c>
      <c r="N4514" s="5">
        <v>17017000</v>
      </c>
    </row>
    <row r="4515" spans="1:14" x14ac:dyDescent="0.25">
      <c r="A4515" s="3" t="s">
        <v>4526</v>
      </c>
      <c r="B4515" s="4">
        <v>37.89</v>
      </c>
      <c r="C4515" s="4">
        <v>0.26</v>
      </c>
      <c r="D4515" s="4">
        <v>0.04</v>
      </c>
      <c r="E4515" s="4">
        <v>-3.311087296870769E-2</v>
      </c>
      <c r="F4515" s="3">
        <v>4513</v>
      </c>
      <c r="G4515" s="3">
        <v>4</v>
      </c>
      <c r="H4515" s="5">
        <v>77917710208.800003</v>
      </c>
      <c r="I4515" s="5">
        <v>108837903208.8</v>
      </c>
      <c r="J4515" s="5">
        <v>30920202000</v>
      </c>
      <c r="K4515" s="5">
        <v>9000</v>
      </c>
      <c r="L4515" s="5">
        <v>11517075000</v>
      </c>
      <c r="M4515" s="5">
        <v>2872326000</v>
      </c>
      <c r="N4515" s="5">
        <v>1972112000</v>
      </c>
    </row>
    <row r="4516" spans="1:14" x14ac:dyDescent="0.25">
      <c r="A4516" s="3" t="s">
        <v>4527</v>
      </c>
      <c r="B4516" s="4">
        <v>38.53</v>
      </c>
      <c r="C4516" s="4">
        <v>0.31</v>
      </c>
      <c r="D4516" s="4">
        <v>0.11</v>
      </c>
      <c r="E4516" s="4">
        <v>-3.3349010912205823E-2</v>
      </c>
      <c r="F4516" s="3">
        <v>4514</v>
      </c>
      <c r="G4516" s="3">
        <v>4</v>
      </c>
      <c r="H4516" s="5">
        <v>34840926771</v>
      </c>
      <c r="I4516" s="5">
        <v>34359322771</v>
      </c>
      <c r="J4516" s="5">
        <v>68335000</v>
      </c>
      <c r="K4516" s="5">
        <v>549939000</v>
      </c>
      <c r="L4516" s="5">
        <v>7027476000</v>
      </c>
      <c r="M4516" s="5">
        <v>891858000</v>
      </c>
      <c r="N4516" s="5">
        <v>522433000</v>
      </c>
    </row>
    <row r="4517" spans="1:14" x14ac:dyDescent="0.25">
      <c r="A4517" s="3" t="s">
        <v>4528</v>
      </c>
      <c r="B4517" s="4">
        <v>34.090000000000003</v>
      </c>
      <c r="C4517" s="4">
        <v>-0.63</v>
      </c>
      <c r="D4517" s="4">
        <v>-0.09</v>
      </c>
      <c r="E4517" s="4">
        <v>-3.3355583173612598E-2</v>
      </c>
      <c r="F4517" s="3">
        <v>4515</v>
      </c>
      <c r="G4517" s="3">
        <v>4</v>
      </c>
      <c r="H4517" s="5">
        <v>205902790</v>
      </c>
      <c r="I4517" s="5">
        <v>1024826790</v>
      </c>
      <c r="J4517" s="5">
        <v>874924000</v>
      </c>
      <c r="K4517" s="5">
        <v>56000000</v>
      </c>
      <c r="L4517" s="5">
        <v>133525000</v>
      </c>
      <c r="M4517" s="5">
        <v>30058000</v>
      </c>
      <c r="N4517" s="5">
        <v>-100837000</v>
      </c>
    </row>
    <row r="4518" spans="1:14" x14ac:dyDescent="0.25">
      <c r="A4518" s="3" t="s">
        <v>4529</v>
      </c>
      <c r="B4518" s="4">
        <v>37.31</v>
      </c>
      <c r="C4518" s="4">
        <v>0.03</v>
      </c>
      <c r="D4518" s="4">
        <v>0.03</v>
      </c>
      <c r="E4518" s="4">
        <v>-3.3418381026187237E-2</v>
      </c>
      <c r="F4518" s="3">
        <v>4516</v>
      </c>
      <c r="G4518" s="3">
        <v>4</v>
      </c>
      <c r="H4518" s="5">
        <v>210001338</v>
      </c>
      <c r="I4518" s="5">
        <v>192423338</v>
      </c>
      <c r="J4518" s="5">
        <v>615000</v>
      </c>
      <c r="K4518" s="5">
        <v>18193000</v>
      </c>
      <c r="L4518" s="5">
        <v>60838000</v>
      </c>
      <c r="M4518" s="5">
        <v>5157000</v>
      </c>
      <c r="N4518" s="5">
        <v>1677000</v>
      </c>
    </row>
    <row r="4519" spans="1:14" x14ac:dyDescent="0.25">
      <c r="A4519" s="3" t="s">
        <v>4530</v>
      </c>
      <c r="B4519" s="4">
        <v>-9.3000000000000007</v>
      </c>
      <c r="C4519" s="4">
        <v>-9.9700000000000006</v>
      </c>
      <c r="D4519" s="4">
        <v>0.16</v>
      </c>
      <c r="E4519" s="4">
        <v>-3.3439022941059673E-2</v>
      </c>
      <c r="F4519" s="3">
        <v>4517</v>
      </c>
      <c r="G4519" s="3">
        <v>4</v>
      </c>
      <c r="H4519" s="5">
        <v>4101216.5669999998</v>
      </c>
      <c r="I4519" s="5">
        <v>6300506.5669999998</v>
      </c>
      <c r="J4519" s="5">
        <v>2347140</v>
      </c>
      <c r="K4519" s="5">
        <v>147850</v>
      </c>
      <c r="L4519" s="5">
        <v>18644780</v>
      </c>
      <c r="M4519" s="5">
        <v>-677680</v>
      </c>
      <c r="N4519" s="5">
        <v>3098110</v>
      </c>
    </row>
    <row r="4520" spans="1:14" x14ac:dyDescent="0.25">
      <c r="A4520" s="3" t="s">
        <v>4531</v>
      </c>
      <c r="B4520" s="4">
        <v>39.82</v>
      </c>
      <c r="C4520" s="4">
        <v>0.53</v>
      </c>
      <c r="D4520" s="4">
        <v>0.27</v>
      </c>
      <c r="E4520" s="4">
        <v>-3.3480894667570628E-2</v>
      </c>
      <c r="F4520" s="3">
        <v>4518</v>
      </c>
      <c r="G4520" s="3">
        <v>4</v>
      </c>
      <c r="H4520" s="5">
        <v>14258281895.299999</v>
      </c>
      <c r="I4520" s="5">
        <v>13609658895.299999</v>
      </c>
      <c r="J4520" s="5">
        <v>0</v>
      </c>
      <c r="K4520" s="5">
        <v>648623000</v>
      </c>
      <c r="L4520" s="5">
        <v>2976739000</v>
      </c>
      <c r="M4520" s="5">
        <v>341806000</v>
      </c>
      <c r="N4520" s="5">
        <v>1067885000</v>
      </c>
    </row>
    <row r="4521" spans="1:14" x14ac:dyDescent="0.25">
      <c r="A4521" s="3" t="s">
        <v>4532</v>
      </c>
      <c r="B4521" s="4">
        <v>43.1</v>
      </c>
      <c r="C4521" s="4">
        <v>1.24</v>
      </c>
      <c r="D4521" s="4">
        <v>0.15</v>
      </c>
      <c r="E4521" s="4">
        <v>-3.3482656357115587E-2</v>
      </c>
      <c r="F4521" s="3">
        <v>4519</v>
      </c>
      <c r="G4521" s="3">
        <v>4</v>
      </c>
      <c r="H4521" s="5">
        <v>4545067985.1800003</v>
      </c>
      <c r="I4521" s="5">
        <v>4573037985.1800003</v>
      </c>
      <c r="J4521" s="5">
        <v>652545000</v>
      </c>
      <c r="K4521" s="5">
        <v>624575000</v>
      </c>
      <c r="L4521" s="5">
        <v>1090130000</v>
      </c>
      <c r="M4521" s="5">
        <v>106105000</v>
      </c>
      <c r="N4521" s="5">
        <v>244621000</v>
      </c>
    </row>
    <row r="4522" spans="1:14" x14ac:dyDescent="0.25">
      <c r="A4522" s="3" t="s">
        <v>4533</v>
      </c>
      <c r="B4522" s="4">
        <v>37.270000000000003</v>
      </c>
      <c r="C4522" s="4">
        <v>-0.03</v>
      </c>
      <c r="D4522" s="4">
        <v>0.09</v>
      </c>
      <c r="E4522" s="4">
        <v>-3.355541168602065E-2</v>
      </c>
      <c r="F4522" s="3">
        <v>4520</v>
      </c>
      <c r="G4522" s="3">
        <v>4</v>
      </c>
      <c r="H4522" s="5">
        <v>1741.1991</v>
      </c>
      <c r="I4522" s="5">
        <v>1645721.1991000001</v>
      </c>
      <c r="J4522" s="5">
        <v>1825070</v>
      </c>
      <c r="K4522" s="5">
        <v>181090</v>
      </c>
      <c r="L4522" s="5">
        <v>4384300</v>
      </c>
      <c r="M4522" s="5">
        <v>44160</v>
      </c>
      <c r="N4522" s="5">
        <v>102250</v>
      </c>
    </row>
    <row r="4523" spans="1:14" x14ac:dyDescent="0.25">
      <c r="A4523" s="3" t="s">
        <v>4534</v>
      </c>
      <c r="B4523" s="4">
        <v>37.83</v>
      </c>
      <c r="C4523" s="4">
        <v>0.09</v>
      </c>
      <c r="D4523" s="4">
        <v>0.05</v>
      </c>
      <c r="E4523" s="4">
        <v>-3.3563000027193507E-2</v>
      </c>
      <c r="F4523" s="3">
        <v>4521</v>
      </c>
      <c r="G4523" s="3">
        <v>4</v>
      </c>
      <c r="H4523" s="5">
        <v>7443549915.2700005</v>
      </c>
      <c r="I4523" s="5">
        <v>11310549915.27</v>
      </c>
      <c r="J4523" s="5">
        <v>4030000000</v>
      </c>
      <c r="K4523" s="5">
        <v>163000000</v>
      </c>
      <c r="L4523" s="5">
        <v>1016000000</v>
      </c>
      <c r="M4523" s="5">
        <v>299000000</v>
      </c>
      <c r="N4523" s="5">
        <v>869000000</v>
      </c>
    </row>
    <row r="4524" spans="1:14" x14ac:dyDescent="0.25">
      <c r="A4524" s="3" t="s">
        <v>4535</v>
      </c>
      <c r="B4524" s="4">
        <v>38.74</v>
      </c>
      <c r="C4524" s="4">
        <v>0.28000000000000003</v>
      </c>
      <c r="D4524" s="4">
        <v>0.08</v>
      </c>
      <c r="E4524" s="4">
        <v>-3.357145213262034E-2</v>
      </c>
      <c r="F4524" s="3">
        <v>4522</v>
      </c>
      <c r="G4524" s="3">
        <v>4</v>
      </c>
      <c r="H4524" s="5">
        <v>231180779.59999999</v>
      </c>
      <c r="I4524" s="5">
        <v>234771779.59999999</v>
      </c>
      <c r="J4524" s="5">
        <v>5000000</v>
      </c>
      <c r="K4524" s="5">
        <v>1409000</v>
      </c>
      <c r="L4524" s="5">
        <v>52347000</v>
      </c>
      <c r="M4524" s="5">
        <v>6060000</v>
      </c>
      <c r="N4524" s="5">
        <v>4235000</v>
      </c>
    </row>
    <row r="4525" spans="1:14" x14ac:dyDescent="0.25">
      <c r="A4525" s="3" t="s">
        <v>4536</v>
      </c>
      <c r="B4525" s="4">
        <v>37.630000000000003</v>
      </c>
      <c r="C4525" s="4">
        <v>0.03</v>
      </c>
      <c r="D4525" s="4">
        <v>0</v>
      </c>
      <c r="E4525" s="4">
        <v>-3.3622222688226233E-2</v>
      </c>
      <c r="F4525" s="3">
        <v>4523</v>
      </c>
      <c r="G4525" s="3">
        <v>4</v>
      </c>
      <c r="H4525" s="5">
        <v>129632288.40000001</v>
      </c>
      <c r="I4525" s="5">
        <v>947875288.39999998</v>
      </c>
      <c r="J4525" s="5">
        <v>876022000</v>
      </c>
      <c r="K4525" s="5">
        <v>57779000</v>
      </c>
      <c r="L4525" s="5">
        <v>47858000</v>
      </c>
      <c r="M4525" s="5">
        <v>25191000</v>
      </c>
      <c r="N4525" s="5">
        <v>5136000</v>
      </c>
    </row>
    <row r="4526" spans="1:14" x14ac:dyDescent="0.25">
      <c r="A4526" s="3" t="s">
        <v>4537</v>
      </c>
      <c r="B4526" s="4">
        <v>37.08</v>
      </c>
      <c r="C4526" s="4">
        <v>-0.1</v>
      </c>
      <c r="D4526" s="4">
        <v>-0.04</v>
      </c>
      <c r="E4526" s="4">
        <v>-3.3665149372384948E-2</v>
      </c>
      <c r="F4526" s="3">
        <v>4524</v>
      </c>
      <c r="G4526" s="3">
        <v>4</v>
      </c>
      <c r="H4526" s="5">
        <v>600016398.70000005</v>
      </c>
      <c r="I4526" s="5">
        <v>666487398.70000005</v>
      </c>
      <c r="J4526" s="5">
        <v>74706000</v>
      </c>
      <c r="K4526" s="5">
        <v>8235000</v>
      </c>
      <c r="L4526" s="5">
        <v>180350000</v>
      </c>
      <c r="M4526" s="5">
        <v>17976000</v>
      </c>
      <c r="N4526" s="5">
        <v>-8251000</v>
      </c>
    </row>
    <row r="4527" spans="1:14" x14ac:dyDescent="0.25">
      <c r="A4527" s="3" t="s">
        <v>4538</v>
      </c>
      <c r="B4527" s="4">
        <v>38.08</v>
      </c>
      <c r="C4527" s="4">
        <v>0.09</v>
      </c>
      <c r="D4527" s="4">
        <v>0.02</v>
      </c>
      <c r="E4527" s="4">
        <v>-3.3723517249352963E-2</v>
      </c>
      <c r="F4527" s="3">
        <v>4525</v>
      </c>
      <c r="G4527" s="3">
        <v>4</v>
      </c>
      <c r="H4527" s="5">
        <v>1872950776.95</v>
      </c>
      <c r="I4527" s="5">
        <v>11340336776.950001</v>
      </c>
      <c r="J4527" s="5">
        <v>9971189000</v>
      </c>
      <c r="K4527" s="5">
        <v>503803000</v>
      </c>
      <c r="L4527" s="5">
        <v>1426738000</v>
      </c>
      <c r="M4527" s="5">
        <v>297779000</v>
      </c>
      <c r="N4527" s="5">
        <v>264641000</v>
      </c>
    </row>
    <row r="4528" spans="1:14" x14ac:dyDescent="0.25">
      <c r="A4528" s="3" t="s">
        <v>4539</v>
      </c>
      <c r="B4528" s="4">
        <v>37.44</v>
      </c>
      <c r="C4528" s="4">
        <v>-0.05</v>
      </c>
      <c r="D4528" s="4">
        <v>-0.02</v>
      </c>
      <c r="E4528" s="4">
        <v>-3.3739634689252437E-2</v>
      </c>
      <c r="F4528" s="3">
        <v>4526</v>
      </c>
      <c r="G4528" s="3">
        <v>4</v>
      </c>
      <c r="H4528" s="5">
        <v>2194511933.5799999</v>
      </c>
      <c r="I4528" s="5">
        <v>2458829933.5799999</v>
      </c>
      <c r="J4528" s="5">
        <v>317781000</v>
      </c>
      <c r="K4528" s="5">
        <v>53463000</v>
      </c>
      <c r="L4528" s="5">
        <v>388537000</v>
      </c>
      <c r="M4528" s="5">
        <v>65679000</v>
      </c>
      <c r="N4528" s="5">
        <v>-13359000</v>
      </c>
    </row>
    <row r="4529" spans="1:14" x14ac:dyDescent="0.25">
      <c r="A4529" s="3" t="s">
        <v>4540</v>
      </c>
      <c r="B4529" s="4">
        <v>41.15</v>
      </c>
      <c r="C4529" s="4">
        <v>0.72</v>
      </c>
      <c r="D4529" s="4">
        <v>0.16</v>
      </c>
      <c r="E4529" s="4">
        <v>-3.3776299784359802E-2</v>
      </c>
      <c r="F4529" s="3">
        <v>4527</v>
      </c>
      <c r="G4529" s="3">
        <v>4</v>
      </c>
      <c r="H4529" s="5">
        <v>18433568152.84</v>
      </c>
      <c r="I4529" s="5">
        <v>21109568152.84</v>
      </c>
      <c r="J4529" s="5">
        <v>3004000000</v>
      </c>
      <c r="K4529" s="5">
        <v>328000000</v>
      </c>
      <c r="L4529" s="5">
        <v>2115000000</v>
      </c>
      <c r="M4529" s="5">
        <v>513000000</v>
      </c>
      <c r="N4529" s="5">
        <v>998000000</v>
      </c>
    </row>
    <row r="4530" spans="1:14" x14ac:dyDescent="0.25">
      <c r="A4530" s="3" t="s">
        <v>4541</v>
      </c>
      <c r="B4530" s="4">
        <v>37.520000000000003</v>
      </c>
      <c r="C4530" s="4">
        <v>-0.08</v>
      </c>
      <c r="D4530" s="4">
        <v>-0.05</v>
      </c>
      <c r="E4530" s="4">
        <v>-3.3881616235604962E-2</v>
      </c>
      <c r="F4530" s="3">
        <v>4528</v>
      </c>
      <c r="G4530" s="3">
        <v>4</v>
      </c>
      <c r="H4530" s="5">
        <v>10372480.675000001</v>
      </c>
      <c r="I4530" s="5">
        <v>-8182149.3249999993</v>
      </c>
      <c r="J4530" s="5">
        <v>1391130</v>
      </c>
      <c r="K4530" s="5">
        <v>19945760</v>
      </c>
      <c r="L4530" s="5">
        <v>15608840</v>
      </c>
      <c r="M4530" s="5">
        <v>-218080</v>
      </c>
      <c r="N4530" s="5">
        <v>-9051150</v>
      </c>
    </row>
    <row r="4531" spans="1:14" x14ac:dyDescent="0.25">
      <c r="A4531" s="3" t="s">
        <v>4542</v>
      </c>
      <c r="B4531" s="4">
        <v>37.380000000000003</v>
      </c>
      <c r="C4531" s="4">
        <v>-0.11</v>
      </c>
      <c r="D4531" s="4">
        <v>-0.05</v>
      </c>
      <c r="E4531" s="4">
        <v>-3.388164817688924E-2</v>
      </c>
      <c r="F4531" s="3">
        <v>4529</v>
      </c>
      <c r="G4531" s="3">
        <v>4</v>
      </c>
      <c r="H4531" s="5">
        <v>2610465568.7399998</v>
      </c>
      <c r="I4531" s="5">
        <v>3254868568.7399998</v>
      </c>
      <c r="J4531" s="5">
        <v>783537000</v>
      </c>
      <c r="K4531" s="5">
        <v>139134000</v>
      </c>
      <c r="L4531" s="5">
        <v>1097393000</v>
      </c>
      <c r="M4531" s="5">
        <v>87079000</v>
      </c>
      <c r="N4531" s="5">
        <v>-121155000</v>
      </c>
    </row>
    <row r="4532" spans="1:14" x14ac:dyDescent="0.25">
      <c r="A4532" s="3" t="s">
        <v>4543</v>
      </c>
      <c r="B4532" s="4">
        <v>37.82</v>
      </c>
      <c r="C4532" s="4">
        <v>-0.03</v>
      </c>
      <c r="D4532" s="4">
        <v>-0.02</v>
      </c>
      <c r="E4532" s="4">
        <v>-3.3917037291712457E-2</v>
      </c>
      <c r="F4532" s="3">
        <v>4530</v>
      </c>
      <c r="G4532" s="3">
        <v>4</v>
      </c>
      <c r="H4532" s="5">
        <v>35776640</v>
      </c>
      <c r="I4532" s="5">
        <v>17923640</v>
      </c>
      <c r="J4532" s="5">
        <v>0</v>
      </c>
      <c r="K4532" s="5">
        <v>17853000</v>
      </c>
      <c r="L4532" s="5">
        <v>48867750</v>
      </c>
      <c r="M4532" s="5">
        <v>473970</v>
      </c>
      <c r="N4532" s="5">
        <v>-1048150</v>
      </c>
    </row>
    <row r="4533" spans="1:14" x14ac:dyDescent="0.25">
      <c r="A4533" s="3" t="s">
        <v>4544</v>
      </c>
      <c r="B4533" s="4">
        <v>38.590000000000003</v>
      </c>
      <c r="C4533" s="4">
        <v>0.11</v>
      </c>
      <c r="D4533" s="4">
        <v>0.08</v>
      </c>
      <c r="E4533" s="4">
        <v>-3.3969805366409957E-2</v>
      </c>
      <c r="F4533" s="3">
        <v>4531</v>
      </c>
      <c r="G4533" s="3">
        <v>4</v>
      </c>
      <c r="H4533" s="5">
        <v>49091725.349999897</v>
      </c>
      <c r="I4533" s="5">
        <v>49879645.349999897</v>
      </c>
      <c r="J4533" s="5">
        <v>789310</v>
      </c>
      <c r="K4533" s="5">
        <v>1390</v>
      </c>
      <c r="L4533" s="5">
        <v>8656860</v>
      </c>
      <c r="M4533" s="5">
        <v>1292490</v>
      </c>
      <c r="N4533" s="5">
        <v>1839040</v>
      </c>
    </row>
    <row r="4534" spans="1:14" x14ac:dyDescent="0.25">
      <c r="A4534" s="3" t="s">
        <v>4545</v>
      </c>
      <c r="B4534" s="4">
        <v>38.4</v>
      </c>
      <c r="C4534" s="4">
        <v>0.06</v>
      </c>
      <c r="D4534" s="4">
        <v>0</v>
      </c>
      <c r="E4534" s="4">
        <v>-3.4012110705857829E-2</v>
      </c>
      <c r="F4534" s="3">
        <v>4532</v>
      </c>
      <c r="G4534" s="3">
        <v>4</v>
      </c>
      <c r="H4534" s="5">
        <v>301143750</v>
      </c>
      <c r="I4534" s="5">
        <v>2658210750</v>
      </c>
      <c r="J4534" s="5">
        <v>2419511000</v>
      </c>
      <c r="K4534" s="5">
        <v>62444000</v>
      </c>
      <c r="L4534" s="5">
        <v>127843000</v>
      </c>
      <c r="M4534" s="5">
        <v>69228000</v>
      </c>
      <c r="N4534" s="5">
        <v>11484000</v>
      </c>
    </row>
    <row r="4535" spans="1:14" x14ac:dyDescent="0.25">
      <c r="A4535" s="3" t="s">
        <v>4546</v>
      </c>
      <c r="B4535" s="4">
        <v>38.43</v>
      </c>
      <c r="C4535" s="4">
        <v>0.05</v>
      </c>
      <c r="D4535" s="4">
        <v>0.02</v>
      </c>
      <c r="E4535" s="4">
        <v>-3.4055713876808502E-2</v>
      </c>
      <c r="F4535" s="3">
        <v>4533</v>
      </c>
      <c r="G4535" s="3">
        <v>4</v>
      </c>
      <c r="H4535" s="5">
        <v>1978077220.5</v>
      </c>
      <c r="I4535" s="5">
        <v>2165669220.5</v>
      </c>
      <c r="J4535" s="5">
        <v>225424000</v>
      </c>
      <c r="K4535" s="5">
        <v>37832000</v>
      </c>
      <c r="L4535" s="5">
        <v>557933000</v>
      </c>
      <c r="M4535" s="5">
        <v>56349000</v>
      </c>
      <c r="N4535" s="5">
        <v>12957000</v>
      </c>
    </row>
    <row r="4536" spans="1:14" x14ac:dyDescent="0.25">
      <c r="A4536" s="3" t="s">
        <v>4547</v>
      </c>
      <c r="B4536" s="4">
        <v>38.44</v>
      </c>
      <c r="C4536" s="4">
        <v>0.04</v>
      </c>
      <c r="D4536" s="4">
        <v>0</v>
      </c>
      <c r="E4536" s="4">
        <v>-3.4094654742675048E-2</v>
      </c>
      <c r="F4536" s="3">
        <v>4534</v>
      </c>
      <c r="G4536" s="3">
        <v>4</v>
      </c>
      <c r="H4536" s="5">
        <v>129180760.5</v>
      </c>
      <c r="I4536" s="5">
        <v>1359484760.5</v>
      </c>
      <c r="J4536" s="5">
        <v>1284726000</v>
      </c>
      <c r="K4536" s="5">
        <v>54422000</v>
      </c>
      <c r="L4536" s="5">
        <v>63315000</v>
      </c>
      <c r="M4536" s="5">
        <v>35363000</v>
      </c>
      <c r="N4536" s="5">
        <v>4703000</v>
      </c>
    </row>
    <row r="4537" spans="1:14" x14ac:dyDescent="0.25">
      <c r="A4537" s="3" t="s">
        <v>4548</v>
      </c>
      <c r="B4537" s="4">
        <v>37.49</v>
      </c>
      <c r="C4537" s="4">
        <v>-0.2</v>
      </c>
      <c r="D4537" s="4">
        <v>-0.03</v>
      </c>
      <c r="E4537" s="4">
        <v>-3.4205913849532213E-2</v>
      </c>
      <c r="F4537" s="3">
        <v>4535</v>
      </c>
      <c r="G4537" s="3">
        <v>4</v>
      </c>
      <c r="H4537" s="5">
        <v>1023.6558</v>
      </c>
      <c r="I4537" s="5">
        <v>33567703.6558</v>
      </c>
      <c r="J4537" s="5">
        <v>34011650</v>
      </c>
      <c r="K4537" s="5">
        <v>444970</v>
      </c>
      <c r="L4537" s="5">
        <v>71705000</v>
      </c>
      <c r="M4537" s="5">
        <v>895380</v>
      </c>
      <c r="N4537" s="5">
        <v>-1702380</v>
      </c>
    </row>
    <row r="4538" spans="1:14" x14ac:dyDescent="0.25">
      <c r="A4538" s="3" t="s">
        <v>4549</v>
      </c>
      <c r="B4538" s="4">
        <v>36.67</v>
      </c>
      <c r="C4538" s="4">
        <v>-0.38</v>
      </c>
      <c r="D4538" s="4">
        <v>-0.09</v>
      </c>
      <c r="E4538" s="4">
        <v>-3.4230058068097133E-2</v>
      </c>
      <c r="F4538" s="3">
        <v>4536</v>
      </c>
      <c r="G4538" s="3">
        <v>4</v>
      </c>
      <c r="H4538" s="5">
        <v>598916474.14999998</v>
      </c>
      <c r="I4538" s="5">
        <v>2158966474.1500001</v>
      </c>
      <c r="J4538" s="5">
        <v>1587835000</v>
      </c>
      <c r="K4538" s="5">
        <v>27785000</v>
      </c>
      <c r="L4538" s="5">
        <v>331497000</v>
      </c>
      <c r="M4538" s="5">
        <v>58868000</v>
      </c>
      <c r="N4538" s="5">
        <v>-223645000</v>
      </c>
    </row>
    <row r="4539" spans="1:14" x14ac:dyDescent="0.25">
      <c r="A4539" s="3" t="s">
        <v>4550</v>
      </c>
      <c r="B4539" s="4">
        <v>0.14000000000000001</v>
      </c>
      <c r="C4539" s="4">
        <v>-8</v>
      </c>
      <c r="D4539" s="4">
        <v>-3.22</v>
      </c>
      <c r="E4539" s="4">
        <v>-3.4241603520449533E-2</v>
      </c>
      <c r="F4539" s="3">
        <v>4537</v>
      </c>
      <c r="G4539" s="3">
        <v>4</v>
      </c>
      <c r="H4539" s="5">
        <v>2254717.92</v>
      </c>
      <c r="I4539" s="5">
        <v>-2006282.08</v>
      </c>
      <c r="J4539" s="5">
        <v>0</v>
      </c>
      <c r="K4539" s="5">
        <v>4261000</v>
      </c>
      <c r="L4539" s="5">
        <v>0</v>
      </c>
      <c r="M4539" s="5">
        <v>-14657000</v>
      </c>
      <c r="N4539" s="5">
        <v>-14588000</v>
      </c>
    </row>
    <row r="4540" spans="1:14" x14ac:dyDescent="0.25">
      <c r="A4540" s="3" t="s">
        <v>4551</v>
      </c>
      <c r="B4540" s="4">
        <v>39.72</v>
      </c>
      <c r="C4540" s="4">
        <v>0.25</v>
      </c>
      <c r="D4540" s="4">
        <v>0.17</v>
      </c>
      <c r="E4540" s="4">
        <v>-3.4247313872779739E-2</v>
      </c>
      <c r="F4540" s="3">
        <v>4538</v>
      </c>
      <c r="G4540" s="3">
        <v>4</v>
      </c>
      <c r="H4540" s="5">
        <v>75991639611.029999</v>
      </c>
      <c r="I4540" s="5">
        <v>72110708611.029999</v>
      </c>
      <c r="J4540" s="5">
        <v>15601000</v>
      </c>
      <c r="K4540" s="5">
        <v>3896532000</v>
      </c>
      <c r="L4540" s="5">
        <v>6127436000</v>
      </c>
      <c r="M4540" s="5">
        <v>1815445000</v>
      </c>
      <c r="N4540" s="5">
        <v>2263380000</v>
      </c>
    </row>
    <row r="4541" spans="1:14" x14ac:dyDescent="0.25">
      <c r="A4541" s="3" t="s">
        <v>4552</v>
      </c>
      <c r="B4541" s="4">
        <v>39.15</v>
      </c>
      <c r="C4541" s="4">
        <v>0.12</v>
      </c>
      <c r="D4541" s="4">
        <v>0.05</v>
      </c>
      <c r="E4541" s="4">
        <v>-3.4293294358164361E-2</v>
      </c>
      <c r="F4541" s="3">
        <v>4539</v>
      </c>
      <c r="G4541" s="3">
        <v>4</v>
      </c>
      <c r="H4541" s="5">
        <v>477900000</v>
      </c>
      <c r="I4541" s="5">
        <v>743900000</v>
      </c>
      <c r="J4541" s="5">
        <v>467000000</v>
      </c>
      <c r="K4541" s="5">
        <v>201000000</v>
      </c>
      <c r="L4541" s="5">
        <v>1043000000</v>
      </c>
      <c r="M4541" s="5">
        <v>19000000</v>
      </c>
      <c r="N4541" s="5">
        <v>102000000</v>
      </c>
    </row>
    <row r="4542" spans="1:14" x14ac:dyDescent="0.25">
      <c r="A4542" s="3" t="s">
        <v>4553</v>
      </c>
      <c r="B4542" s="4">
        <v>0.52</v>
      </c>
      <c r="C4542" s="4">
        <v>-8.06</v>
      </c>
      <c r="D4542" s="4">
        <v>-1.41</v>
      </c>
      <c r="E4542" s="4">
        <v>-3.4301001168496659E-2</v>
      </c>
      <c r="F4542" s="3">
        <v>4540</v>
      </c>
      <c r="G4542" s="3">
        <v>4</v>
      </c>
      <c r="H4542" s="5">
        <v>9241831.4800000004</v>
      </c>
      <c r="I4542" s="5">
        <v>-31335168.52</v>
      </c>
      <c r="J4542" s="5">
        <v>0</v>
      </c>
      <c r="K4542" s="5">
        <v>40577000</v>
      </c>
      <c r="L4542" s="5">
        <v>1534000</v>
      </c>
      <c r="M4542" s="5">
        <v>-60262000</v>
      </c>
      <c r="N4542" s="5">
        <v>-93435000</v>
      </c>
    </row>
    <row r="4543" spans="1:14" x14ac:dyDescent="0.25">
      <c r="A4543" s="3" t="s">
        <v>4554</v>
      </c>
      <c r="B4543" s="4">
        <v>39.04</v>
      </c>
      <c r="C4543" s="4">
        <v>0.09</v>
      </c>
      <c r="D4543" s="4">
        <v>0.06</v>
      </c>
      <c r="E4543" s="4">
        <v>-3.4309964889962373E-2</v>
      </c>
      <c r="F4543" s="3">
        <v>4541</v>
      </c>
      <c r="G4543" s="3">
        <v>4</v>
      </c>
      <c r="H4543" s="5">
        <v>505625617.01999998</v>
      </c>
      <c r="I4543" s="5">
        <v>506070617.01999998</v>
      </c>
      <c r="J4543" s="5">
        <v>4849000</v>
      </c>
      <c r="K4543" s="5">
        <v>4404000</v>
      </c>
      <c r="L4543" s="5">
        <v>187025000</v>
      </c>
      <c r="M4543" s="5">
        <v>12963000</v>
      </c>
      <c r="N4543" s="5">
        <v>10498000</v>
      </c>
    </row>
    <row r="4544" spans="1:14" x14ac:dyDescent="0.25">
      <c r="A4544" s="3" t="s">
        <v>4555</v>
      </c>
      <c r="B4544" s="4">
        <v>40.6</v>
      </c>
      <c r="C4544" s="4">
        <v>0.42</v>
      </c>
      <c r="D4544" s="4">
        <v>0.1</v>
      </c>
      <c r="E4544" s="4">
        <v>-3.4314275840919312E-2</v>
      </c>
      <c r="F4544" s="3">
        <v>4542</v>
      </c>
      <c r="G4544" s="3">
        <v>4</v>
      </c>
      <c r="H4544" s="5">
        <v>64104480000</v>
      </c>
      <c r="I4544" s="5">
        <v>64792480000</v>
      </c>
      <c r="J4544" s="5">
        <v>2287000000</v>
      </c>
      <c r="K4544" s="5">
        <v>1599000000</v>
      </c>
      <c r="L4544" s="5">
        <v>6131000000</v>
      </c>
      <c r="M4544" s="5">
        <v>1596000000</v>
      </c>
      <c r="N4544" s="5">
        <v>1112000000</v>
      </c>
    </row>
    <row r="4545" spans="1:14" x14ac:dyDescent="0.25">
      <c r="A4545" s="3" t="s">
        <v>4556</v>
      </c>
      <c r="B4545" s="4">
        <v>39.1</v>
      </c>
      <c r="C4545" s="4">
        <v>0.09</v>
      </c>
      <c r="D4545" s="4">
        <v>0.02</v>
      </c>
      <c r="E4545" s="4">
        <v>-3.4354816230454853E-2</v>
      </c>
      <c r="F4545" s="3">
        <v>4543</v>
      </c>
      <c r="G4545" s="3">
        <v>4</v>
      </c>
      <c r="H4545" s="5">
        <v>491186100</v>
      </c>
      <c r="I4545" s="5">
        <v>519407100</v>
      </c>
      <c r="J4545" s="5">
        <v>32371000</v>
      </c>
      <c r="K4545" s="5">
        <v>4150000</v>
      </c>
      <c r="L4545" s="5">
        <v>822832000</v>
      </c>
      <c r="M4545" s="5">
        <v>13284000</v>
      </c>
      <c r="N4545" s="5">
        <v>5542000</v>
      </c>
    </row>
    <row r="4546" spans="1:14" x14ac:dyDescent="0.25">
      <c r="A4546" s="3" t="s">
        <v>4557</v>
      </c>
      <c r="B4546" s="4">
        <v>39.31</v>
      </c>
      <c r="C4546" s="4">
        <v>0.1</v>
      </c>
      <c r="D4546" s="4">
        <v>0.02</v>
      </c>
      <c r="E4546" s="4">
        <v>-3.4455895943079032E-2</v>
      </c>
      <c r="F4546" s="3">
        <v>4544</v>
      </c>
      <c r="G4546" s="3">
        <v>4</v>
      </c>
      <c r="H4546" s="5">
        <v>80605210.840000004</v>
      </c>
      <c r="I4546" s="5">
        <v>887292050.84000003</v>
      </c>
      <c r="J4546" s="5">
        <v>875860280</v>
      </c>
      <c r="K4546" s="5">
        <v>69173440</v>
      </c>
      <c r="L4546" s="5">
        <v>122128900</v>
      </c>
      <c r="M4546" s="5">
        <v>22573460</v>
      </c>
      <c r="N4546" s="5">
        <v>22649190</v>
      </c>
    </row>
    <row r="4547" spans="1:14" x14ac:dyDescent="0.25">
      <c r="A4547" s="3" t="s">
        <v>4558</v>
      </c>
      <c r="B4547" s="4">
        <v>39.200000000000003</v>
      </c>
      <c r="C4547" s="4">
        <v>7.0000000000000007E-2</v>
      </c>
      <c r="D4547" s="4">
        <v>0.05</v>
      </c>
      <c r="E4547" s="4">
        <v>-3.4468708421722033E-2</v>
      </c>
      <c r="F4547" s="3">
        <v>4545</v>
      </c>
      <c r="G4547" s="3">
        <v>4</v>
      </c>
      <c r="H4547" s="5">
        <v>72252485.200000003</v>
      </c>
      <c r="I4547" s="5">
        <v>67050125.200000003</v>
      </c>
      <c r="J4547" s="5">
        <v>0</v>
      </c>
      <c r="K4547" s="5">
        <v>5202360</v>
      </c>
      <c r="L4547" s="5">
        <v>20504380</v>
      </c>
      <c r="M4547" s="5">
        <v>1710580</v>
      </c>
      <c r="N4547" s="5">
        <v>1273410</v>
      </c>
    </row>
    <row r="4548" spans="1:14" x14ac:dyDescent="0.25">
      <c r="A4548" s="3" t="s">
        <v>4559</v>
      </c>
      <c r="B4548" s="4">
        <v>39.299999999999997</v>
      </c>
      <c r="C4548" s="4">
        <v>0.04</v>
      </c>
      <c r="D4548" s="4">
        <v>0.03</v>
      </c>
      <c r="E4548" s="4">
        <v>-3.4621139352891177E-2</v>
      </c>
      <c r="F4548" s="3">
        <v>4546</v>
      </c>
      <c r="G4548" s="3">
        <v>4</v>
      </c>
      <c r="H4548" s="5">
        <v>1561493981.6700001</v>
      </c>
      <c r="I4548" s="5">
        <v>1679732981.6700001</v>
      </c>
      <c r="J4548" s="5">
        <v>141750000</v>
      </c>
      <c r="K4548" s="5">
        <v>23511000</v>
      </c>
      <c r="L4548" s="5">
        <v>399208000</v>
      </c>
      <c r="M4548" s="5">
        <v>42742000</v>
      </c>
      <c r="N4548" s="5">
        <v>24127000</v>
      </c>
    </row>
    <row r="4549" spans="1:14" x14ac:dyDescent="0.25">
      <c r="A4549" s="3" t="s">
        <v>4560</v>
      </c>
      <c r="B4549" s="4">
        <v>37.85</v>
      </c>
      <c r="C4549" s="4">
        <v>-0.28999999999999998</v>
      </c>
      <c r="D4549" s="4">
        <v>-0.05</v>
      </c>
      <c r="E4549" s="4">
        <v>-3.4692625770912117E-2</v>
      </c>
      <c r="F4549" s="3">
        <v>4547</v>
      </c>
      <c r="G4549" s="3">
        <v>4</v>
      </c>
      <c r="H4549" s="5">
        <v>3203321517.1199999</v>
      </c>
      <c r="I4549" s="5">
        <v>3242577517.1199999</v>
      </c>
      <c r="J4549" s="5">
        <v>335307000</v>
      </c>
      <c r="K4549" s="5">
        <v>296051000</v>
      </c>
      <c r="L4549" s="5">
        <v>666776000</v>
      </c>
      <c r="M4549" s="5">
        <v>85664000</v>
      </c>
      <c r="N4549" s="5">
        <v>-52729000</v>
      </c>
    </row>
    <row r="4550" spans="1:14" x14ac:dyDescent="0.25">
      <c r="A4550" s="3" t="s">
        <v>4561</v>
      </c>
      <c r="B4550" s="4">
        <v>39.96</v>
      </c>
      <c r="C4550" s="4">
        <v>0.13</v>
      </c>
      <c r="D4550" s="4">
        <v>0.01</v>
      </c>
      <c r="E4550" s="4">
        <v>-3.4773442518923198E-2</v>
      </c>
      <c r="F4550" s="3">
        <v>4548</v>
      </c>
      <c r="G4550" s="3">
        <v>4</v>
      </c>
      <c r="H4550" s="5">
        <v>262801380000</v>
      </c>
      <c r="I4550" s="5">
        <v>913572380000</v>
      </c>
      <c r="J4550" s="5">
        <v>751721000000</v>
      </c>
      <c r="K4550" s="5">
        <v>100950000000</v>
      </c>
      <c r="L4550" s="5">
        <v>107285000000</v>
      </c>
      <c r="M4550" s="5">
        <v>22863000000</v>
      </c>
      <c r="N4550" s="5">
        <v>13390000000</v>
      </c>
    </row>
    <row r="4551" spans="1:14" x14ac:dyDescent="0.25">
      <c r="A4551" s="3" t="s">
        <v>4562</v>
      </c>
      <c r="B4551" s="4">
        <v>41.71</v>
      </c>
      <c r="C4551" s="4">
        <v>0.46</v>
      </c>
      <c r="D4551" s="4">
        <v>0.19</v>
      </c>
      <c r="E4551" s="4">
        <v>-3.4868342006039527E-2</v>
      </c>
      <c r="F4551" s="3">
        <v>4549</v>
      </c>
      <c r="G4551" s="3">
        <v>4</v>
      </c>
      <c r="H4551" s="5">
        <v>192718767837.75</v>
      </c>
      <c r="I4551" s="5">
        <v>196632767837.75</v>
      </c>
      <c r="J4551" s="5">
        <v>9807000000</v>
      </c>
      <c r="K4551" s="5">
        <v>5893000000</v>
      </c>
      <c r="L4551" s="5">
        <v>43978000000</v>
      </c>
      <c r="M4551" s="5">
        <v>4714000000</v>
      </c>
      <c r="N4551" s="5">
        <v>9856000000</v>
      </c>
    </row>
    <row r="4552" spans="1:14" x14ac:dyDescent="0.25">
      <c r="A4552" s="3" t="s">
        <v>4563</v>
      </c>
      <c r="B4552" s="4">
        <v>41.16</v>
      </c>
      <c r="C4552" s="4">
        <v>0.36</v>
      </c>
      <c r="D4552" s="4">
        <v>-0.08</v>
      </c>
      <c r="E4552" s="4">
        <v>-3.4868955480437502E-2</v>
      </c>
      <c r="F4552" s="3">
        <v>4550</v>
      </c>
      <c r="G4552" s="3">
        <v>4</v>
      </c>
      <c r="H4552" s="5">
        <v>573.53809999999999</v>
      </c>
      <c r="I4552" s="5">
        <v>125289573.5381</v>
      </c>
      <c r="J4552" s="5">
        <v>129151000</v>
      </c>
      <c r="K4552" s="5">
        <v>3862000</v>
      </c>
      <c r="L4552" s="5">
        <v>33252000</v>
      </c>
      <c r="M4552" s="5">
        <v>3044000</v>
      </c>
      <c r="N4552" s="5">
        <v>-2811000</v>
      </c>
    </row>
    <row r="4553" spans="1:14" x14ac:dyDescent="0.25">
      <c r="A4553" s="3" t="s">
        <v>4564</v>
      </c>
      <c r="B4553" s="4">
        <v>40.19</v>
      </c>
      <c r="C4553" s="4">
        <v>0.14000000000000001</v>
      </c>
      <c r="D4553" s="4">
        <v>7.0000000000000007E-2</v>
      </c>
      <c r="E4553" s="4">
        <v>-3.4875326483476479E-2</v>
      </c>
      <c r="F4553" s="3">
        <v>4551</v>
      </c>
      <c r="G4553" s="3">
        <v>4</v>
      </c>
      <c r="H4553" s="5">
        <v>38410539231.089996</v>
      </c>
      <c r="I4553" s="5">
        <v>40477810231.089996</v>
      </c>
      <c r="J4553" s="5">
        <v>2229374000</v>
      </c>
      <c r="K4553" s="5">
        <v>162103000</v>
      </c>
      <c r="L4553" s="5">
        <v>3857669000</v>
      </c>
      <c r="M4553" s="5">
        <v>1007286000</v>
      </c>
      <c r="N4553" s="5">
        <v>514109000</v>
      </c>
    </row>
    <row r="4554" spans="1:14" x14ac:dyDescent="0.25">
      <c r="A4554" s="3" t="s">
        <v>4565</v>
      </c>
      <c r="B4554" s="4">
        <v>0.02</v>
      </c>
      <c r="C4554" s="4">
        <v>-7.98</v>
      </c>
      <c r="D4554" s="4">
        <v>-7.39</v>
      </c>
      <c r="E4554" s="4">
        <v>-3.4913949920875632E-2</v>
      </c>
      <c r="F4554" s="3">
        <v>4552</v>
      </c>
      <c r="G4554" s="3">
        <v>4</v>
      </c>
      <c r="H4554" s="5">
        <v>861594.42</v>
      </c>
      <c r="I4554" s="5">
        <v>-657365.57999999996</v>
      </c>
      <c r="J4554" s="5">
        <v>0</v>
      </c>
      <c r="K4554" s="5">
        <v>1518960</v>
      </c>
      <c r="L4554" s="5">
        <v>68330</v>
      </c>
      <c r="M4554" s="5">
        <v>-35262480</v>
      </c>
      <c r="N4554" s="5">
        <v>-35007630</v>
      </c>
    </row>
    <row r="4555" spans="1:14" x14ac:dyDescent="0.25">
      <c r="A4555" s="3" t="s">
        <v>4566</v>
      </c>
      <c r="B4555" s="4">
        <v>-0.88</v>
      </c>
      <c r="C4555" s="4">
        <v>-8.59</v>
      </c>
      <c r="D4555" s="4">
        <v>-1.2</v>
      </c>
      <c r="E4555" s="4">
        <v>-3.4925363984544461E-2</v>
      </c>
      <c r="F4555" s="3">
        <v>4553</v>
      </c>
      <c r="G4555" s="3">
        <v>4</v>
      </c>
      <c r="H4555" s="5">
        <v>13677130.384</v>
      </c>
      <c r="I4555" s="5">
        <v>11864130.384</v>
      </c>
      <c r="J4555" s="5">
        <v>4346000</v>
      </c>
      <c r="K4555" s="5">
        <v>6159000</v>
      </c>
      <c r="L4555" s="5">
        <v>21501000</v>
      </c>
      <c r="M4555" s="5">
        <v>-13454000</v>
      </c>
      <c r="N4555" s="5">
        <v>-15939000</v>
      </c>
    </row>
    <row r="4556" spans="1:14" x14ac:dyDescent="0.25">
      <c r="A4556" s="3" t="s">
        <v>4567</v>
      </c>
      <c r="B4556" s="4">
        <v>-1.01</v>
      </c>
      <c r="C4556" s="4">
        <v>0.81</v>
      </c>
      <c r="D4556" s="4">
        <v>-142.44</v>
      </c>
      <c r="E4556" s="4">
        <v>-3.4930485097584833E-2</v>
      </c>
      <c r="F4556" s="3">
        <v>4554</v>
      </c>
      <c r="G4556" s="3">
        <v>4</v>
      </c>
      <c r="H4556" s="5">
        <v>40937.402999999998</v>
      </c>
      <c r="I4556" s="5">
        <v>952437.40300000005</v>
      </c>
      <c r="J4556" s="5">
        <v>917810</v>
      </c>
      <c r="K4556" s="5">
        <v>6310</v>
      </c>
      <c r="L4556" s="5">
        <v>243430</v>
      </c>
      <c r="M4556" s="5">
        <v>-946590</v>
      </c>
      <c r="N4556" s="5">
        <v>-3748950</v>
      </c>
    </row>
    <row r="4557" spans="1:14" x14ac:dyDescent="0.25">
      <c r="A4557" s="3" t="s">
        <v>4568</v>
      </c>
      <c r="B4557" s="4">
        <v>40.53</v>
      </c>
      <c r="C4557" s="4">
        <v>0.17</v>
      </c>
      <c r="D4557" s="4">
        <v>0.03</v>
      </c>
      <c r="E4557" s="4">
        <v>-3.5006794762443769E-2</v>
      </c>
      <c r="F4557" s="3">
        <v>4555</v>
      </c>
      <c r="G4557" s="3">
        <v>4</v>
      </c>
      <c r="H4557" s="5">
        <v>39478715.18</v>
      </c>
      <c r="I4557" s="5">
        <v>32141265.18</v>
      </c>
      <c r="J4557" s="5">
        <v>719440</v>
      </c>
      <c r="K4557" s="5">
        <v>8056890</v>
      </c>
      <c r="L4557" s="5">
        <v>82931840</v>
      </c>
      <c r="M4557" s="5">
        <v>792960</v>
      </c>
      <c r="N4557" s="5">
        <v>3305500</v>
      </c>
    </row>
    <row r="4558" spans="1:14" x14ac:dyDescent="0.25">
      <c r="A4558" s="3" t="s">
        <v>4569</v>
      </c>
      <c r="B4558" s="4">
        <v>-0.15</v>
      </c>
      <c r="C4558" s="4">
        <v>-8.34</v>
      </c>
      <c r="D4558" s="4">
        <v>-3.48</v>
      </c>
      <c r="E4558" s="4">
        <v>-3.5094653884741013E-2</v>
      </c>
      <c r="F4558" s="3">
        <v>4556</v>
      </c>
      <c r="G4558" s="3">
        <v>4</v>
      </c>
      <c r="H4558" s="5">
        <v>1321.304388</v>
      </c>
      <c r="I4558" s="5">
        <v>1009421.304388</v>
      </c>
      <c r="J4558" s="5">
        <v>1042020</v>
      </c>
      <c r="K4558" s="5">
        <v>33920</v>
      </c>
      <c r="L4558" s="5">
        <v>690</v>
      </c>
      <c r="M4558" s="5">
        <v>-6755880</v>
      </c>
      <c r="N4558" s="5">
        <v>-6233540</v>
      </c>
    </row>
    <row r="4559" spans="1:14" x14ac:dyDescent="0.25">
      <c r="A4559" s="3" t="s">
        <v>4570</v>
      </c>
      <c r="B4559" s="4">
        <v>0.55000000000000004</v>
      </c>
      <c r="C4559" s="4">
        <v>-8.41</v>
      </c>
      <c r="D4559" s="4">
        <v>-0.52</v>
      </c>
      <c r="E4559" s="4">
        <v>-3.5159161665695902E-2</v>
      </c>
      <c r="F4559" s="3">
        <v>4557</v>
      </c>
      <c r="G4559" s="3">
        <v>4</v>
      </c>
      <c r="H4559" s="5">
        <v>29152299.850000001</v>
      </c>
      <c r="I4559" s="5">
        <v>-36159700.149999999</v>
      </c>
      <c r="J4559" s="5">
        <v>12653000</v>
      </c>
      <c r="K4559" s="5">
        <v>77965000</v>
      </c>
      <c r="L4559" s="5">
        <v>0</v>
      </c>
      <c r="M4559" s="5">
        <v>-65615000</v>
      </c>
      <c r="N4559" s="5">
        <v>-47733000</v>
      </c>
    </row>
    <row r="4560" spans="1:14" x14ac:dyDescent="0.25">
      <c r="A4560" s="3" t="s">
        <v>4571</v>
      </c>
      <c r="B4560" s="4">
        <v>39.94</v>
      </c>
      <c r="C4560" s="4">
        <v>-0.03</v>
      </c>
      <c r="D4560" s="4">
        <v>-0.02</v>
      </c>
      <c r="E4560" s="4">
        <v>-3.5229148899492878E-2</v>
      </c>
      <c r="F4560" s="3">
        <v>4558</v>
      </c>
      <c r="G4560" s="3">
        <v>4</v>
      </c>
      <c r="H4560" s="5">
        <v>2740153446.21</v>
      </c>
      <c r="I4560" s="5">
        <v>3183453446.21</v>
      </c>
      <c r="J4560" s="5">
        <v>834800000</v>
      </c>
      <c r="K4560" s="5">
        <v>391500000</v>
      </c>
      <c r="L4560" s="5">
        <v>1074300000</v>
      </c>
      <c r="M4560" s="5">
        <v>79700000</v>
      </c>
      <c r="N4560" s="5">
        <v>-47800000</v>
      </c>
    </row>
    <row r="4561" spans="1:14" x14ac:dyDescent="0.25">
      <c r="A4561" s="3" t="s">
        <v>4572</v>
      </c>
      <c r="B4561" s="4">
        <v>40.58</v>
      </c>
      <c r="C4561" s="4">
        <v>0.08</v>
      </c>
      <c r="D4561" s="4">
        <v>0.01</v>
      </c>
      <c r="E4561" s="4">
        <v>-3.530164130721429E-2</v>
      </c>
      <c r="F4561" s="3">
        <v>4559</v>
      </c>
      <c r="G4561" s="3">
        <v>4</v>
      </c>
      <c r="H4561" s="5">
        <v>528410660</v>
      </c>
      <c r="I4561" s="5">
        <v>1225768660</v>
      </c>
      <c r="J4561" s="5">
        <v>716686000</v>
      </c>
      <c r="K4561" s="5">
        <v>19328000</v>
      </c>
      <c r="L4561" s="5">
        <v>219894000</v>
      </c>
      <c r="M4561" s="5">
        <v>30206000</v>
      </c>
      <c r="N4561" s="5">
        <v>19168000</v>
      </c>
    </row>
    <row r="4562" spans="1:14" x14ac:dyDescent="0.25">
      <c r="A4562" s="3" t="s">
        <v>4573</v>
      </c>
      <c r="B4562" s="4">
        <v>-6.27</v>
      </c>
      <c r="C4562" s="4">
        <v>-9.94</v>
      </c>
      <c r="D4562" s="4">
        <v>-0.35</v>
      </c>
      <c r="E4562" s="4">
        <v>-3.5326051801683557E-2</v>
      </c>
      <c r="F4562" s="3">
        <v>4560</v>
      </c>
      <c r="G4562" s="3">
        <v>4</v>
      </c>
      <c r="H4562" s="5">
        <v>603.87440000000004</v>
      </c>
      <c r="I4562" s="5">
        <v>92369603.874400005</v>
      </c>
      <c r="J4562" s="5">
        <v>98750000</v>
      </c>
      <c r="K4562" s="5">
        <v>6381000</v>
      </c>
      <c r="L4562" s="5">
        <v>120008000</v>
      </c>
      <c r="M4562" s="5">
        <v>-14733000</v>
      </c>
      <c r="N4562" s="5">
        <v>-56026000</v>
      </c>
    </row>
    <row r="4563" spans="1:14" x14ac:dyDescent="0.25">
      <c r="A4563" s="3" t="s">
        <v>4574</v>
      </c>
      <c r="B4563" s="4">
        <v>38.04</v>
      </c>
      <c r="C4563" s="4">
        <v>-0.48</v>
      </c>
      <c r="D4563" s="4">
        <v>-0.11</v>
      </c>
      <c r="E4563" s="4">
        <v>-3.5370773371896327E-2</v>
      </c>
      <c r="F4563" s="3">
        <v>4561</v>
      </c>
      <c r="G4563" s="3">
        <v>4</v>
      </c>
      <c r="H4563" s="5">
        <v>127196595.33</v>
      </c>
      <c r="I4563" s="5">
        <v>102145235.33</v>
      </c>
      <c r="J4563" s="5">
        <v>0</v>
      </c>
      <c r="K4563" s="5">
        <v>25051360</v>
      </c>
      <c r="L4563" s="5">
        <v>51896610</v>
      </c>
      <c r="M4563" s="5">
        <v>2685080</v>
      </c>
      <c r="N4563" s="5">
        <v>-8529840</v>
      </c>
    </row>
    <row r="4564" spans="1:14" x14ac:dyDescent="0.25">
      <c r="A4564" s="3" t="s">
        <v>4575</v>
      </c>
      <c r="B4564" s="4">
        <v>-2.37</v>
      </c>
      <c r="C4564" s="4">
        <v>-9.1300000000000008</v>
      </c>
      <c r="D4564" s="4">
        <v>-0.71</v>
      </c>
      <c r="E4564" s="4">
        <v>-3.5468904812162867E-2</v>
      </c>
      <c r="F4564" s="3">
        <v>4562</v>
      </c>
      <c r="G4564" s="3">
        <v>4</v>
      </c>
      <c r="H4564" s="5">
        <v>5473056.4699999997</v>
      </c>
      <c r="I4564" s="5">
        <v>19190616.469999999</v>
      </c>
      <c r="J4564" s="5">
        <v>14241250</v>
      </c>
      <c r="K4564" s="5">
        <v>523690</v>
      </c>
      <c r="L4564" s="5">
        <v>16592110</v>
      </c>
      <c r="M4564" s="5">
        <v>-8099710</v>
      </c>
      <c r="N4564" s="5">
        <v>-14264260</v>
      </c>
    </row>
    <row r="4565" spans="1:14" x14ac:dyDescent="0.25">
      <c r="A4565" s="3" t="s">
        <v>4576</v>
      </c>
      <c r="B4565" s="4">
        <v>0.2</v>
      </c>
      <c r="C4565" s="4">
        <v>-8.51</v>
      </c>
      <c r="D4565" s="4">
        <v>-1.8</v>
      </c>
      <c r="E4565" s="4">
        <v>-3.5478390938363517E-2</v>
      </c>
      <c r="F4565" s="3">
        <v>4563</v>
      </c>
      <c r="G4565" s="3">
        <v>4</v>
      </c>
      <c r="H4565" s="5">
        <v>4262.2559000000001</v>
      </c>
      <c r="I4565" s="5">
        <v>-16775737.744100001</v>
      </c>
      <c r="J4565" s="5">
        <v>21694000</v>
      </c>
      <c r="K4565" s="5">
        <v>38474000</v>
      </c>
      <c r="L4565" s="5">
        <v>1104000</v>
      </c>
      <c r="M4565" s="5">
        <v>-85267000</v>
      </c>
      <c r="N4565" s="5">
        <v>-90288000</v>
      </c>
    </row>
    <row r="4566" spans="1:14" x14ac:dyDescent="0.25">
      <c r="A4566" s="3" t="s">
        <v>4577</v>
      </c>
      <c r="B4566" s="4">
        <v>41</v>
      </c>
      <c r="C4566" s="4">
        <v>0.08</v>
      </c>
      <c r="D4566" s="4">
        <v>7.0000000000000007E-2</v>
      </c>
      <c r="E4566" s="4">
        <v>-3.5550013787026498E-2</v>
      </c>
      <c r="F4566" s="3">
        <v>4564</v>
      </c>
      <c r="G4566" s="3">
        <v>4</v>
      </c>
      <c r="H4566" s="5">
        <v>762206053.13999999</v>
      </c>
      <c r="I4566" s="5">
        <v>725702053.13999999</v>
      </c>
      <c r="J4566" s="5">
        <v>0</v>
      </c>
      <c r="K4566" s="5">
        <v>36504000</v>
      </c>
      <c r="L4566" s="5">
        <v>75189000</v>
      </c>
      <c r="M4566" s="5">
        <v>17698000</v>
      </c>
      <c r="N4566" s="5">
        <v>7003000</v>
      </c>
    </row>
    <row r="4567" spans="1:14" x14ac:dyDescent="0.25">
      <c r="A4567" s="3" t="s">
        <v>4578</v>
      </c>
      <c r="B4567" s="4">
        <v>41.14</v>
      </c>
      <c r="C4567" s="4">
        <v>0.11</v>
      </c>
      <c r="D4567" s="4">
        <v>0</v>
      </c>
      <c r="E4567" s="4">
        <v>-3.5563485031784747E-2</v>
      </c>
      <c r="F4567" s="3">
        <v>4565</v>
      </c>
      <c r="G4567" s="3">
        <v>4</v>
      </c>
      <c r="H4567" s="5">
        <v>16668100312.5</v>
      </c>
      <c r="I4567" s="5">
        <v>19993462312.5</v>
      </c>
      <c r="J4567" s="5">
        <v>3440478000</v>
      </c>
      <c r="K4567" s="5">
        <v>115116000</v>
      </c>
      <c r="L4567" s="5">
        <v>1734901000</v>
      </c>
      <c r="M4567" s="5">
        <v>486041000</v>
      </c>
      <c r="N4567" s="5">
        <v>8682000</v>
      </c>
    </row>
    <row r="4568" spans="1:14" x14ac:dyDescent="0.25">
      <c r="A4568" s="3" t="s">
        <v>4579</v>
      </c>
      <c r="B4568" s="4">
        <v>40.89</v>
      </c>
      <c r="C4568" s="4">
        <v>0.04</v>
      </c>
      <c r="D4568" s="4">
        <v>0</v>
      </c>
      <c r="E4568" s="4">
        <v>-3.5611010138459021E-2</v>
      </c>
      <c r="F4568" s="3">
        <v>4566</v>
      </c>
      <c r="G4568" s="3">
        <v>4</v>
      </c>
      <c r="H4568" s="5">
        <v>45798516750.199997</v>
      </c>
      <c r="I4568" s="5">
        <v>58182150750.199997</v>
      </c>
      <c r="J4568" s="5">
        <v>13656487000</v>
      </c>
      <c r="K4568" s="5">
        <v>1272853000</v>
      </c>
      <c r="L4568" s="5">
        <v>5416391000</v>
      </c>
      <c r="M4568" s="5">
        <v>1422950000</v>
      </c>
      <c r="N4568" s="5">
        <v>29370000</v>
      </c>
    </row>
    <row r="4569" spans="1:14" x14ac:dyDescent="0.25">
      <c r="A4569" s="3" t="s">
        <v>4580</v>
      </c>
      <c r="B4569" s="4">
        <v>40.659999999999997</v>
      </c>
      <c r="C4569" s="4">
        <v>-0.02</v>
      </c>
      <c r="D4569" s="4">
        <v>0</v>
      </c>
      <c r="E4569" s="4">
        <v>-3.564202004951298E-2</v>
      </c>
      <c r="F4569" s="3">
        <v>4567</v>
      </c>
      <c r="G4569" s="3">
        <v>4</v>
      </c>
      <c r="H4569" s="5">
        <v>555658148.15999997</v>
      </c>
      <c r="I4569" s="5">
        <v>1190056148.1600001</v>
      </c>
      <c r="J4569" s="5">
        <v>651390000</v>
      </c>
      <c r="K4569" s="5">
        <v>16992000</v>
      </c>
      <c r="L4569" s="5">
        <v>304326000</v>
      </c>
      <c r="M4569" s="5">
        <v>29267000</v>
      </c>
      <c r="N4569" s="5">
        <v>-2059000</v>
      </c>
    </row>
    <row r="4570" spans="1:14" x14ac:dyDescent="0.25">
      <c r="A4570" s="3" t="s">
        <v>4581</v>
      </c>
      <c r="B4570" s="4">
        <v>-11.2</v>
      </c>
      <c r="C4570" s="4">
        <v>-11.13</v>
      </c>
      <c r="D4570" s="4">
        <v>-0.6</v>
      </c>
      <c r="E4570" s="4">
        <v>-3.5761338292182511E-2</v>
      </c>
      <c r="F4570" s="3">
        <v>4568</v>
      </c>
      <c r="G4570" s="3">
        <v>4</v>
      </c>
      <c r="H4570" s="5">
        <v>16012908.48</v>
      </c>
      <c r="I4570" s="5">
        <v>15220858.48</v>
      </c>
      <c r="J4570" s="5">
        <v>0</v>
      </c>
      <c r="K4570" s="5">
        <v>792050</v>
      </c>
      <c r="L4570" s="5">
        <v>5718970</v>
      </c>
      <c r="M4570" s="5">
        <v>-1358570</v>
      </c>
      <c r="N4570" s="5">
        <v>-1780560</v>
      </c>
    </row>
    <row r="4571" spans="1:14" x14ac:dyDescent="0.25">
      <c r="A4571" s="3" t="s">
        <v>4582</v>
      </c>
      <c r="B4571" s="4">
        <v>41.31</v>
      </c>
      <c r="C4571" s="4">
        <v>0.04</v>
      </c>
      <c r="D4571" s="4">
        <v>0.04</v>
      </c>
      <c r="E4571" s="4">
        <v>-3.5863240671426252E-2</v>
      </c>
      <c r="F4571" s="3">
        <v>4569</v>
      </c>
      <c r="G4571" s="3">
        <v>4</v>
      </c>
      <c r="H4571" s="5">
        <v>2220824091.3800001</v>
      </c>
      <c r="I4571" s="5">
        <v>2169852091.3800001</v>
      </c>
      <c r="J4571" s="5">
        <v>0</v>
      </c>
      <c r="K4571" s="5">
        <v>50972000</v>
      </c>
      <c r="L4571" s="5">
        <v>418973000</v>
      </c>
      <c r="M4571" s="5">
        <v>52532000</v>
      </c>
      <c r="N4571" s="5">
        <v>32234000</v>
      </c>
    </row>
    <row r="4572" spans="1:14" x14ac:dyDescent="0.25">
      <c r="A4572" s="3" t="s">
        <v>4583</v>
      </c>
      <c r="B4572" s="4">
        <v>0.34</v>
      </c>
      <c r="C4572" s="4">
        <v>-8.58</v>
      </c>
      <c r="D4572" s="4">
        <v>-2.4900000000000002</v>
      </c>
      <c r="E4572" s="4">
        <v>-3.5900397901071711E-2</v>
      </c>
      <c r="F4572" s="3">
        <v>4570</v>
      </c>
      <c r="G4572" s="3">
        <v>4</v>
      </c>
      <c r="H4572" s="5">
        <v>11.374359999999999</v>
      </c>
      <c r="I4572" s="5">
        <v>-1524988.62564</v>
      </c>
      <c r="J4572" s="5">
        <v>0</v>
      </c>
      <c r="K4572" s="5">
        <v>1525000</v>
      </c>
      <c r="L4572" s="5">
        <v>1566000</v>
      </c>
      <c r="M4572" s="5">
        <v>-4543000</v>
      </c>
      <c r="N4572" s="5">
        <v>-5303000</v>
      </c>
    </row>
    <row r="4573" spans="1:14" x14ac:dyDescent="0.25">
      <c r="A4573" s="3" t="s">
        <v>4584</v>
      </c>
      <c r="B4573" s="4">
        <v>42.47</v>
      </c>
      <c r="C4573" s="4">
        <v>0.23</v>
      </c>
      <c r="D4573" s="4">
        <v>7.0000000000000007E-2</v>
      </c>
      <c r="E4573" s="4">
        <v>-3.6026422919280023E-2</v>
      </c>
      <c r="F4573" s="3">
        <v>4571</v>
      </c>
      <c r="G4573" s="3">
        <v>4</v>
      </c>
      <c r="H4573" s="5">
        <v>14720027631.84</v>
      </c>
      <c r="I4573" s="5">
        <v>16044106631.84</v>
      </c>
      <c r="J4573" s="5">
        <v>1388088000</v>
      </c>
      <c r="K4573" s="5">
        <v>64009000</v>
      </c>
      <c r="L4573" s="5">
        <v>1353095000</v>
      </c>
      <c r="M4573" s="5">
        <v>377769000</v>
      </c>
      <c r="N4573" s="5">
        <v>234787000</v>
      </c>
    </row>
    <row r="4574" spans="1:14" x14ac:dyDescent="0.25">
      <c r="A4574" s="3" t="s">
        <v>4585</v>
      </c>
      <c r="B4574" s="4">
        <v>41.28</v>
      </c>
      <c r="C4574" s="4">
        <v>-0.02</v>
      </c>
      <c r="D4574" s="4">
        <v>-0.01</v>
      </c>
      <c r="E4574" s="4">
        <v>-3.6027679829309288E-2</v>
      </c>
      <c r="F4574" s="3">
        <v>4572</v>
      </c>
      <c r="G4574" s="3">
        <v>4</v>
      </c>
      <c r="H4574" s="5">
        <v>7246023974.5</v>
      </c>
      <c r="I4574" s="5">
        <v>7757223974.5</v>
      </c>
      <c r="J4574" s="5">
        <v>686400000</v>
      </c>
      <c r="K4574" s="5">
        <v>175200000</v>
      </c>
      <c r="L4574" s="5">
        <v>860800000</v>
      </c>
      <c r="M4574" s="5">
        <v>187900000</v>
      </c>
      <c r="N4574" s="5">
        <v>-36100000</v>
      </c>
    </row>
    <row r="4575" spans="1:14" x14ac:dyDescent="0.25">
      <c r="A4575" s="3" t="s">
        <v>4586</v>
      </c>
      <c r="B4575" s="4">
        <v>41.81</v>
      </c>
      <c r="C4575" s="4">
        <v>0.09</v>
      </c>
      <c r="D4575" s="4">
        <v>0.03</v>
      </c>
      <c r="E4575" s="4">
        <v>-3.6030161947785341E-2</v>
      </c>
      <c r="F4575" s="3">
        <v>4573</v>
      </c>
      <c r="G4575" s="3">
        <v>4</v>
      </c>
      <c r="H4575" s="5">
        <v>137267180.40000001</v>
      </c>
      <c r="I4575" s="5">
        <v>144393100.40000001</v>
      </c>
      <c r="J4575" s="5">
        <v>7236260</v>
      </c>
      <c r="K4575" s="5">
        <v>110340</v>
      </c>
      <c r="L4575" s="5">
        <v>12682330</v>
      </c>
      <c r="M4575" s="5">
        <v>3453580</v>
      </c>
      <c r="N4575" s="5">
        <v>944630</v>
      </c>
    </row>
    <row r="4576" spans="1:14" x14ac:dyDescent="0.25">
      <c r="A4576" s="3" t="s">
        <v>4587</v>
      </c>
      <c r="B4576" s="4">
        <v>10.67</v>
      </c>
      <c r="C4576" s="4">
        <v>-6.62</v>
      </c>
      <c r="D4576" s="4">
        <v>0.12</v>
      </c>
      <c r="E4576" s="4">
        <v>-3.6127224474589922E-2</v>
      </c>
      <c r="F4576" s="3">
        <v>4574</v>
      </c>
      <c r="G4576" s="3">
        <v>4</v>
      </c>
      <c r="H4576" s="5">
        <v>4486644226.7799997</v>
      </c>
      <c r="I4576" s="5">
        <v>6214993226.7799997</v>
      </c>
      <c r="J4576" s="5">
        <v>1768526000</v>
      </c>
      <c r="K4576" s="5">
        <v>40177000</v>
      </c>
      <c r="L4576" s="5">
        <v>1584839000</v>
      </c>
      <c r="M4576" s="5">
        <v>582484000</v>
      </c>
      <c r="N4576" s="5">
        <v>299665000</v>
      </c>
    </row>
    <row r="4577" spans="1:14" x14ac:dyDescent="0.25">
      <c r="A4577" s="3" t="s">
        <v>4588</v>
      </c>
      <c r="B4577" s="4">
        <v>-10.09</v>
      </c>
      <c r="C4577" s="4">
        <v>-10.88</v>
      </c>
      <c r="D4577" s="4">
        <v>-2.82</v>
      </c>
      <c r="E4577" s="4">
        <v>-3.6154243849402967E-2</v>
      </c>
      <c r="F4577" s="3">
        <v>4575</v>
      </c>
      <c r="G4577" s="3">
        <v>4</v>
      </c>
      <c r="H4577" s="5">
        <v>8437969.4879999999</v>
      </c>
      <c r="I4577" s="5">
        <v>8416339.4879999999</v>
      </c>
      <c r="J4577" s="5">
        <v>5580</v>
      </c>
      <c r="K4577" s="5">
        <v>27210</v>
      </c>
      <c r="L4577" s="5">
        <v>60290</v>
      </c>
      <c r="M4577" s="5">
        <v>-833900</v>
      </c>
      <c r="N4577" s="5">
        <v>-1171500</v>
      </c>
    </row>
    <row r="4578" spans="1:14" x14ac:dyDescent="0.25">
      <c r="A4578" s="3" t="s">
        <v>4589</v>
      </c>
      <c r="B4578" s="4">
        <v>41.21</v>
      </c>
      <c r="C4578" s="4">
        <v>-0.1</v>
      </c>
      <c r="D4578" s="4">
        <v>-7.0000000000000007E-2</v>
      </c>
      <c r="E4578" s="4">
        <v>-3.6227078405010459E-2</v>
      </c>
      <c r="F4578" s="3">
        <v>4576</v>
      </c>
      <c r="G4578" s="3">
        <v>4</v>
      </c>
      <c r="H4578" s="5">
        <v>102201695.81999999</v>
      </c>
      <c r="I4578" s="5">
        <v>91405695.819999993</v>
      </c>
      <c r="J4578" s="5">
        <v>290000</v>
      </c>
      <c r="K4578" s="5">
        <v>11086000</v>
      </c>
      <c r="L4578" s="5">
        <v>101214000</v>
      </c>
      <c r="M4578" s="5">
        <v>2218000</v>
      </c>
      <c r="N4578" s="5">
        <v>-8486000</v>
      </c>
    </row>
    <row r="4579" spans="1:14" x14ac:dyDescent="0.25">
      <c r="A4579" s="3" t="s">
        <v>4590</v>
      </c>
      <c r="B4579" s="4">
        <v>-13.56</v>
      </c>
      <c r="C4579" s="4">
        <v>-11.74</v>
      </c>
      <c r="D4579" s="4">
        <v>-1.58</v>
      </c>
      <c r="E4579" s="4">
        <v>-3.6252240380149743E-2</v>
      </c>
      <c r="F4579" s="3">
        <v>4577</v>
      </c>
      <c r="G4579" s="3">
        <v>4</v>
      </c>
      <c r="H4579" s="5">
        <v>18221805.272325002</v>
      </c>
      <c r="I4579" s="5">
        <v>22658935.272325002</v>
      </c>
      <c r="J4579" s="5">
        <v>4604420</v>
      </c>
      <c r="K4579" s="5">
        <v>167290</v>
      </c>
      <c r="L4579" s="5">
        <v>9011080</v>
      </c>
      <c r="M4579" s="5">
        <v>-1671100</v>
      </c>
      <c r="N4579" s="5">
        <v>-9798080</v>
      </c>
    </row>
    <row r="4580" spans="1:14" x14ac:dyDescent="0.25">
      <c r="A4580" s="3" t="s">
        <v>4591</v>
      </c>
      <c r="B4580" s="4">
        <v>41.3</v>
      </c>
      <c r="C4580" s="4">
        <v>-0.09</v>
      </c>
      <c r="D4580" s="4">
        <v>-0.08</v>
      </c>
      <c r="E4580" s="4">
        <v>-3.6255816675847201E-2</v>
      </c>
      <c r="F4580" s="3">
        <v>4578</v>
      </c>
      <c r="G4580" s="3">
        <v>4</v>
      </c>
      <c r="H4580" s="5">
        <v>3755461706.0999999</v>
      </c>
      <c r="I4580" s="5">
        <v>3135421706.0999999</v>
      </c>
      <c r="J4580" s="5">
        <v>0</v>
      </c>
      <c r="K4580" s="5">
        <v>620040000</v>
      </c>
      <c r="L4580" s="5">
        <v>977134000</v>
      </c>
      <c r="M4580" s="5">
        <v>75920000</v>
      </c>
      <c r="N4580" s="5">
        <v>-181526000</v>
      </c>
    </row>
    <row r="4581" spans="1:14" x14ac:dyDescent="0.25">
      <c r="A4581" s="3" t="s">
        <v>4592</v>
      </c>
      <c r="B4581" s="4">
        <v>40.770000000000003</v>
      </c>
      <c r="C4581" s="4">
        <v>-0.24</v>
      </c>
      <c r="D4581" s="4">
        <v>-0.13</v>
      </c>
      <c r="E4581" s="4">
        <v>-3.6370838012006503E-2</v>
      </c>
      <c r="F4581" s="3">
        <v>4579</v>
      </c>
      <c r="G4581" s="3">
        <v>4</v>
      </c>
      <c r="H4581" s="5">
        <v>67063250.159999996</v>
      </c>
      <c r="I4581" s="5">
        <v>68200250.159999996</v>
      </c>
      <c r="J4581" s="5">
        <v>2522000</v>
      </c>
      <c r="K4581" s="5">
        <v>1385000</v>
      </c>
      <c r="L4581" s="5">
        <v>74154000</v>
      </c>
      <c r="M4581" s="5">
        <v>1673000</v>
      </c>
      <c r="N4581" s="5">
        <v>-4119000</v>
      </c>
    </row>
    <row r="4582" spans="1:14" x14ac:dyDescent="0.25">
      <c r="A4582" s="3" t="s">
        <v>4593</v>
      </c>
      <c r="B4582" s="4">
        <v>42.89</v>
      </c>
      <c r="C4582" s="4">
        <v>0.19</v>
      </c>
      <c r="D4582" s="4">
        <v>0.15</v>
      </c>
      <c r="E4582" s="4">
        <v>-3.6386511773995059E-2</v>
      </c>
      <c r="F4582" s="3">
        <v>4580</v>
      </c>
      <c r="G4582" s="3">
        <v>4</v>
      </c>
      <c r="H4582" s="5">
        <v>29378151559.77</v>
      </c>
      <c r="I4582" s="5">
        <v>28824797559.77</v>
      </c>
      <c r="J4582" s="5">
        <v>0</v>
      </c>
      <c r="K4582" s="5">
        <v>553354000</v>
      </c>
      <c r="L4582" s="5">
        <v>2819880000</v>
      </c>
      <c r="M4582" s="5">
        <v>672004000</v>
      </c>
      <c r="N4582" s="5">
        <v>542372000</v>
      </c>
    </row>
    <row r="4583" spans="1:14" x14ac:dyDescent="0.25">
      <c r="A4583" s="3" t="s">
        <v>4594</v>
      </c>
      <c r="B4583" s="4">
        <v>-0.18</v>
      </c>
      <c r="C4583" s="4">
        <v>-8.92</v>
      </c>
      <c r="D4583" s="4">
        <v>-1.61</v>
      </c>
      <c r="E4583" s="4">
        <v>-3.6391187504494743E-2</v>
      </c>
      <c r="F4583" s="3">
        <v>4581</v>
      </c>
      <c r="G4583" s="3">
        <v>4</v>
      </c>
      <c r="H4583" s="5">
        <v>621061.33959999995</v>
      </c>
      <c r="I4583" s="5">
        <v>98614061.339599997</v>
      </c>
      <c r="J4583" s="5">
        <v>202295000</v>
      </c>
      <c r="K4583" s="5">
        <v>104302000</v>
      </c>
      <c r="L4583" s="5">
        <v>68862000</v>
      </c>
      <c r="M4583" s="5">
        <v>-533681000</v>
      </c>
      <c r="N4583" s="5">
        <v>-958229000</v>
      </c>
    </row>
    <row r="4584" spans="1:14" x14ac:dyDescent="0.25">
      <c r="A4584" s="3" t="s">
        <v>4595</v>
      </c>
      <c r="B4584" s="4">
        <v>42.66</v>
      </c>
      <c r="C4584" s="4">
        <v>0.13</v>
      </c>
      <c r="D4584" s="4">
        <v>0.06</v>
      </c>
      <c r="E4584" s="4">
        <v>-3.643488292424657E-2</v>
      </c>
      <c r="F4584" s="3">
        <v>4582</v>
      </c>
      <c r="G4584" s="3">
        <v>4</v>
      </c>
      <c r="H4584" s="5">
        <v>23322574851.299999</v>
      </c>
      <c r="I4584" s="5">
        <v>21953111851.299999</v>
      </c>
      <c r="J4584" s="5">
        <v>0</v>
      </c>
      <c r="K4584" s="5">
        <v>1369463000</v>
      </c>
      <c r="L4584" s="5">
        <v>2444831000</v>
      </c>
      <c r="M4584" s="5">
        <v>514657000</v>
      </c>
      <c r="N4584" s="5">
        <v>393076000</v>
      </c>
    </row>
    <row r="4585" spans="1:14" x14ac:dyDescent="0.25">
      <c r="A4585" s="3" t="s">
        <v>4596</v>
      </c>
      <c r="B4585" s="4">
        <v>41.86</v>
      </c>
      <c r="C4585" s="4">
        <v>-0.06</v>
      </c>
      <c r="D4585" s="4">
        <v>-0.02</v>
      </c>
      <c r="E4585" s="4">
        <v>-3.6504157214375117E-2</v>
      </c>
      <c r="F4585" s="3">
        <v>4583</v>
      </c>
      <c r="G4585" s="3">
        <v>4</v>
      </c>
      <c r="H4585" s="5">
        <v>623885890.5</v>
      </c>
      <c r="I4585" s="5">
        <v>512056890.5</v>
      </c>
      <c r="J4585" s="5">
        <v>890000</v>
      </c>
      <c r="K4585" s="5">
        <v>112719000</v>
      </c>
      <c r="L4585" s="5">
        <v>350632000</v>
      </c>
      <c r="M4585" s="5">
        <v>12232000</v>
      </c>
      <c r="N4585" s="5">
        <v>-12051000</v>
      </c>
    </row>
    <row r="4586" spans="1:14" x14ac:dyDescent="0.25">
      <c r="A4586" s="3" t="s">
        <v>4597</v>
      </c>
      <c r="B4586" s="4">
        <v>55.52</v>
      </c>
      <c r="C4586" s="4">
        <v>2.84</v>
      </c>
      <c r="D4586" s="4">
        <v>0.04</v>
      </c>
      <c r="E4586" s="4">
        <v>-3.6567892002925068E-2</v>
      </c>
      <c r="F4586" s="3">
        <v>4584</v>
      </c>
      <c r="G4586" s="3">
        <v>4</v>
      </c>
      <c r="H4586" s="5">
        <v>5274906704.5</v>
      </c>
      <c r="I4586" s="5">
        <v>5656803704.5</v>
      </c>
      <c r="J4586" s="5">
        <v>442746000</v>
      </c>
      <c r="K4586" s="5">
        <v>60849000</v>
      </c>
      <c r="L4586" s="5">
        <v>556607000</v>
      </c>
      <c r="M4586" s="5">
        <v>101890000</v>
      </c>
      <c r="N4586" s="5">
        <v>33247000</v>
      </c>
    </row>
    <row r="4587" spans="1:14" x14ac:dyDescent="0.25">
      <c r="A4587" s="3" t="s">
        <v>4598</v>
      </c>
      <c r="B4587" s="4">
        <v>42.15</v>
      </c>
      <c r="C4587" s="4">
        <v>-0.02</v>
      </c>
      <c r="D4587" s="4">
        <v>-0.02</v>
      </c>
      <c r="E4587" s="4">
        <v>-3.6568069751532539E-2</v>
      </c>
      <c r="F4587" s="3">
        <v>4585</v>
      </c>
      <c r="G4587" s="3">
        <v>4</v>
      </c>
      <c r="H4587" s="5">
        <v>271089380.35000002</v>
      </c>
      <c r="I4587" s="5">
        <v>282395380.35000002</v>
      </c>
      <c r="J4587" s="5">
        <v>24822000</v>
      </c>
      <c r="K4587" s="5">
        <v>13516000</v>
      </c>
      <c r="L4587" s="5">
        <v>108959000</v>
      </c>
      <c r="M4587" s="5">
        <v>6699000</v>
      </c>
      <c r="N4587" s="5">
        <v>-5109000</v>
      </c>
    </row>
    <row r="4588" spans="1:14" x14ac:dyDescent="0.25">
      <c r="A4588" s="3" t="s">
        <v>4599</v>
      </c>
      <c r="B4588" s="4">
        <v>41.83</v>
      </c>
      <c r="C4588" s="4">
        <v>-0.12</v>
      </c>
      <c r="D4588" s="4">
        <v>-7.0000000000000007E-2</v>
      </c>
      <c r="E4588" s="4">
        <v>-3.6668596372258173E-2</v>
      </c>
      <c r="F4588" s="3">
        <v>4586</v>
      </c>
      <c r="G4588" s="3">
        <v>4</v>
      </c>
      <c r="H4588" s="5">
        <v>513136765.44</v>
      </c>
      <c r="I4588" s="5">
        <v>689627765.44000006</v>
      </c>
      <c r="J4588" s="5">
        <v>268053000</v>
      </c>
      <c r="K4588" s="5">
        <v>91562000</v>
      </c>
      <c r="L4588" s="5">
        <v>415865000</v>
      </c>
      <c r="M4588" s="5">
        <v>16486000</v>
      </c>
      <c r="N4588" s="5">
        <v>-83070000</v>
      </c>
    </row>
    <row r="4589" spans="1:14" x14ac:dyDescent="0.25">
      <c r="A4589" s="3" t="s">
        <v>4600</v>
      </c>
      <c r="B4589" s="4">
        <v>44.13</v>
      </c>
      <c r="C4589" s="4">
        <v>0.23</v>
      </c>
      <c r="D4589" s="4">
        <v>0.2</v>
      </c>
      <c r="E4589" s="4">
        <v>-3.7028753719487287E-2</v>
      </c>
      <c r="F4589" s="3">
        <v>4587</v>
      </c>
      <c r="G4589" s="3">
        <v>4</v>
      </c>
      <c r="H4589" s="5">
        <v>457516672</v>
      </c>
      <c r="I4589" s="5">
        <v>458142512</v>
      </c>
      <c r="J4589" s="5">
        <v>1732740</v>
      </c>
      <c r="K4589" s="5">
        <v>1106900</v>
      </c>
      <c r="L4589" s="5">
        <v>25765370</v>
      </c>
      <c r="M4589" s="5">
        <v>10380650</v>
      </c>
      <c r="N4589" s="5">
        <v>8836690</v>
      </c>
    </row>
    <row r="4590" spans="1:14" x14ac:dyDescent="0.25">
      <c r="A4590" s="3" t="s">
        <v>4601</v>
      </c>
      <c r="B4590" s="4">
        <v>47.13</v>
      </c>
      <c r="C4590" s="4">
        <v>0.86</v>
      </c>
      <c r="D4590" s="4">
        <v>0.37</v>
      </c>
      <c r="E4590" s="4">
        <v>-3.7032424734882073E-2</v>
      </c>
      <c r="F4590" s="3">
        <v>4588</v>
      </c>
      <c r="G4590" s="3">
        <v>4</v>
      </c>
      <c r="H4590" s="5">
        <v>55878000</v>
      </c>
      <c r="I4590" s="5">
        <v>54754980</v>
      </c>
      <c r="J4590" s="5">
        <v>0</v>
      </c>
      <c r="K4590" s="5">
        <v>1123020</v>
      </c>
      <c r="L4590" s="5">
        <v>4368510</v>
      </c>
      <c r="M4590" s="5">
        <v>1161700</v>
      </c>
      <c r="N4590" s="5">
        <v>992830</v>
      </c>
    </row>
    <row r="4591" spans="1:14" x14ac:dyDescent="0.25">
      <c r="A4591" s="3" t="s">
        <v>4602</v>
      </c>
      <c r="B4591" s="4">
        <v>43.37</v>
      </c>
      <c r="C4591" s="4">
        <v>7.0000000000000007E-2</v>
      </c>
      <c r="D4591" s="4">
        <v>0.04</v>
      </c>
      <c r="E4591" s="4">
        <v>-3.7051536223980837E-2</v>
      </c>
      <c r="F4591" s="3">
        <v>4589</v>
      </c>
      <c r="G4591" s="3">
        <v>4</v>
      </c>
      <c r="H4591" s="5">
        <v>1307000407.24</v>
      </c>
      <c r="I4591" s="5">
        <v>981724407.24000001</v>
      </c>
      <c r="J4591" s="5">
        <v>0</v>
      </c>
      <c r="K4591" s="5">
        <v>325276000</v>
      </c>
      <c r="L4591" s="5">
        <v>417006000</v>
      </c>
      <c r="M4591" s="5">
        <v>22634000</v>
      </c>
      <c r="N4591" s="5">
        <v>27012000</v>
      </c>
    </row>
    <row r="4592" spans="1:14" x14ac:dyDescent="0.25">
      <c r="A4592" s="3" t="s">
        <v>4603</v>
      </c>
      <c r="B4592" s="4">
        <v>44.38</v>
      </c>
      <c r="C4592" s="4">
        <v>0.25</v>
      </c>
      <c r="D4592" s="4">
        <v>0.11</v>
      </c>
      <c r="E4592" s="4">
        <v>-3.7143057887082873E-2</v>
      </c>
      <c r="F4592" s="3">
        <v>4590</v>
      </c>
      <c r="G4592" s="3">
        <v>4</v>
      </c>
      <c r="H4592" s="5">
        <v>82949465273.220001</v>
      </c>
      <c r="I4592" s="5">
        <v>85700465273.220001</v>
      </c>
      <c r="J4592" s="5">
        <v>3315000000</v>
      </c>
      <c r="K4592" s="5">
        <v>564000000</v>
      </c>
      <c r="L4592" s="5">
        <v>7430000000</v>
      </c>
      <c r="M4592" s="5">
        <v>1931000000</v>
      </c>
      <c r="N4592" s="5">
        <v>1155000000</v>
      </c>
    </row>
    <row r="4593" spans="1:14" x14ac:dyDescent="0.25">
      <c r="A4593" s="3" t="s">
        <v>4604</v>
      </c>
      <c r="B4593" s="4">
        <v>45.99</v>
      </c>
      <c r="C4593" s="4">
        <v>0.56000000000000005</v>
      </c>
      <c r="D4593" s="4">
        <v>0.27</v>
      </c>
      <c r="E4593" s="4">
        <v>-3.7212953761624062E-2</v>
      </c>
      <c r="F4593" s="3">
        <v>4591</v>
      </c>
      <c r="G4593" s="3">
        <v>4</v>
      </c>
      <c r="H4593" s="5">
        <v>57509726379.300003</v>
      </c>
      <c r="I4593" s="5">
        <v>58089033379.300003</v>
      </c>
      <c r="J4593" s="5">
        <v>867573000</v>
      </c>
      <c r="K4593" s="5">
        <v>288266000</v>
      </c>
      <c r="L4593" s="5">
        <v>3897504000</v>
      </c>
      <c r="M4593" s="5">
        <v>1263023000</v>
      </c>
      <c r="N4593" s="5">
        <v>887867000</v>
      </c>
    </row>
    <row r="4594" spans="1:14" x14ac:dyDescent="0.25">
      <c r="A4594" s="3" t="s">
        <v>4605</v>
      </c>
      <c r="B4594" s="4">
        <v>42.72</v>
      </c>
      <c r="C4594" s="4">
        <v>-0.16</v>
      </c>
      <c r="D4594" s="4">
        <v>0.15</v>
      </c>
      <c r="E4594" s="4">
        <v>-3.7292571522650773E-2</v>
      </c>
      <c r="F4594" s="3">
        <v>4592</v>
      </c>
      <c r="G4594" s="3">
        <v>4</v>
      </c>
      <c r="H4594" s="5">
        <v>7060241708.5200005</v>
      </c>
      <c r="I4594" s="5">
        <v>7950532708.5200005</v>
      </c>
      <c r="J4594" s="5">
        <v>1206201000</v>
      </c>
      <c r="K4594" s="5">
        <v>315910000</v>
      </c>
      <c r="L4594" s="5">
        <v>625807000</v>
      </c>
      <c r="M4594" s="5">
        <v>186107000</v>
      </c>
      <c r="N4594" s="5">
        <v>108717000</v>
      </c>
    </row>
    <row r="4595" spans="1:14" x14ac:dyDescent="0.25">
      <c r="A4595" s="3" t="s">
        <v>4606</v>
      </c>
      <c r="B4595" s="4">
        <v>-1.47</v>
      </c>
      <c r="C4595" s="4">
        <v>-9.49</v>
      </c>
      <c r="D4595" s="4">
        <v>-2.13</v>
      </c>
      <c r="E4595" s="4">
        <v>-3.734002495142616E-2</v>
      </c>
      <c r="F4595" s="3">
        <v>4593</v>
      </c>
      <c r="G4595" s="3">
        <v>4</v>
      </c>
      <c r="H4595" s="5">
        <v>14008808.880000001</v>
      </c>
      <c r="I4595" s="5">
        <v>11637808.880000001</v>
      </c>
      <c r="J4595" s="5">
        <v>0</v>
      </c>
      <c r="K4595" s="5">
        <v>2371000</v>
      </c>
      <c r="L4595" s="5">
        <v>58000</v>
      </c>
      <c r="M4595" s="5">
        <v>-7934000</v>
      </c>
      <c r="N4595" s="5">
        <v>-7946000</v>
      </c>
    </row>
    <row r="4596" spans="1:14" x14ac:dyDescent="0.25">
      <c r="A4596" s="3" t="s">
        <v>4607</v>
      </c>
      <c r="B4596" s="4">
        <v>43.88</v>
      </c>
      <c r="C4596" s="4">
        <v>7.0000000000000007E-2</v>
      </c>
      <c r="D4596" s="4">
        <v>0.01</v>
      </c>
      <c r="E4596" s="4">
        <v>-3.7372972794264298E-2</v>
      </c>
      <c r="F4596" s="3">
        <v>4594</v>
      </c>
      <c r="G4596" s="3">
        <v>4</v>
      </c>
      <c r="H4596" s="5">
        <v>9140652082.5599995</v>
      </c>
      <c r="I4596" s="5">
        <v>9466917082.5599995</v>
      </c>
      <c r="J4596" s="5">
        <v>619619000</v>
      </c>
      <c r="K4596" s="5">
        <v>293354000</v>
      </c>
      <c r="L4596" s="5">
        <v>1281015000</v>
      </c>
      <c r="M4596" s="5">
        <v>215747000</v>
      </c>
      <c r="N4596" s="5">
        <v>35258000</v>
      </c>
    </row>
    <row r="4597" spans="1:14" x14ac:dyDescent="0.25">
      <c r="A4597" s="3" t="s">
        <v>4608</v>
      </c>
      <c r="B4597" s="4">
        <v>-8.0500000000000007</v>
      </c>
      <c r="C4597" s="4">
        <v>-10.95</v>
      </c>
      <c r="D4597" s="4">
        <v>-1.6</v>
      </c>
      <c r="E4597" s="4">
        <v>-3.7383755818252248E-2</v>
      </c>
      <c r="F4597" s="3">
        <v>4595</v>
      </c>
      <c r="G4597" s="3">
        <v>4</v>
      </c>
      <c r="H4597" s="5">
        <v>60358482</v>
      </c>
      <c r="I4597" s="5">
        <v>54824952</v>
      </c>
      <c r="J4597" s="5">
        <v>0</v>
      </c>
      <c r="K4597" s="5">
        <v>5533530</v>
      </c>
      <c r="L4597" s="5">
        <v>0</v>
      </c>
      <c r="M4597" s="5">
        <v>-6811070</v>
      </c>
      <c r="N4597" s="5">
        <v>-8882940</v>
      </c>
    </row>
    <row r="4598" spans="1:14" x14ac:dyDescent="0.25">
      <c r="A4598" s="3" t="s">
        <v>4609</v>
      </c>
      <c r="B4598" s="4">
        <v>44.46</v>
      </c>
      <c r="C4598" s="4">
        <v>0.18</v>
      </c>
      <c r="D4598" s="4">
        <v>0.15</v>
      </c>
      <c r="E4598" s="4">
        <v>-3.7387110675450683E-2</v>
      </c>
      <c r="F4598" s="3">
        <v>4596</v>
      </c>
      <c r="G4598" s="3">
        <v>4</v>
      </c>
      <c r="H4598" s="5">
        <v>27193200</v>
      </c>
      <c r="I4598" s="5">
        <v>26803550</v>
      </c>
      <c r="J4598" s="5">
        <v>0</v>
      </c>
      <c r="K4598" s="5">
        <v>389650</v>
      </c>
      <c r="L4598" s="5">
        <v>2761800</v>
      </c>
      <c r="M4598" s="5">
        <v>602820</v>
      </c>
      <c r="N4598" s="5">
        <v>379430</v>
      </c>
    </row>
    <row r="4599" spans="1:14" x14ac:dyDescent="0.25">
      <c r="A4599" s="3" t="s">
        <v>4610</v>
      </c>
      <c r="B4599" s="4">
        <v>44.79</v>
      </c>
      <c r="C4599" s="4">
        <v>0.25</v>
      </c>
      <c r="D4599" s="4">
        <v>0.11</v>
      </c>
      <c r="E4599" s="4">
        <v>-3.7396815320663038E-2</v>
      </c>
      <c r="F4599" s="3">
        <v>4597</v>
      </c>
      <c r="G4599" s="3">
        <v>4</v>
      </c>
      <c r="H4599" s="5">
        <v>169984588395.95999</v>
      </c>
      <c r="I4599" s="5">
        <v>173553688395.95999</v>
      </c>
      <c r="J4599" s="5">
        <v>6886100000</v>
      </c>
      <c r="K4599" s="5">
        <v>3317000000</v>
      </c>
      <c r="L4599" s="5">
        <v>15222700000</v>
      </c>
      <c r="M4599" s="5">
        <v>3875000000</v>
      </c>
      <c r="N4599" s="5">
        <v>2424000000</v>
      </c>
    </row>
    <row r="4600" spans="1:14" x14ac:dyDescent="0.25">
      <c r="A4600" s="3" t="s">
        <v>4611</v>
      </c>
      <c r="B4600" s="4">
        <v>44.69</v>
      </c>
      <c r="C4600" s="4">
        <v>0.19</v>
      </c>
      <c r="D4600" s="4">
        <v>0.11</v>
      </c>
      <c r="E4600" s="4">
        <v>-3.7508284905779017E-2</v>
      </c>
      <c r="F4600" s="3">
        <v>4598</v>
      </c>
      <c r="G4600" s="3">
        <v>4</v>
      </c>
      <c r="H4600" s="5">
        <v>5656000.7000000002</v>
      </c>
      <c r="I4600" s="5">
        <v>5631040.7000000002</v>
      </c>
      <c r="J4600" s="5">
        <v>0</v>
      </c>
      <c r="K4600" s="5">
        <v>24960</v>
      </c>
      <c r="L4600" s="5">
        <v>500540</v>
      </c>
      <c r="M4600" s="5">
        <v>126000</v>
      </c>
      <c r="N4600" s="5">
        <v>125940</v>
      </c>
    </row>
    <row r="4601" spans="1:14" x14ac:dyDescent="0.25">
      <c r="A4601" s="3" t="s">
        <v>4612</v>
      </c>
      <c r="B4601" s="4">
        <v>36.090000000000003</v>
      </c>
      <c r="C4601" s="4">
        <v>-1.64</v>
      </c>
      <c r="D4601" s="4">
        <v>-0.28000000000000003</v>
      </c>
      <c r="E4601" s="4">
        <v>-3.7548330126460958E-2</v>
      </c>
      <c r="F4601" s="3">
        <v>4599</v>
      </c>
      <c r="G4601" s="3">
        <v>4</v>
      </c>
      <c r="H4601" s="5">
        <v>23693624.030000001</v>
      </c>
      <c r="I4601" s="5">
        <v>361301624.02999997</v>
      </c>
      <c r="J4601" s="5">
        <v>347384000</v>
      </c>
      <c r="K4601" s="5">
        <v>9776000</v>
      </c>
      <c r="L4601" s="5">
        <v>61570000</v>
      </c>
      <c r="M4601" s="5">
        <v>10010000</v>
      </c>
      <c r="N4601" s="5">
        <v>-140591000</v>
      </c>
    </row>
    <row r="4602" spans="1:14" x14ac:dyDescent="0.25">
      <c r="A4602" s="3" t="s">
        <v>4613</v>
      </c>
      <c r="B4602" s="4">
        <v>45.92</v>
      </c>
      <c r="C4602" s="4">
        <v>0.43</v>
      </c>
      <c r="D4602" s="4">
        <v>-0.03</v>
      </c>
      <c r="E4602" s="4">
        <v>-3.760311701025764E-2</v>
      </c>
      <c r="F4602" s="3">
        <v>4600</v>
      </c>
      <c r="G4602" s="3">
        <v>4</v>
      </c>
      <c r="H4602" s="5">
        <v>672991006.08000004</v>
      </c>
      <c r="I4602" s="5">
        <v>752958006.08000004</v>
      </c>
      <c r="J4602" s="5">
        <v>90194000</v>
      </c>
      <c r="K4602" s="5">
        <v>10227000</v>
      </c>
      <c r="L4602" s="5">
        <v>160917000</v>
      </c>
      <c r="M4602" s="5">
        <v>16397000</v>
      </c>
      <c r="N4602" s="5">
        <v>-7207000</v>
      </c>
    </row>
    <row r="4603" spans="1:14" x14ac:dyDescent="0.25">
      <c r="A4603" s="3" t="s">
        <v>4614</v>
      </c>
      <c r="B4603" s="4">
        <v>28.91</v>
      </c>
      <c r="C4603" s="4">
        <v>-3.24</v>
      </c>
      <c r="D4603" s="4">
        <v>0.18</v>
      </c>
      <c r="E4603" s="4">
        <v>-3.763872233570735E-2</v>
      </c>
      <c r="F4603" s="3">
        <v>4601</v>
      </c>
      <c r="G4603" s="3">
        <v>4</v>
      </c>
      <c r="H4603" s="5">
        <v>58892920822.010002</v>
      </c>
      <c r="I4603" s="5">
        <v>62996920822.010002</v>
      </c>
      <c r="J4603" s="5">
        <v>4995000000</v>
      </c>
      <c r="K4603" s="5">
        <v>891000000</v>
      </c>
      <c r="L4603" s="5">
        <v>9097000000</v>
      </c>
      <c r="M4603" s="5">
        <v>2179000000</v>
      </c>
      <c r="N4603" s="5">
        <v>1469000000</v>
      </c>
    </row>
    <row r="4604" spans="1:14" x14ac:dyDescent="0.25">
      <c r="A4604" s="3" t="s">
        <v>4615</v>
      </c>
      <c r="B4604" s="4">
        <v>44.43</v>
      </c>
      <c r="C4604" s="4">
        <v>0.08</v>
      </c>
      <c r="D4604" s="4">
        <v>0.05</v>
      </c>
      <c r="E4604" s="4">
        <v>-3.767676939427908E-2</v>
      </c>
      <c r="F4604" s="3">
        <v>4602</v>
      </c>
      <c r="G4604" s="3">
        <v>4</v>
      </c>
      <c r="H4604" s="5">
        <v>19827607339.68</v>
      </c>
      <c r="I4604" s="5">
        <v>19680820339.68</v>
      </c>
      <c r="J4604" s="5">
        <v>597934000</v>
      </c>
      <c r="K4604" s="5">
        <v>744721000</v>
      </c>
      <c r="L4604" s="5">
        <v>2137803000</v>
      </c>
      <c r="M4604" s="5">
        <v>442963000</v>
      </c>
      <c r="N4604" s="5">
        <v>263026000</v>
      </c>
    </row>
    <row r="4605" spans="1:14" x14ac:dyDescent="0.25">
      <c r="A4605" s="3" t="s">
        <v>4616</v>
      </c>
      <c r="B4605" s="4">
        <v>45.15</v>
      </c>
      <c r="C4605" s="4">
        <v>0.22</v>
      </c>
      <c r="D4605" s="4">
        <v>0.2</v>
      </c>
      <c r="E4605" s="4">
        <v>-3.7688946307603652E-2</v>
      </c>
      <c r="F4605" s="3">
        <v>4603</v>
      </c>
      <c r="G4605" s="3">
        <v>4</v>
      </c>
      <c r="H4605" s="5">
        <v>1080789413.76</v>
      </c>
      <c r="I4605" s="5">
        <v>1028555503.76</v>
      </c>
      <c r="J4605" s="5">
        <v>0</v>
      </c>
      <c r="K4605" s="5">
        <v>52233910</v>
      </c>
      <c r="L4605" s="5">
        <v>73242120</v>
      </c>
      <c r="M4605" s="5">
        <v>22782380</v>
      </c>
      <c r="N4605" s="5">
        <v>19234030</v>
      </c>
    </row>
    <row r="4606" spans="1:14" x14ac:dyDescent="0.25">
      <c r="A4606" s="3" t="s">
        <v>4617</v>
      </c>
      <c r="B4606" s="4">
        <v>44.43</v>
      </c>
      <c r="C4606" s="4">
        <v>0.03</v>
      </c>
      <c r="D4606" s="4">
        <v>0.02</v>
      </c>
      <c r="E4606" s="4">
        <v>-3.7827024509083887E-2</v>
      </c>
      <c r="F4606" s="3">
        <v>4604</v>
      </c>
      <c r="G4606" s="3">
        <v>4</v>
      </c>
      <c r="H4606" s="5">
        <v>1116779206.2</v>
      </c>
      <c r="I4606" s="5">
        <v>1067904206.2</v>
      </c>
      <c r="J4606" s="5">
        <v>0</v>
      </c>
      <c r="K4606" s="5">
        <v>48875000</v>
      </c>
      <c r="L4606" s="5">
        <v>376815000</v>
      </c>
      <c r="M4606" s="5">
        <v>24034000</v>
      </c>
      <c r="N4606" s="5">
        <v>8236000</v>
      </c>
    </row>
    <row r="4607" spans="1:14" x14ac:dyDescent="0.25">
      <c r="A4607" s="3" t="s">
        <v>4618</v>
      </c>
      <c r="B4607" s="4">
        <v>0.11</v>
      </c>
      <c r="C4607" s="4">
        <v>-9.2200000000000006</v>
      </c>
      <c r="D4607" s="4">
        <v>-3.76</v>
      </c>
      <c r="E4607" s="4">
        <v>-3.7852223394307487E-2</v>
      </c>
      <c r="F4607" s="3">
        <v>4605</v>
      </c>
      <c r="G4607" s="3">
        <v>4</v>
      </c>
      <c r="H4607" s="5">
        <v>139.46709999999999</v>
      </c>
      <c r="I4607" s="5">
        <v>-3202310.5329</v>
      </c>
      <c r="J4607" s="5">
        <v>0</v>
      </c>
      <c r="K4607" s="5">
        <v>3202450</v>
      </c>
      <c r="L4607" s="5">
        <v>0</v>
      </c>
      <c r="M4607" s="5">
        <v>-28167510</v>
      </c>
      <c r="N4607" s="5">
        <v>-32344390</v>
      </c>
    </row>
    <row r="4608" spans="1:14" x14ac:dyDescent="0.25">
      <c r="A4608" s="3" t="s">
        <v>4619</v>
      </c>
      <c r="B4608" s="4">
        <v>44.51</v>
      </c>
      <c r="C4608" s="4">
        <v>0.01</v>
      </c>
      <c r="D4608" s="4">
        <v>0</v>
      </c>
      <c r="E4608" s="4">
        <v>-3.7938183421844428E-2</v>
      </c>
      <c r="F4608" s="3">
        <v>4606</v>
      </c>
      <c r="G4608" s="3">
        <v>4</v>
      </c>
      <c r="H4608" s="5">
        <v>613498188.96000004</v>
      </c>
      <c r="I4608" s="5">
        <v>4021512188.96</v>
      </c>
      <c r="J4608" s="5">
        <v>3468485000</v>
      </c>
      <c r="K4608" s="5">
        <v>60471000</v>
      </c>
      <c r="L4608" s="5">
        <v>179126000</v>
      </c>
      <c r="M4608" s="5">
        <v>90344000</v>
      </c>
      <c r="N4608" s="5">
        <v>5433000</v>
      </c>
    </row>
    <row r="4609" spans="1:14" x14ac:dyDescent="0.25">
      <c r="A4609" s="3" t="s">
        <v>4620</v>
      </c>
      <c r="B4609" s="4">
        <v>-0.81</v>
      </c>
      <c r="C4609" s="4">
        <v>-9.42</v>
      </c>
      <c r="D4609" s="4">
        <v>-4.38</v>
      </c>
      <c r="E4609" s="4">
        <v>-3.7980288258270892E-2</v>
      </c>
      <c r="F4609" s="3">
        <v>4607</v>
      </c>
      <c r="G4609" s="3">
        <v>4</v>
      </c>
      <c r="H4609" s="5">
        <v>3994025.85</v>
      </c>
      <c r="I4609" s="5">
        <v>7021265.8499999996</v>
      </c>
      <c r="J4609" s="5">
        <v>3257600</v>
      </c>
      <c r="K4609" s="5">
        <v>230360</v>
      </c>
      <c r="L4609" s="5">
        <v>0</v>
      </c>
      <c r="M4609" s="5">
        <v>-8620100</v>
      </c>
      <c r="N4609" s="5">
        <v>-149192660</v>
      </c>
    </row>
    <row r="4610" spans="1:14" x14ac:dyDescent="0.25">
      <c r="A4610" s="3" t="s">
        <v>4621</v>
      </c>
      <c r="B4610" s="4">
        <v>54.07</v>
      </c>
      <c r="C4610" s="4">
        <v>1.93</v>
      </c>
      <c r="D4610" s="4">
        <v>1.5</v>
      </c>
      <c r="E4610" s="4">
        <v>-3.8018137534848659E-2</v>
      </c>
      <c r="F4610" s="3">
        <v>4608</v>
      </c>
      <c r="G4610" s="3">
        <v>4</v>
      </c>
      <c r="H4610" s="5">
        <v>279652776</v>
      </c>
      <c r="I4610" s="5">
        <v>278891856</v>
      </c>
      <c r="J4610" s="5">
        <v>0</v>
      </c>
      <c r="K4610" s="5">
        <v>760920</v>
      </c>
      <c r="L4610" s="5">
        <v>7032250</v>
      </c>
      <c r="M4610" s="5">
        <v>5158220</v>
      </c>
      <c r="N4610" s="5">
        <v>5158230</v>
      </c>
    </row>
    <row r="4611" spans="1:14" x14ac:dyDescent="0.25">
      <c r="A4611" s="3" t="s">
        <v>4622</v>
      </c>
      <c r="B4611" s="4">
        <v>48.15</v>
      </c>
      <c r="C4611" s="4">
        <v>0.75</v>
      </c>
      <c r="D4611" s="4">
        <v>0.13</v>
      </c>
      <c r="E4611" s="4">
        <v>-3.802785003100316E-2</v>
      </c>
      <c r="F4611" s="3">
        <v>4609</v>
      </c>
      <c r="G4611" s="3">
        <v>4</v>
      </c>
      <c r="H4611" s="5">
        <v>875245736068.17004</v>
      </c>
      <c r="I4611" s="5">
        <v>905621536068.17004</v>
      </c>
      <c r="J4611" s="5">
        <v>33644200000</v>
      </c>
      <c r="K4611" s="5">
        <v>3268400000</v>
      </c>
      <c r="L4611" s="5">
        <v>45042700000</v>
      </c>
      <c r="M4611" s="5">
        <v>18806600000</v>
      </c>
      <c r="N4611" s="5">
        <v>10590000000</v>
      </c>
    </row>
    <row r="4612" spans="1:14" x14ac:dyDescent="0.25">
      <c r="A4612" s="3" t="s">
        <v>4623</v>
      </c>
      <c r="B4612" s="4">
        <v>45.74</v>
      </c>
      <c r="C4612" s="4">
        <v>0.22</v>
      </c>
      <c r="D4612" s="4">
        <v>0.13</v>
      </c>
      <c r="E4612" s="4">
        <v>-3.8067612629773782E-2</v>
      </c>
      <c r="F4612" s="3">
        <v>4610</v>
      </c>
      <c r="G4612" s="3">
        <v>4</v>
      </c>
      <c r="H4612" s="5">
        <v>5655220544.3000002</v>
      </c>
      <c r="I4612" s="5">
        <v>5731658544.3000002</v>
      </c>
      <c r="J4612" s="5">
        <v>202662000</v>
      </c>
      <c r="K4612" s="5">
        <v>126224000</v>
      </c>
      <c r="L4612" s="5">
        <v>429234000</v>
      </c>
      <c r="M4612" s="5">
        <v>125322000</v>
      </c>
      <c r="N4612" s="5">
        <v>118515000</v>
      </c>
    </row>
    <row r="4613" spans="1:14" x14ac:dyDescent="0.25">
      <c r="A4613" s="3" t="s">
        <v>4624</v>
      </c>
      <c r="B4613" s="4">
        <v>46.02</v>
      </c>
      <c r="C4613" s="4">
        <v>0.26</v>
      </c>
      <c r="D4613" s="4">
        <v>0.1</v>
      </c>
      <c r="E4613" s="4">
        <v>-3.8131123040966622E-2</v>
      </c>
      <c r="F4613" s="3">
        <v>4611</v>
      </c>
      <c r="G4613" s="3">
        <v>4</v>
      </c>
      <c r="H4613" s="5">
        <v>18113466521.279999</v>
      </c>
      <c r="I4613" s="5">
        <v>19094827521.279999</v>
      </c>
      <c r="J4613" s="5">
        <v>1055470000</v>
      </c>
      <c r="K4613" s="5">
        <v>74109000</v>
      </c>
      <c r="L4613" s="5">
        <v>2703654000</v>
      </c>
      <c r="M4613" s="5">
        <v>414928000</v>
      </c>
      <c r="N4613" s="5">
        <v>281941000</v>
      </c>
    </row>
    <row r="4614" spans="1:14" x14ac:dyDescent="0.25">
      <c r="A4614" s="3" t="s">
        <v>4625</v>
      </c>
      <c r="B4614" s="4">
        <v>45.96</v>
      </c>
      <c r="C4614" s="4">
        <v>0.17</v>
      </c>
      <c r="D4614" s="4">
        <v>0.12</v>
      </c>
      <c r="E4614" s="4">
        <v>-3.8350172216759272E-2</v>
      </c>
      <c r="F4614" s="3">
        <v>4612</v>
      </c>
      <c r="G4614" s="3">
        <v>4</v>
      </c>
      <c r="H4614" s="5">
        <v>17444626821.099998</v>
      </c>
      <c r="I4614" s="5">
        <v>17433443821.099998</v>
      </c>
      <c r="J4614" s="5">
        <v>0</v>
      </c>
      <c r="K4614" s="5">
        <v>11183000</v>
      </c>
      <c r="L4614" s="5">
        <v>3419327000</v>
      </c>
      <c r="M4614" s="5">
        <v>379283000</v>
      </c>
      <c r="N4614" s="5">
        <v>332527000</v>
      </c>
    </row>
    <row r="4615" spans="1:14" x14ac:dyDescent="0.25">
      <c r="A4615" s="3" t="s">
        <v>4626</v>
      </c>
      <c r="B4615" s="4">
        <v>46.31</v>
      </c>
      <c r="C4615" s="4">
        <v>0.24</v>
      </c>
      <c r="D4615" s="4">
        <v>0.18</v>
      </c>
      <c r="E4615" s="4">
        <v>-3.8352965007590743E-2</v>
      </c>
      <c r="F4615" s="3">
        <v>4613</v>
      </c>
      <c r="G4615" s="3">
        <v>4</v>
      </c>
      <c r="H4615" s="5">
        <v>419513006.89999998</v>
      </c>
      <c r="I4615" s="5">
        <v>402684006.89999998</v>
      </c>
      <c r="J4615" s="5">
        <v>0</v>
      </c>
      <c r="K4615" s="5">
        <v>16829000</v>
      </c>
      <c r="L4615" s="5">
        <v>85756000</v>
      </c>
      <c r="M4615" s="5">
        <v>8695000</v>
      </c>
      <c r="N4615" s="5">
        <v>12792000</v>
      </c>
    </row>
    <row r="4616" spans="1:14" x14ac:dyDescent="0.25">
      <c r="A4616" s="3" t="s">
        <v>4627</v>
      </c>
      <c r="B4616" s="4">
        <v>45.27</v>
      </c>
      <c r="C4616" s="4">
        <v>0</v>
      </c>
      <c r="D4616" s="4">
        <v>0</v>
      </c>
      <c r="E4616" s="4">
        <v>-3.8437456661836768E-2</v>
      </c>
      <c r="F4616" s="3">
        <v>4614</v>
      </c>
      <c r="G4616" s="3">
        <v>4</v>
      </c>
      <c r="H4616" s="5">
        <v>1798900561.5599999</v>
      </c>
      <c r="I4616" s="5">
        <v>1385569561.5599999</v>
      </c>
      <c r="J4616" s="5">
        <v>0</v>
      </c>
      <c r="K4616" s="5">
        <v>413331000</v>
      </c>
      <c r="L4616" s="5">
        <v>745580000</v>
      </c>
      <c r="M4616" s="5">
        <v>30604000</v>
      </c>
      <c r="N4616" s="5">
        <v>-814000</v>
      </c>
    </row>
    <row r="4617" spans="1:14" x14ac:dyDescent="0.25">
      <c r="A4617" s="3" t="s">
        <v>4628</v>
      </c>
      <c r="B4617" s="4">
        <v>46.88</v>
      </c>
      <c r="C4617" s="4">
        <v>0.34</v>
      </c>
      <c r="D4617" s="4">
        <v>0.05</v>
      </c>
      <c r="E4617" s="4">
        <v>-3.8441891007687148E-2</v>
      </c>
      <c r="F4617" s="3">
        <v>4615</v>
      </c>
      <c r="G4617" s="3">
        <v>4</v>
      </c>
      <c r="H4617" s="5">
        <v>321834272385.21002</v>
      </c>
      <c r="I4617" s="5">
        <v>327488272385.21002</v>
      </c>
      <c r="J4617" s="5">
        <v>19273000000</v>
      </c>
      <c r="K4617" s="5">
        <v>13619000000</v>
      </c>
      <c r="L4617" s="5">
        <v>38702000000</v>
      </c>
      <c r="M4617" s="5">
        <v>6986000000</v>
      </c>
      <c r="N4617" s="5">
        <v>6556000000</v>
      </c>
    </row>
    <row r="4618" spans="1:14" x14ac:dyDescent="0.25">
      <c r="A4618" s="3" t="s">
        <v>4629</v>
      </c>
      <c r="B4618" s="4">
        <v>44.95</v>
      </c>
      <c r="C4618" s="4">
        <v>-0.09</v>
      </c>
      <c r="D4618" s="4">
        <v>-0.06</v>
      </c>
      <c r="E4618" s="4">
        <v>-3.8511018702125463E-2</v>
      </c>
      <c r="F4618" s="3">
        <v>4616</v>
      </c>
      <c r="G4618" s="3">
        <v>4</v>
      </c>
      <c r="H4618" s="5">
        <v>2209053547.1199999</v>
      </c>
      <c r="I4618" s="5">
        <v>2359185547.1199999</v>
      </c>
      <c r="J4618" s="5">
        <v>165000000</v>
      </c>
      <c r="K4618" s="5">
        <v>14868000</v>
      </c>
      <c r="L4618" s="5">
        <v>570378000</v>
      </c>
      <c r="M4618" s="5">
        <v>52488000</v>
      </c>
      <c r="N4618" s="5">
        <v>-142870000</v>
      </c>
    </row>
    <row r="4619" spans="1:14" x14ac:dyDescent="0.25">
      <c r="A4619" s="3" t="s">
        <v>4630</v>
      </c>
      <c r="B4619" s="4">
        <v>45.84</v>
      </c>
      <c r="C4619" s="4">
        <v>7.0000000000000007E-2</v>
      </c>
      <c r="D4619" s="4">
        <v>0.05</v>
      </c>
      <c r="E4619" s="4">
        <v>-3.8578341004581462E-2</v>
      </c>
      <c r="F4619" s="3">
        <v>4617</v>
      </c>
      <c r="G4619" s="3">
        <v>4</v>
      </c>
      <c r="H4619" s="5">
        <v>6787720984.5</v>
      </c>
      <c r="I4619" s="5">
        <v>6772478984.5</v>
      </c>
      <c r="J4619" s="5">
        <v>0</v>
      </c>
      <c r="K4619" s="5">
        <v>15242000</v>
      </c>
      <c r="L4619" s="5">
        <v>914515000</v>
      </c>
      <c r="M4619" s="5">
        <v>147754000</v>
      </c>
      <c r="N4619" s="5">
        <v>106171000</v>
      </c>
    </row>
    <row r="4620" spans="1:14" x14ac:dyDescent="0.25">
      <c r="A4620" s="3" t="s">
        <v>4631</v>
      </c>
      <c r="B4620" s="4">
        <v>46.23</v>
      </c>
      <c r="C4620" s="4">
        <v>0.12</v>
      </c>
      <c r="D4620" s="4">
        <v>0.01</v>
      </c>
      <c r="E4620" s="4">
        <v>-3.8682968098005213E-2</v>
      </c>
      <c r="F4620" s="3">
        <v>4618</v>
      </c>
      <c r="G4620" s="3">
        <v>4</v>
      </c>
      <c r="H4620" s="5">
        <v>170049744024</v>
      </c>
      <c r="I4620" s="5">
        <v>432214744024</v>
      </c>
      <c r="J4620" s="5">
        <v>304248000000</v>
      </c>
      <c r="K4620" s="5">
        <v>42083000000</v>
      </c>
      <c r="L4620" s="5">
        <v>25999000000</v>
      </c>
      <c r="M4620" s="5">
        <v>9350000000</v>
      </c>
      <c r="N4620" s="5">
        <v>5942000000</v>
      </c>
    </row>
    <row r="4621" spans="1:14" x14ac:dyDescent="0.25">
      <c r="A4621" s="3" t="s">
        <v>4632</v>
      </c>
      <c r="B4621" s="4">
        <v>46.86</v>
      </c>
      <c r="C4621" s="4">
        <v>0.21</v>
      </c>
      <c r="D4621" s="4">
        <v>0.14000000000000001</v>
      </c>
      <c r="E4621" s="4">
        <v>-3.8787768248283387E-2</v>
      </c>
      <c r="F4621" s="3">
        <v>4619</v>
      </c>
      <c r="G4621" s="3">
        <v>4</v>
      </c>
      <c r="H4621" s="5">
        <v>340470779.11000001</v>
      </c>
      <c r="I4621" s="5">
        <v>340008779.11000001</v>
      </c>
      <c r="J4621" s="5">
        <v>0</v>
      </c>
      <c r="K4621" s="5">
        <v>462000</v>
      </c>
      <c r="L4621" s="5">
        <v>35079000</v>
      </c>
      <c r="M4621" s="5">
        <v>7256000</v>
      </c>
      <c r="N4621" s="5">
        <v>20686000</v>
      </c>
    </row>
    <row r="4622" spans="1:14" x14ac:dyDescent="0.25">
      <c r="A4622" s="3" t="s">
        <v>4633</v>
      </c>
      <c r="B4622" s="4">
        <v>45.61</v>
      </c>
      <c r="C4622" s="4">
        <v>-0.14000000000000001</v>
      </c>
      <c r="D4622" s="4">
        <v>-0.03</v>
      </c>
      <c r="E4622" s="4">
        <v>-3.905818723347234E-2</v>
      </c>
      <c r="F4622" s="3">
        <v>4620</v>
      </c>
      <c r="G4622" s="3">
        <v>4</v>
      </c>
      <c r="H4622" s="5">
        <v>70100416.019999996</v>
      </c>
      <c r="I4622" s="5">
        <v>63325276.020000003</v>
      </c>
      <c r="J4622" s="5">
        <v>0</v>
      </c>
      <c r="K4622" s="5">
        <v>6775140</v>
      </c>
      <c r="L4622" s="5">
        <v>142571750</v>
      </c>
      <c r="M4622" s="5">
        <v>1388450</v>
      </c>
      <c r="N4622" s="5">
        <v>-1934280</v>
      </c>
    </row>
    <row r="4623" spans="1:14" x14ac:dyDescent="0.25">
      <c r="A4623" s="3" t="s">
        <v>4634</v>
      </c>
      <c r="B4623" s="4">
        <v>45.24</v>
      </c>
      <c r="C4623" s="4">
        <v>-0.25</v>
      </c>
      <c r="D4623" s="4">
        <v>-0.14000000000000001</v>
      </c>
      <c r="E4623" s="4">
        <v>-3.9168235592192083E-2</v>
      </c>
      <c r="F4623" s="3">
        <v>4621</v>
      </c>
      <c r="G4623" s="3">
        <v>4</v>
      </c>
      <c r="H4623" s="5">
        <v>591229147.04999995</v>
      </c>
      <c r="I4623" s="5">
        <v>683596147.04999995</v>
      </c>
      <c r="J4623" s="5">
        <v>175605000</v>
      </c>
      <c r="K4623" s="5">
        <v>83238000</v>
      </c>
      <c r="L4623" s="5">
        <v>799491000</v>
      </c>
      <c r="M4623" s="5">
        <v>15112000</v>
      </c>
      <c r="N4623" s="5">
        <v>-125997000</v>
      </c>
    </row>
    <row r="4624" spans="1:14" x14ac:dyDescent="0.25">
      <c r="A4624" s="3" t="s">
        <v>4635</v>
      </c>
      <c r="B4624" s="4">
        <v>46.49</v>
      </c>
      <c r="C4624" s="4">
        <v>-0.04</v>
      </c>
      <c r="D4624" s="4">
        <v>-0.03</v>
      </c>
      <c r="E4624" s="4">
        <v>-3.9313901264670582E-2</v>
      </c>
      <c r="F4624" s="3">
        <v>4622</v>
      </c>
      <c r="G4624" s="3">
        <v>4</v>
      </c>
      <c r="H4624" s="5">
        <v>1870784055.1400001</v>
      </c>
      <c r="I4624" s="5">
        <v>2003253055.1400001</v>
      </c>
      <c r="J4624" s="5">
        <v>287040000</v>
      </c>
      <c r="K4624" s="5">
        <v>154571000</v>
      </c>
      <c r="L4624" s="5">
        <v>1250970000</v>
      </c>
      <c r="M4624" s="5">
        <v>43090000</v>
      </c>
      <c r="N4624" s="5">
        <v>-57443000</v>
      </c>
    </row>
    <row r="4625" spans="1:14" x14ac:dyDescent="0.25">
      <c r="A4625" s="3" t="s">
        <v>4636</v>
      </c>
      <c r="B4625" s="4">
        <v>46.75</v>
      </c>
      <c r="C4625" s="4">
        <v>0.01</v>
      </c>
      <c r="D4625" s="4">
        <v>0.01</v>
      </c>
      <c r="E4625" s="4">
        <v>-3.9322636471412278E-2</v>
      </c>
      <c r="F4625" s="3">
        <v>4623</v>
      </c>
      <c r="G4625" s="3">
        <v>4</v>
      </c>
      <c r="H4625" s="5">
        <v>760378450.25999999</v>
      </c>
      <c r="I4625" s="5">
        <v>425723450.25999999</v>
      </c>
      <c r="J4625" s="5">
        <v>0</v>
      </c>
      <c r="K4625" s="5">
        <v>334655000</v>
      </c>
      <c r="L4625" s="5">
        <v>350571000</v>
      </c>
      <c r="M4625" s="5">
        <v>9107000</v>
      </c>
      <c r="N4625" s="5">
        <v>4041000</v>
      </c>
    </row>
    <row r="4626" spans="1:14" x14ac:dyDescent="0.25">
      <c r="A4626" s="3" t="s">
        <v>4637</v>
      </c>
      <c r="B4626" s="4">
        <v>44.64</v>
      </c>
      <c r="C4626" s="4">
        <v>-0.43</v>
      </c>
      <c r="D4626" s="4">
        <v>-0.21</v>
      </c>
      <c r="E4626" s="4">
        <v>-3.9330471362670219E-2</v>
      </c>
      <c r="F4626" s="3">
        <v>4624</v>
      </c>
      <c r="G4626" s="3">
        <v>4</v>
      </c>
      <c r="H4626" s="5">
        <v>36657126.350000001</v>
      </c>
      <c r="I4626" s="5">
        <v>48484126.350000001</v>
      </c>
      <c r="J4626" s="5">
        <v>15930000</v>
      </c>
      <c r="K4626" s="5">
        <v>4103000</v>
      </c>
      <c r="L4626" s="5">
        <v>23057000</v>
      </c>
      <c r="M4626" s="5">
        <v>1086000</v>
      </c>
      <c r="N4626" s="5">
        <v>-10793000</v>
      </c>
    </row>
    <row r="4627" spans="1:14" x14ac:dyDescent="0.25">
      <c r="A4627" s="3" t="s">
        <v>4638</v>
      </c>
      <c r="B4627" s="4">
        <v>48.38</v>
      </c>
      <c r="C4627" s="4">
        <v>0.34</v>
      </c>
      <c r="D4627" s="4">
        <v>0.05</v>
      </c>
      <c r="E4627" s="4">
        <v>-3.9370271862248757E-2</v>
      </c>
      <c r="F4627" s="3">
        <v>4625</v>
      </c>
      <c r="G4627" s="3">
        <v>4</v>
      </c>
      <c r="H4627" s="5">
        <v>20984174.640000001</v>
      </c>
      <c r="I4627" s="5">
        <v>19010034.640000001</v>
      </c>
      <c r="J4627" s="5">
        <v>2016410</v>
      </c>
      <c r="K4627" s="5">
        <v>3990550</v>
      </c>
      <c r="L4627" s="5">
        <v>7742570</v>
      </c>
      <c r="M4627" s="5">
        <v>392930</v>
      </c>
      <c r="N4627" s="5">
        <v>386800</v>
      </c>
    </row>
    <row r="4628" spans="1:14" x14ac:dyDescent="0.25">
      <c r="A4628" s="3" t="s">
        <v>4639</v>
      </c>
      <c r="B4628" s="4">
        <v>46.36</v>
      </c>
      <c r="C4628" s="4">
        <v>-0.09</v>
      </c>
      <c r="D4628" s="4">
        <v>-7.0000000000000007E-2</v>
      </c>
      <c r="E4628" s="4">
        <v>-3.9385625731990878E-2</v>
      </c>
      <c r="F4628" s="3">
        <v>4626</v>
      </c>
      <c r="G4628" s="3">
        <v>4</v>
      </c>
      <c r="H4628" s="5">
        <v>35760755.25</v>
      </c>
      <c r="I4628" s="5">
        <v>17151755.25</v>
      </c>
      <c r="J4628" s="5">
        <v>0</v>
      </c>
      <c r="K4628" s="5">
        <v>18609000</v>
      </c>
      <c r="L4628" s="5">
        <v>29398000</v>
      </c>
      <c r="M4628" s="5">
        <v>370000</v>
      </c>
      <c r="N4628" s="5">
        <v>-2392000</v>
      </c>
    </row>
    <row r="4629" spans="1:14" x14ac:dyDescent="0.25">
      <c r="A4629" s="3" t="s">
        <v>4640</v>
      </c>
      <c r="B4629" s="4">
        <v>47.99</v>
      </c>
      <c r="C4629" s="4">
        <v>0.24</v>
      </c>
      <c r="D4629" s="4">
        <v>0.1</v>
      </c>
      <c r="E4629" s="4">
        <v>-3.9408183777319812E-2</v>
      </c>
      <c r="F4629" s="3">
        <v>4627</v>
      </c>
      <c r="G4629" s="3">
        <v>4</v>
      </c>
      <c r="H4629" s="5">
        <v>4487795064.75</v>
      </c>
      <c r="I4629" s="5">
        <v>4342532064.75</v>
      </c>
      <c r="J4629" s="5">
        <v>0</v>
      </c>
      <c r="K4629" s="5">
        <v>145263000</v>
      </c>
      <c r="L4629" s="5">
        <v>874179000</v>
      </c>
      <c r="M4629" s="5">
        <v>90491000</v>
      </c>
      <c r="N4629" s="5">
        <v>85459000</v>
      </c>
    </row>
    <row r="4630" spans="1:14" x14ac:dyDescent="0.25">
      <c r="A4630" s="3" t="s">
        <v>4641</v>
      </c>
      <c r="B4630" s="4">
        <v>26.15</v>
      </c>
      <c r="C4630" s="4">
        <v>-4.4000000000000004</v>
      </c>
      <c r="D4630" s="4">
        <v>-0.81</v>
      </c>
      <c r="E4630" s="4">
        <v>-3.9473133608164193E-2</v>
      </c>
      <c r="F4630" s="3">
        <v>4628</v>
      </c>
      <c r="G4630" s="3">
        <v>4</v>
      </c>
      <c r="H4630" s="5">
        <v>60704000</v>
      </c>
      <c r="I4630" s="5">
        <v>60840940</v>
      </c>
      <c r="J4630" s="5">
        <v>6999910</v>
      </c>
      <c r="K4630" s="5">
        <v>6862970</v>
      </c>
      <c r="L4630" s="5">
        <v>108176680</v>
      </c>
      <c r="M4630" s="5">
        <v>2326760</v>
      </c>
      <c r="N4630" s="5">
        <v>-23597700</v>
      </c>
    </row>
    <row r="4631" spans="1:14" x14ac:dyDescent="0.25">
      <c r="A4631" s="3" t="s">
        <v>4642</v>
      </c>
      <c r="B4631" s="4">
        <v>50.9</v>
      </c>
      <c r="C4631" s="4">
        <v>0.84</v>
      </c>
      <c r="D4631" s="4">
        <v>0.06</v>
      </c>
      <c r="E4631" s="4">
        <v>-3.9483342320611868E-2</v>
      </c>
      <c r="F4631" s="3">
        <v>4629</v>
      </c>
      <c r="G4631" s="3">
        <v>4</v>
      </c>
      <c r="H4631" s="5">
        <v>478816393.07999998</v>
      </c>
      <c r="I4631" s="5">
        <v>463794393.07999998</v>
      </c>
      <c r="J4631" s="5">
        <v>8200000</v>
      </c>
      <c r="K4631" s="5">
        <v>23222000</v>
      </c>
      <c r="L4631" s="5">
        <v>148144000</v>
      </c>
      <c r="M4631" s="5">
        <v>9111000</v>
      </c>
      <c r="N4631" s="5">
        <v>5976000</v>
      </c>
    </row>
    <row r="4632" spans="1:14" x14ac:dyDescent="0.25">
      <c r="A4632" s="3" t="s">
        <v>4643</v>
      </c>
      <c r="B4632" s="4">
        <v>0.79</v>
      </c>
      <c r="C4632" s="4">
        <v>-9.8800000000000008</v>
      </c>
      <c r="D4632" s="4">
        <v>-0.98</v>
      </c>
      <c r="E4632" s="4">
        <v>-3.9643798056116349E-2</v>
      </c>
      <c r="F4632" s="3">
        <v>4630</v>
      </c>
      <c r="G4632" s="3">
        <v>4</v>
      </c>
      <c r="H4632" s="5">
        <v>13416.228499999999</v>
      </c>
      <c r="I4632" s="5">
        <v>-98289583.771499991</v>
      </c>
      <c r="J4632" s="5">
        <v>41223000</v>
      </c>
      <c r="K4632" s="5">
        <v>139526000</v>
      </c>
      <c r="L4632" s="5">
        <v>9936000</v>
      </c>
      <c r="M4632" s="5">
        <v>-124199000</v>
      </c>
      <c r="N4632" s="5">
        <v>-164574000</v>
      </c>
    </row>
    <row r="4633" spans="1:14" x14ac:dyDescent="0.25">
      <c r="A4633" s="3" t="s">
        <v>4644</v>
      </c>
      <c r="B4633" s="4">
        <v>-0.49</v>
      </c>
      <c r="C4633" s="4">
        <v>-10.24</v>
      </c>
      <c r="D4633" s="4">
        <v>-0.79</v>
      </c>
      <c r="E4633" s="4">
        <v>-3.9855098074438308E-2</v>
      </c>
      <c r="F4633" s="3">
        <v>4631</v>
      </c>
      <c r="G4633" s="3">
        <v>4</v>
      </c>
      <c r="H4633" s="5">
        <v>43290453.600000001</v>
      </c>
      <c r="I4633" s="5">
        <v>50903453.599999987</v>
      </c>
      <c r="J4633" s="5">
        <v>51112000</v>
      </c>
      <c r="K4633" s="5">
        <v>43499000</v>
      </c>
      <c r="L4633" s="5">
        <v>49592000</v>
      </c>
      <c r="M4633" s="5">
        <v>-103341000</v>
      </c>
      <c r="N4633" s="5">
        <v>-137731000</v>
      </c>
    </row>
    <row r="4634" spans="1:14" x14ac:dyDescent="0.25">
      <c r="A4634" s="3" t="s">
        <v>4645</v>
      </c>
      <c r="B4634" s="4">
        <v>48.52</v>
      </c>
      <c r="C4634" s="4">
        <v>0.16</v>
      </c>
      <c r="D4634" s="4">
        <v>0.05</v>
      </c>
      <c r="E4634" s="4">
        <v>-3.9977005668268097E-2</v>
      </c>
      <c r="F4634" s="3">
        <v>4632</v>
      </c>
      <c r="G4634" s="3">
        <v>4</v>
      </c>
      <c r="H4634" s="5">
        <v>271562843.30000001</v>
      </c>
      <c r="I4634" s="5">
        <v>240342843.30000001</v>
      </c>
      <c r="J4634" s="5">
        <v>9087000</v>
      </c>
      <c r="K4634" s="5">
        <v>40307000</v>
      </c>
      <c r="L4634" s="5">
        <v>200704000</v>
      </c>
      <c r="M4634" s="5">
        <v>4953000</v>
      </c>
      <c r="N4634" s="5">
        <v>3908000</v>
      </c>
    </row>
    <row r="4635" spans="1:14" x14ac:dyDescent="0.25">
      <c r="A4635" s="3" t="s">
        <v>4646</v>
      </c>
      <c r="B4635" s="4">
        <v>48.2</v>
      </c>
      <c r="C4635" s="4">
        <v>0.08</v>
      </c>
      <c r="D4635" s="4">
        <v>0.02</v>
      </c>
      <c r="E4635" s="4">
        <v>-4.0015887021809797E-2</v>
      </c>
      <c r="F4635" s="3">
        <v>4633</v>
      </c>
      <c r="G4635" s="3">
        <v>4</v>
      </c>
      <c r="H4635" s="5">
        <v>5992746204.8299999</v>
      </c>
      <c r="I4635" s="5">
        <v>24630696204.830002</v>
      </c>
      <c r="J4635" s="5">
        <v>18884910000</v>
      </c>
      <c r="K4635" s="5">
        <v>246960000</v>
      </c>
      <c r="L4635" s="5">
        <v>26353420000</v>
      </c>
      <c r="M4635" s="5">
        <v>511052000</v>
      </c>
      <c r="N4635" s="5">
        <v>500556000</v>
      </c>
    </row>
    <row r="4636" spans="1:14" x14ac:dyDescent="0.25">
      <c r="A4636" s="3" t="s">
        <v>4647</v>
      </c>
      <c r="B4636" s="4">
        <v>44.08</v>
      </c>
      <c r="C4636" s="4">
        <v>-0.8</v>
      </c>
      <c r="D4636" s="4">
        <v>-7.0000000000000007E-2</v>
      </c>
      <c r="E4636" s="4">
        <v>-4.0025932931083738E-2</v>
      </c>
      <c r="F4636" s="3">
        <v>4634</v>
      </c>
      <c r="G4636" s="3">
        <v>4</v>
      </c>
      <c r="H4636" s="5">
        <v>10423658.699999999</v>
      </c>
      <c r="I4636" s="5">
        <v>93222658.700000003</v>
      </c>
      <c r="J4636" s="5">
        <v>82818000</v>
      </c>
      <c r="K4636" s="5">
        <v>19000</v>
      </c>
      <c r="L4636" s="5">
        <v>265026000</v>
      </c>
      <c r="M4636" s="5">
        <v>2115000</v>
      </c>
      <c r="N4636" s="5">
        <v>-13000000</v>
      </c>
    </row>
    <row r="4637" spans="1:14" x14ac:dyDescent="0.25">
      <c r="A4637" s="3" t="s">
        <v>4648</v>
      </c>
      <c r="B4637" s="4">
        <v>49.57</v>
      </c>
      <c r="C4637" s="4">
        <v>0.36</v>
      </c>
      <c r="D4637" s="4">
        <v>0.09</v>
      </c>
      <c r="E4637" s="4">
        <v>-4.0041284019862032E-2</v>
      </c>
      <c r="F4637" s="3">
        <v>4635</v>
      </c>
      <c r="G4637" s="3">
        <v>4</v>
      </c>
      <c r="H4637" s="5">
        <v>3522654999</v>
      </c>
      <c r="I4637" s="5">
        <v>3529533999</v>
      </c>
      <c r="J4637" s="5">
        <v>892794000</v>
      </c>
      <c r="K4637" s="5">
        <v>885915000</v>
      </c>
      <c r="L4637" s="5">
        <v>653336000</v>
      </c>
      <c r="M4637" s="5">
        <v>71210000</v>
      </c>
      <c r="N4637" s="5">
        <v>161174000</v>
      </c>
    </row>
    <row r="4638" spans="1:14" x14ac:dyDescent="0.25">
      <c r="A4638" s="3" t="s">
        <v>4649</v>
      </c>
      <c r="B4638" s="4">
        <v>48.9</v>
      </c>
      <c r="C4638" s="4">
        <v>0.21</v>
      </c>
      <c r="D4638" s="4">
        <v>0.18</v>
      </c>
      <c r="E4638" s="4">
        <v>-4.0042650104177173E-2</v>
      </c>
      <c r="F4638" s="3">
        <v>4636</v>
      </c>
      <c r="G4638" s="3">
        <v>4</v>
      </c>
      <c r="H4638" s="5">
        <v>11985292381.41</v>
      </c>
      <c r="I4638" s="5">
        <v>11775678381.41</v>
      </c>
      <c r="J4638" s="5">
        <v>0</v>
      </c>
      <c r="K4638" s="5">
        <v>209614000</v>
      </c>
      <c r="L4638" s="5">
        <v>570399000</v>
      </c>
      <c r="M4638" s="5">
        <v>240804000</v>
      </c>
      <c r="N4638" s="5">
        <v>223185000</v>
      </c>
    </row>
    <row r="4639" spans="1:14" x14ac:dyDescent="0.25">
      <c r="A4639" s="3" t="s">
        <v>4650</v>
      </c>
      <c r="B4639" s="4">
        <v>47.69</v>
      </c>
      <c r="C4639" s="4">
        <v>-0.1</v>
      </c>
      <c r="D4639" s="4">
        <v>-0.04</v>
      </c>
      <c r="E4639" s="4">
        <v>-4.023189661698412E-2</v>
      </c>
      <c r="F4639" s="3">
        <v>4637</v>
      </c>
      <c r="G4639" s="3">
        <v>4</v>
      </c>
      <c r="H4639" s="5">
        <v>4091733700</v>
      </c>
      <c r="I4639" s="5">
        <v>5059533700</v>
      </c>
      <c r="J4639" s="5">
        <v>1503900000</v>
      </c>
      <c r="K4639" s="5">
        <v>536100000</v>
      </c>
      <c r="L4639" s="5">
        <v>33115300000</v>
      </c>
      <c r="M4639" s="5">
        <v>106100000</v>
      </c>
      <c r="N4639" s="5">
        <v>-533800000</v>
      </c>
    </row>
    <row r="4640" spans="1:14" x14ac:dyDescent="0.25">
      <c r="A4640" s="3" t="s">
        <v>4651</v>
      </c>
      <c r="B4640" s="4">
        <v>48.33</v>
      </c>
      <c r="C4640" s="4">
        <v>0</v>
      </c>
      <c r="D4640" s="4">
        <v>0</v>
      </c>
      <c r="E4640" s="4">
        <v>-4.0331353605142471E-2</v>
      </c>
      <c r="F4640" s="3">
        <v>4638</v>
      </c>
      <c r="G4640" s="3">
        <v>4</v>
      </c>
      <c r="H4640" s="5">
        <v>77043111.599999994</v>
      </c>
      <c r="I4640" s="5">
        <v>79530071.599999994</v>
      </c>
      <c r="J4640" s="5">
        <v>3235560</v>
      </c>
      <c r="K4640" s="5">
        <v>748600</v>
      </c>
      <c r="L4640" s="5">
        <v>22469710</v>
      </c>
      <c r="M4640" s="5">
        <v>1645690</v>
      </c>
      <c r="N4640" s="5">
        <v>-136240</v>
      </c>
    </row>
    <row r="4641" spans="1:14" x14ac:dyDescent="0.25">
      <c r="A4641" s="3" t="s">
        <v>4652</v>
      </c>
      <c r="B4641" s="4">
        <v>55.41</v>
      </c>
      <c r="C4641" s="4">
        <v>1.5</v>
      </c>
      <c r="D4641" s="4">
        <v>0.13</v>
      </c>
      <c r="E4641" s="4">
        <v>-4.0354192840997033E-2</v>
      </c>
      <c r="F4641" s="3">
        <v>4639</v>
      </c>
      <c r="G4641" s="3">
        <v>4</v>
      </c>
      <c r="H4641" s="5">
        <v>13718096209.48</v>
      </c>
      <c r="I4641" s="5">
        <v>13122331209.48</v>
      </c>
      <c r="J4641" s="5">
        <v>0</v>
      </c>
      <c r="K4641" s="5">
        <v>595765000</v>
      </c>
      <c r="L4641" s="5">
        <v>11861335000</v>
      </c>
      <c r="M4641" s="5">
        <v>236826000</v>
      </c>
      <c r="N4641" s="5">
        <v>392738000</v>
      </c>
    </row>
    <row r="4642" spans="1:14" x14ac:dyDescent="0.25">
      <c r="A4642" s="3" t="s">
        <v>4653</v>
      </c>
      <c r="B4642" s="4">
        <v>48.02</v>
      </c>
      <c r="C4642" s="4">
        <v>-0.09</v>
      </c>
      <c r="D4642" s="4">
        <v>-0.08</v>
      </c>
      <c r="E4642" s="4">
        <v>-4.0414962904283251E-2</v>
      </c>
      <c r="F4642" s="3">
        <v>4640</v>
      </c>
      <c r="G4642" s="3">
        <v>4</v>
      </c>
      <c r="H4642" s="5">
        <v>1399945293.1199999</v>
      </c>
      <c r="I4642" s="5">
        <v>1091182293.1199999</v>
      </c>
      <c r="J4642" s="5">
        <v>2166000</v>
      </c>
      <c r="K4642" s="5">
        <v>310929000</v>
      </c>
      <c r="L4642" s="5">
        <v>656323000</v>
      </c>
      <c r="M4642" s="5">
        <v>22723000</v>
      </c>
      <c r="N4642" s="5">
        <v>-164170000</v>
      </c>
    </row>
    <row r="4643" spans="1:14" x14ac:dyDescent="0.25">
      <c r="A4643" s="3" t="s">
        <v>4654</v>
      </c>
      <c r="B4643" s="4">
        <v>49.44</v>
      </c>
      <c r="C4643" s="4">
        <v>0.2</v>
      </c>
      <c r="D4643" s="4">
        <v>0.13</v>
      </c>
      <c r="E4643" s="4">
        <v>-4.0415405951721328E-2</v>
      </c>
      <c r="F4643" s="3">
        <v>4641</v>
      </c>
      <c r="G4643" s="3">
        <v>4</v>
      </c>
      <c r="H4643" s="5">
        <v>10147666230.08</v>
      </c>
      <c r="I4643" s="5">
        <v>10170451230.08</v>
      </c>
      <c r="J4643" s="5">
        <v>180564000</v>
      </c>
      <c r="K4643" s="5">
        <v>157779000</v>
      </c>
      <c r="L4643" s="5">
        <v>672396000</v>
      </c>
      <c r="M4643" s="5">
        <v>205701000</v>
      </c>
      <c r="N4643" s="5">
        <v>183762000</v>
      </c>
    </row>
    <row r="4644" spans="1:14" x14ac:dyDescent="0.25">
      <c r="A4644" s="3" t="s">
        <v>4655</v>
      </c>
      <c r="B4644" s="4">
        <v>48.12</v>
      </c>
      <c r="C4644" s="4">
        <v>-0.12</v>
      </c>
      <c r="D4644" s="4">
        <v>-0.08</v>
      </c>
      <c r="E4644" s="4">
        <v>-4.0563535782297391E-2</v>
      </c>
      <c r="F4644" s="3">
        <v>4642</v>
      </c>
      <c r="G4644" s="3">
        <v>4</v>
      </c>
      <c r="H4644" s="5">
        <v>217719530.55000001</v>
      </c>
      <c r="I4644" s="5">
        <v>83974530.550000012</v>
      </c>
      <c r="J4644" s="5">
        <v>0</v>
      </c>
      <c r="K4644" s="5">
        <v>133745000</v>
      </c>
      <c r="L4644" s="5">
        <v>460849000</v>
      </c>
      <c r="M4644" s="5">
        <v>1745000</v>
      </c>
      <c r="N4644" s="5">
        <v>-23698000</v>
      </c>
    </row>
    <row r="4645" spans="1:14" x14ac:dyDescent="0.25">
      <c r="A4645" s="3" t="s">
        <v>4656</v>
      </c>
      <c r="B4645" s="4">
        <v>47.9</v>
      </c>
      <c r="C4645" s="4">
        <v>-0.18</v>
      </c>
      <c r="D4645" s="4">
        <v>-0.13</v>
      </c>
      <c r="E4645" s="4">
        <v>-4.0610380031935969E-2</v>
      </c>
      <c r="F4645" s="3">
        <v>4643</v>
      </c>
      <c r="G4645" s="3">
        <v>4</v>
      </c>
      <c r="H4645" s="5">
        <v>31722906279</v>
      </c>
      <c r="I4645" s="5">
        <v>32090906279</v>
      </c>
      <c r="J4645" s="5">
        <v>1849000000</v>
      </c>
      <c r="K4645" s="5">
        <v>1481000000</v>
      </c>
      <c r="L4645" s="5">
        <v>7355000000</v>
      </c>
      <c r="M4645" s="5">
        <v>670000000</v>
      </c>
      <c r="N4645" s="5">
        <v>-1641000000</v>
      </c>
    </row>
    <row r="4646" spans="1:14" x14ac:dyDescent="0.25">
      <c r="A4646" s="3" t="s">
        <v>4657</v>
      </c>
      <c r="B4646" s="4">
        <v>48.99</v>
      </c>
      <c r="C4646" s="4">
        <v>0.03</v>
      </c>
      <c r="D4646" s="4">
        <v>0.02</v>
      </c>
      <c r="E4646" s="4">
        <v>-4.0649302306951213E-2</v>
      </c>
      <c r="F4646" s="3">
        <v>4644</v>
      </c>
      <c r="G4646" s="3">
        <v>4</v>
      </c>
      <c r="H4646" s="5">
        <v>127897230813.05</v>
      </c>
      <c r="I4646" s="5">
        <v>139998938813.04999</v>
      </c>
      <c r="J4646" s="5">
        <v>15608294000</v>
      </c>
      <c r="K4646" s="5">
        <v>3506586000</v>
      </c>
      <c r="L4646" s="5">
        <v>7991118000</v>
      </c>
      <c r="M4646" s="5">
        <v>2857852000</v>
      </c>
      <c r="N4646" s="5">
        <v>951680000</v>
      </c>
    </row>
    <row r="4647" spans="1:14" x14ac:dyDescent="0.25">
      <c r="A4647" s="3" t="s">
        <v>4658</v>
      </c>
      <c r="B4647" s="4">
        <v>49.49</v>
      </c>
      <c r="C4647" s="4">
        <v>0.13</v>
      </c>
      <c r="D4647" s="4">
        <v>0.02</v>
      </c>
      <c r="E4647" s="4">
        <v>-4.0669826521660499E-2</v>
      </c>
      <c r="F4647" s="3">
        <v>4645</v>
      </c>
      <c r="G4647" s="3">
        <v>4</v>
      </c>
      <c r="H4647" s="5">
        <v>50067996862.25</v>
      </c>
      <c r="I4647" s="5">
        <v>59838634862.25</v>
      </c>
      <c r="J4647" s="5">
        <v>12506103000</v>
      </c>
      <c r="K4647" s="5">
        <v>2735465000</v>
      </c>
      <c r="L4647" s="5">
        <v>3884781000</v>
      </c>
      <c r="M4647" s="5">
        <v>1209078000</v>
      </c>
      <c r="N4647" s="5">
        <v>463742000</v>
      </c>
    </row>
    <row r="4648" spans="1:14" x14ac:dyDescent="0.25">
      <c r="A4648" s="3" t="s">
        <v>4659</v>
      </c>
      <c r="B4648" s="4">
        <v>48.65</v>
      </c>
      <c r="C4648" s="4">
        <v>-0.06</v>
      </c>
      <c r="D4648" s="4">
        <v>-0.03</v>
      </c>
      <c r="E4648" s="4">
        <v>-4.0708556909268223E-2</v>
      </c>
      <c r="F4648" s="3">
        <v>4646</v>
      </c>
      <c r="G4648" s="3">
        <v>4</v>
      </c>
      <c r="H4648" s="5">
        <v>131849077.8</v>
      </c>
      <c r="I4648" s="5">
        <v>92573077.799999997</v>
      </c>
      <c r="J4648" s="5">
        <v>275000</v>
      </c>
      <c r="K4648" s="5">
        <v>39551000</v>
      </c>
      <c r="L4648" s="5">
        <v>329923000</v>
      </c>
      <c r="M4648" s="5">
        <v>1903000</v>
      </c>
      <c r="N4648" s="5">
        <v>-9695000</v>
      </c>
    </row>
    <row r="4649" spans="1:14" x14ac:dyDescent="0.25">
      <c r="A4649" s="3" t="s">
        <v>4660</v>
      </c>
      <c r="B4649" s="4">
        <v>-0.49</v>
      </c>
      <c r="C4649" s="4">
        <v>-10.55</v>
      </c>
      <c r="D4649" s="4">
        <v>-0.59</v>
      </c>
      <c r="E4649" s="4">
        <v>-4.07122193603364E-2</v>
      </c>
      <c r="F4649" s="3">
        <v>4647</v>
      </c>
      <c r="G4649" s="3">
        <v>4</v>
      </c>
      <c r="H4649" s="5">
        <v>3659.7334000000001</v>
      </c>
      <c r="I4649" s="5">
        <v>7484659.7334000003</v>
      </c>
      <c r="J4649" s="5">
        <v>14047000</v>
      </c>
      <c r="K4649" s="5">
        <v>6566000</v>
      </c>
      <c r="L4649" s="5">
        <v>49164000</v>
      </c>
      <c r="M4649" s="5">
        <v>-15137000</v>
      </c>
      <c r="N4649" s="5">
        <v>-20632000</v>
      </c>
    </row>
    <row r="4650" spans="1:14" x14ac:dyDescent="0.25">
      <c r="A4650" s="3" t="s">
        <v>4661</v>
      </c>
      <c r="B4650" s="4">
        <v>48.52</v>
      </c>
      <c r="C4650" s="4">
        <v>-0.1</v>
      </c>
      <c r="D4650" s="4">
        <v>-0.05</v>
      </c>
      <c r="E4650" s="4">
        <v>-4.0747529716419061E-2</v>
      </c>
      <c r="F4650" s="3">
        <v>4648</v>
      </c>
      <c r="G4650" s="3">
        <v>4</v>
      </c>
      <c r="H4650" s="5">
        <v>1580184735.5999999</v>
      </c>
      <c r="I4650" s="5">
        <v>1466577735.5999999</v>
      </c>
      <c r="J4650" s="5">
        <v>0</v>
      </c>
      <c r="K4650" s="5">
        <v>113607000</v>
      </c>
      <c r="L4650" s="5">
        <v>4567672000</v>
      </c>
      <c r="M4650" s="5">
        <v>30225000</v>
      </c>
      <c r="N4650" s="5">
        <v>-21267000</v>
      </c>
    </row>
    <row r="4651" spans="1:14" x14ac:dyDescent="0.25">
      <c r="A4651" s="3" t="s">
        <v>4662</v>
      </c>
      <c r="B4651" s="4">
        <v>49.36</v>
      </c>
      <c r="C4651" s="4">
        <v>0.03</v>
      </c>
      <c r="D4651" s="4">
        <v>0</v>
      </c>
      <c r="E4651" s="4">
        <v>-4.0882160970898078E-2</v>
      </c>
      <c r="F4651" s="3">
        <v>4649</v>
      </c>
      <c r="G4651" s="3">
        <v>4</v>
      </c>
      <c r="H4651" s="5">
        <v>15586551.199999999</v>
      </c>
      <c r="I4651" s="5">
        <v>167304911.19999999</v>
      </c>
      <c r="J4651" s="5">
        <v>156556960</v>
      </c>
      <c r="K4651" s="5">
        <v>4838600</v>
      </c>
      <c r="L4651" s="5">
        <v>8088770</v>
      </c>
      <c r="M4651" s="5">
        <v>3389690</v>
      </c>
      <c r="N4651" s="5">
        <v>692740</v>
      </c>
    </row>
    <row r="4652" spans="1:14" x14ac:dyDescent="0.25">
      <c r="A4652" s="3" t="s">
        <v>4663</v>
      </c>
      <c r="B4652" s="4">
        <v>50.18</v>
      </c>
      <c r="C4652" s="4">
        <v>0.19</v>
      </c>
      <c r="D4652" s="4">
        <v>0.11</v>
      </c>
      <c r="E4652" s="4">
        <v>-4.0906158833474537E-2</v>
      </c>
      <c r="F4652" s="3">
        <v>4650</v>
      </c>
      <c r="G4652" s="3">
        <v>4</v>
      </c>
      <c r="H4652" s="5">
        <v>5840617587.3000002</v>
      </c>
      <c r="I4652" s="5">
        <v>5474497587.3000002</v>
      </c>
      <c r="J4652" s="5">
        <v>0</v>
      </c>
      <c r="K4652" s="5">
        <v>366120000</v>
      </c>
      <c r="L4652" s="5">
        <v>963713000</v>
      </c>
      <c r="M4652" s="5">
        <v>109108000</v>
      </c>
      <c r="N4652" s="5">
        <v>130319000</v>
      </c>
    </row>
    <row r="4653" spans="1:14" x14ac:dyDescent="0.25">
      <c r="A4653" s="3" t="s">
        <v>4664</v>
      </c>
      <c r="B4653" s="4">
        <v>49.92</v>
      </c>
      <c r="C4653" s="4">
        <v>0.09</v>
      </c>
      <c r="D4653" s="4">
        <v>0.08</v>
      </c>
      <c r="E4653" s="4">
        <v>-4.1039962635227627E-2</v>
      </c>
      <c r="F4653" s="3">
        <v>4651</v>
      </c>
      <c r="G4653" s="3">
        <v>4</v>
      </c>
      <c r="H4653" s="5">
        <v>5796024097.7200003</v>
      </c>
      <c r="I4653" s="5">
        <v>5451159097.7200003</v>
      </c>
      <c r="J4653" s="5">
        <v>0</v>
      </c>
      <c r="K4653" s="5">
        <v>344865000</v>
      </c>
      <c r="L4653" s="5">
        <v>290515000</v>
      </c>
      <c r="M4653" s="5">
        <v>109195000</v>
      </c>
      <c r="N4653" s="5">
        <v>89159000</v>
      </c>
    </row>
    <row r="4654" spans="1:14" x14ac:dyDescent="0.25">
      <c r="A4654" s="3" t="s">
        <v>4665</v>
      </c>
      <c r="B4654" s="4">
        <v>49.65</v>
      </c>
      <c r="C4654" s="4">
        <v>0.03</v>
      </c>
      <c r="D4654" s="4">
        <v>0.01</v>
      </c>
      <c r="E4654" s="4">
        <v>-4.1059718909535817E-2</v>
      </c>
      <c r="F4654" s="3">
        <v>4652</v>
      </c>
      <c r="G4654" s="3">
        <v>4</v>
      </c>
      <c r="H4654" s="5">
        <v>4052135500</v>
      </c>
      <c r="I4654" s="5">
        <v>4938006500</v>
      </c>
      <c r="J4654" s="5">
        <v>1452255000</v>
      </c>
      <c r="K4654" s="5">
        <v>566384000</v>
      </c>
      <c r="L4654" s="5">
        <v>260372000</v>
      </c>
      <c r="M4654" s="5">
        <v>99452000</v>
      </c>
      <c r="N4654" s="5">
        <v>50839000</v>
      </c>
    </row>
    <row r="4655" spans="1:14" x14ac:dyDescent="0.25">
      <c r="A4655" s="3" t="s">
        <v>4666</v>
      </c>
      <c r="B4655" s="4">
        <v>0.1</v>
      </c>
      <c r="C4655" s="4">
        <v>-9.99</v>
      </c>
      <c r="D4655" s="4">
        <v>-9.39</v>
      </c>
      <c r="E4655" s="4">
        <v>-4.1156883891859473E-2</v>
      </c>
      <c r="F4655" s="3">
        <v>4653</v>
      </c>
      <c r="G4655" s="3">
        <v>4</v>
      </c>
      <c r="H4655" s="5">
        <v>10343.7153</v>
      </c>
      <c r="I4655" s="5">
        <v>-1124656.2847</v>
      </c>
      <c r="J4655" s="5">
        <v>0</v>
      </c>
      <c r="K4655" s="5">
        <v>1135000</v>
      </c>
      <c r="L4655" s="5">
        <v>0</v>
      </c>
      <c r="M4655" s="5">
        <v>-10792000</v>
      </c>
      <c r="N4655" s="5">
        <v>-11621000</v>
      </c>
    </row>
    <row r="4656" spans="1:14" x14ac:dyDescent="0.25">
      <c r="A4656" s="3" t="s">
        <v>4667</v>
      </c>
      <c r="B4656" s="4">
        <v>54.94</v>
      </c>
      <c r="C4656" s="4">
        <v>1.07</v>
      </c>
      <c r="D4656" s="4">
        <v>0.49</v>
      </c>
      <c r="E4656" s="4">
        <v>-4.1236280318065879E-2</v>
      </c>
      <c r="F4656" s="3">
        <v>4654</v>
      </c>
      <c r="G4656" s="3">
        <v>4</v>
      </c>
      <c r="H4656" s="5">
        <v>47046346717.650002</v>
      </c>
      <c r="I4656" s="5">
        <v>47146176717.650002</v>
      </c>
      <c r="J4656" s="5">
        <v>249557000</v>
      </c>
      <c r="K4656" s="5">
        <v>149727000</v>
      </c>
      <c r="L4656" s="5">
        <v>2573545000</v>
      </c>
      <c r="M4656" s="5">
        <v>858181000</v>
      </c>
      <c r="N4656" s="5">
        <v>711922000</v>
      </c>
    </row>
    <row r="4657" spans="1:14" x14ac:dyDescent="0.25">
      <c r="A4657" s="3" t="s">
        <v>4668</v>
      </c>
      <c r="B4657" s="4">
        <v>9.84</v>
      </c>
      <c r="C4657" s="4">
        <v>-8.56</v>
      </c>
      <c r="D4657" s="4">
        <v>-0.06</v>
      </c>
      <c r="E4657" s="4">
        <v>-4.1253602640932453E-2</v>
      </c>
      <c r="F4657" s="3">
        <v>4655</v>
      </c>
      <c r="G4657" s="3">
        <v>4</v>
      </c>
      <c r="H4657" s="5">
        <v>113316.6</v>
      </c>
      <c r="I4657" s="5">
        <v>531742316.60000002</v>
      </c>
      <c r="J4657" s="5">
        <v>546980000</v>
      </c>
      <c r="K4657" s="5">
        <v>15351000</v>
      </c>
      <c r="L4657" s="5">
        <v>345799000</v>
      </c>
      <c r="M4657" s="5">
        <v>54016000</v>
      </c>
      <c r="N4657" s="5">
        <v>-34813000</v>
      </c>
    </row>
    <row r="4658" spans="1:14" x14ac:dyDescent="0.25">
      <c r="A4658" s="3" t="s">
        <v>4669</v>
      </c>
      <c r="B4658" s="4">
        <v>50.68</v>
      </c>
      <c r="C4658" s="4">
        <v>0.02</v>
      </c>
      <c r="D4658" s="4">
        <v>0.01</v>
      </c>
      <c r="E4658" s="4">
        <v>-4.1726100703349263E-2</v>
      </c>
      <c r="F4658" s="3">
        <v>4656</v>
      </c>
      <c r="G4658" s="3">
        <v>4</v>
      </c>
      <c r="H4658" s="5">
        <v>1902046939.7</v>
      </c>
      <c r="I4658" s="5">
        <v>1891250939.7</v>
      </c>
      <c r="J4658" s="5">
        <v>72600000</v>
      </c>
      <c r="K4658" s="5">
        <v>83396000</v>
      </c>
      <c r="L4658" s="5">
        <v>235133000</v>
      </c>
      <c r="M4658" s="5">
        <v>37319000</v>
      </c>
      <c r="N4658" s="5">
        <v>5752000</v>
      </c>
    </row>
    <row r="4659" spans="1:14" x14ac:dyDescent="0.25">
      <c r="A4659" s="3" t="s">
        <v>4670</v>
      </c>
      <c r="B4659" s="4">
        <v>50.6</v>
      </c>
      <c r="C4659" s="4">
        <v>0</v>
      </c>
      <c r="D4659" s="4">
        <v>0</v>
      </c>
      <c r="E4659" s="4">
        <v>-4.1736303298379053E-2</v>
      </c>
      <c r="F4659" s="3">
        <v>4657</v>
      </c>
      <c r="G4659" s="3">
        <v>4</v>
      </c>
      <c r="H4659" s="5">
        <v>6668454820.79</v>
      </c>
      <c r="I4659" s="5">
        <v>7998996820.7900009</v>
      </c>
      <c r="J4659" s="5">
        <v>2331507000</v>
      </c>
      <c r="K4659" s="5">
        <v>1000965000</v>
      </c>
      <c r="L4659" s="5">
        <v>1770645000</v>
      </c>
      <c r="M4659" s="5">
        <v>158087000</v>
      </c>
      <c r="N4659" s="5">
        <v>-2800000</v>
      </c>
    </row>
    <row r="4660" spans="1:14" x14ac:dyDescent="0.25">
      <c r="A4660" s="3" t="s">
        <v>4671</v>
      </c>
      <c r="B4660" s="4">
        <v>50.81</v>
      </c>
      <c r="C4660" s="4">
        <v>0.02</v>
      </c>
      <c r="D4660" s="4">
        <v>-0.05</v>
      </c>
      <c r="E4660" s="4">
        <v>-4.1818134536876293E-2</v>
      </c>
      <c r="F4660" s="3">
        <v>4658</v>
      </c>
      <c r="G4660" s="3">
        <v>4</v>
      </c>
      <c r="H4660" s="5">
        <v>752.7441</v>
      </c>
      <c r="I4660" s="5">
        <v>258622.74410000001</v>
      </c>
      <c r="J4660" s="5">
        <v>276000</v>
      </c>
      <c r="K4660" s="5">
        <v>18130</v>
      </c>
      <c r="L4660" s="5">
        <v>355270</v>
      </c>
      <c r="M4660" s="5">
        <v>5090</v>
      </c>
      <c r="N4660" s="5">
        <v>-8380</v>
      </c>
    </row>
    <row r="4661" spans="1:14" x14ac:dyDescent="0.25">
      <c r="A4661" s="3" t="s">
        <v>4672</v>
      </c>
      <c r="B4661" s="4">
        <v>52.05</v>
      </c>
      <c r="C4661" s="4">
        <v>0.16</v>
      </c>
      <c r="D4661" s="4">
        <v>0.13</v>
      </c>
      <c r="E4661" s="4">
        <v>-4.2146363066716368E-2</v>
      </c>
      <c r="F4661" s="3">
        <v>4659</v>
      </c>
      <c r="G4661" s="3">
        <v>4</v>
      </c>
      <c r="H4661" s="5">
        <v>11691880945.129999</v>
      </c>
      <c r="I4661" s="5">
        <v>11592105945.129999</v>
      </c>
      <c r="J4661" s="5">
        <v>0</v>
      </c>
      <c r="K4661" s="5">
        <v>99775000</v>
      </c>
      <c r="L4661" s="5">
        <v>556624000</v>
      </c>
      <c r="M4661" s="5">
        <v>222690000</v>
      </c>
      <c r="N4661" s="5">
        <v>179821000</v>
      </c>
    </row>
    <row r="4662" spans="1:14" x14ac:dyDescent="0.25">
      <c r="A4662" s="3" t="s">
        <v>4673</v>
      </c>
      <c r="B4662" s="4">
        <v>11.03</v>
      </c>
      <c r="C4662" s="4">
        <v>-8.66</v>
      </c>
      <c r="D4662" s="4">
        <v>0.12</v>
      </c>
      <c r="E4662" s="4">
        <v>-4.2244331710634138E-2</v>
      </c>
      <c r="F4662" s="3">
        <v>4660</v>
      </c>
      <c r="G4662" s="3">
        <v>4</v>
      </c>
      <c r="H4662" s="5">
        <v>7986249058.9300003</v>
      </c>
      <c r="I4662" s="5">
        <v>10869239058.93</v>
      </c>
      <c r="J4662" s="5">
        <v>3848983000</v>
      </c>
      <c r="K4662" s="5">
        <v>965993000</v>
      </c>
      <c r="L4662" s="5">
        <v>3479373000</v>
      </c>
      <c r="M4662" s="5">
        <v>984986000</v>
      </c>
      <c r="N4662" s="5">
        <v>551276000</v>
      </c>
    </row>
    <row r="4663" spans="1:14" x14ac:dyDescent="0.25">
      <c r="A4663" s="3" t="s">
        <v>4674</v>
      </c>
      <c r="B4663" s="4">
        <v>51.59</v>
      </c>
      <c r="C4663" s="4">
        <v>0.03</v>
      </c>
      <c r="D4663" s="4">
        <v>0.02</v>
      </c>
      <c r="E4663" s="4">
        <v>-4.2258495788191339E-2</v>
      </c>
      <c r="F4663" s="3">
        <v>4661</v>
      </c>
      <c r="G4663" s="3">
        <v>4</v>
      </c>
      <c r="H4663" s="5">
        <v>41468177727.919998</v>
      </c>
      <c r="I4663" s="5">
        <v>42353720727.919998</v>
      </c>
      <c r="J4663" s="5">
        <v>1281290000</v>
      </c>
      <c r="K4663" s="5">
        <v>395747000</v>
      </c>
      <c r="L4663" s="5">
        <v>3135772000</v>
      </c>
      <c r="M4663" s="5">
        <v>821018000</v>
      </c>
      <c r="N4663" s="5">
        <v>171853000</v>
      </c>
    </row>
    <row r="4664" spans="1:14" x14ac:dyDescent="0.25">
      <c r="A4664" s="3" t="s">
        <v>4675</v>
      </c>
      <c r="B4664" s="4">
        <v>52.16</v>
      </c>
      <c r="C4664" s="4">
        <v>0.09</v>
      </c>
      <c r="D4664" s="4">
        <v>0.08</v>
      </c>
      <c r="E4664" s="4">
        <v>-4.2426344711372972E-2</v>
      </c>
      <c r="F4664" s="3">
        <v>4662</v>
      </c>
      <c r="G4664" s="3">
        <v>4</v>
      </c>
      <c r="H4664" s="5">
        <v>4448731676.7200003</v>
      </c>
      <c r="I4664" s="5">
        <v>4242831676.7199998</v>
      </c>
      <c r="J4664" s="5">
        <v>0</v>
      </c>
      <c r="K4664" s="5">
        <v>205900000</v>
      </c>
      <c r="L4664" s="5">
        <v>871745000</v>
      </c>
      <c r="M4664" s="5">
        <v>81341000</v>
      </c>
      <c r="N4664" s="5">
        <v>44169000</v>
      </c>
    </row>
    <row r="4665" spans="1:14" x14ac:dyDescent="0.25">
      <c r="A4665" s="3" t="s">
        <v>4676</v>
      </c>
      <c r="B4665" s="4">
        <v>56.5</v>
      </c>
      <c r="C4665" s="4">
        <v>0.92</v>
      </c>
      <c r="D4665" s="4">
        <v>0.65</v>
      </c>
      <c r="E4665" s="4">
        <v>-4.2604336086786737E-2</v>
      </c>
      <c r="F4665" s="3">
        <v>4663</v>
      </c>
      <c r="G4665" s="3">
        <v>4</v>
      </c>
      <c r="H4665" s="5">
        <v>4743603000000</v>
      </c>
      <c r="I4665" s="5">
        <v>4743477000000</v>
      </c>
      <c r="J4665" s="5">
        <v>8463000000</v>
      </c>
      <c r="K4665" s="5">
        <v>8589000000</v>
      </c>
      <c r="L4665" s="5">
        <v>130497000000</v>
      </c>
      <c r="M4665" s="5">
        <v>83948000000</v>
      </c>
      <c r="N4665" s="5">
        <v>72880000000</v>
      </c>
    </row>
    <row r="4666" spans="1:14" x14ac:dyDescent="0.25">
      <c r="A4666" s="3" t="s">
        <v>4677</v>
      </c>
      <c r="B4666" s="4">
        <v>52.37</v>
      </c>
      <c r="C4666" s="4">
        <v>0.02</v>
      </c>
      <c r="D4666" s="4">
        <v>0.02</v>
      </c>
      <c r="E4666" s="4">
        <v>-4.2770147439577827E-2</v>
      </c>
      <c r="F4666" s="3">
        <v>4664</v>
      </c>
      <c r="G4666" s="3">
        <v>4</v>
      </c>
      <c r="H4666" s="5">
        <v>7046027167.46</v>
      </c>
      <c r="I4666" s="5">
        <v>7272656167.46</v>
      </c>
      <c r="J4666" s="5">
        <v>280695000</v>
      </c>
      <c r="K4666" s="5">
        <v>54066000</v>
      </c>
      <c r="L4666" s="5">
        <v>402819000</v>
      </c>
      <c r="M4666" s="5">
        <v>138862000</v>
      </c>
      <c r="N4666" s="5">
        <v>22231000</v>
      </c>
    </row>
    <row r="4667" spans="1:14" x14ac:dyDescent="0.25">
      <c r="A4667" s="3" t="s">
        <v>4678</v>
      </c>
      <c r="B4667" s="4">
        <v>52.86</v>
      </c>
      <c r="C4667" s="4">
        <v>0.08</v>
      </c>
      <c r="D4667" s="4">
        <v>7.0000000000000007E-2</v>
      </c>
      <c r="E4667" s="4">
        <v>-4.2890411743760362E-2</v>
      </c>
      <c r="F4667" s="3">
        <v>4665</v>
      </c>
      <c r="G4667" s="3">
        <v>4</v>
      </c>
      <c r="H4667" s="5">
        <v>2406453863.8800001</v>
      </c>
      <c r="I4667" s="5">
        <v>2256303863.8800001</v>
      </c>
      <c r="J4667" s="5">
        <v>0</v>
      </c>
      <c r="K4667" s="5">
        <v>150150000</v>
      </c>
      <c r="L4667" s="5">
        <v>802804000</v>
      </c>
      <c r="M4667" s="5">
        <v>42683000</v>
      </c>
      <c r="N4667" s="5">
        <v>53509000</v>
      </c>
    </row>
    <row r="4668" spans="1:14" x14ac:dyDescent="0.25">
      <c r="A4668" s="3" t="s">
        <v>4679</v>
      </c>
      <c r="B4668" s="4">
        <v>51.47</v>
      </c>
      <c r="C4668" s="4">
        <v>-0.28000000000000003</v>
      </c>
      <c r="D4668" s="4">
        <v>0.72</v>
      </c>
      <c r="E4668" s="4">
        <v>-4.2944895276849193E-2</v>
      </c>
      <c r="F4668" s="3">
        <v>4666</v>
      </c>
      <c r="G4668" s="3">
        <v>4</v>
      </c>
      <c r="H4668" s="5">
        <v>3535076350</v>
      </c>
      <c r="I4668" s="5">
        <v>3661633350</v>
      </c>
      <c r="J4668" s="5">
        <v>133651000</v>
      </c>
      <c r="K4668" s="5">
        <v>7094000</v>
      </c>
      <c r="L4668" s="5">
        <v>119299000</v>
      </c>
      <c r="M4668" s="5">
        <v>71143000</v>
      </c>
      <c r="N4668" s="5">
        <v>34592000</v>
      </c>
    </row>
    <row r="4669" spans="1:14" x14ac:dyDescent="0.25">
      <c r="A4669" s="3" t="s">
        <v>4680</v>
      </c>
      <c r="B4669" s="4">
        <v>53.07</v>
      </c>
      <c r="C4669" s="4">
        <v>7.0000000000000007E-2</v>
      </c>
      <c r="D4669" s="4">
        <v>0.06</v>
      </c>
      <c r="E4669" s="4">
        <v>-4.3051207696990938E-2</v>
      </c>
      <c r="F4669" s="3">
        <v>4667</v>
      </c>
      <c r="G4669" s="3">
        <v>4</v>
      </c>
      <c r="H4669" s="5">
        <v>4269042887.04</v>
      </c>
      <c r="I4669" s="5">
        <v>4091628887.04</v>
      </c>
      <c r="J4669" s="5">
        <v>13314000</v>
      </c>
      <c r="K4669" s="5">
        <v>190728000</v>
      </c>
      <c r="L4669" s="5">
        <v>763599000</v>
      </c>
      <c r="M4669" s="5">
        <v>77102000</v>
      </c>
      <c r="N4669" s="5">
        <v>69614000</v>
      </c>
    </row>
    <row r="4670" spans="1:14" x14ac:dyDescent="0.25">
      <c r="A4670" s="3" t="s">
        <v>4681</v>
      </c>
      <c r="B4670" s="4">
        <v>-0.11</v>
      </c>
      <c r="C4670" s="4">
        <v>-11.07</v>
      </c>
      <c r="D4670" s="4">
        <v>-4.1100000000000003</v>
      </c>
      <c r="E4670" s="4">
        <v>-4.3128894096859223E-2</v>
      </c>
      <c r="F4670" s="3">
        <v>4668</v>
      </c>
      <c r="G4670" s="3">
        <v>4</v>
      </c>
      <c r="H4670" s="5">
        <v>13416711.68</v>
      </c>
      <c r="I4670" s="5">
        <v>4616711.68</v>
      </c>
      <c r="J4670" s="5">
        <v>966000</v>
      </c>
      <c r="K4670" s="5">
        <v>9766000</v>
      </c>
      <c r="L4670" s="5">
        <v>0</v>
      </c>
      <c r="M4670" s="5">
        <v>-42112000</v>
      </c>
      <c r="N4670" s="5">
        <v>-53858000</v>
      </c>
    </row>
    <row r="4671" spans="1:14" x14ac:dyDescent="0.25">
      <c r="A4671" s="3" t="s">
        <v>4682</v>
      </c>
      <c r="B4671" s="4">
        <v>0.16</v>
      </c>
      <c r="C4671" s="4">
        <v>-11.04</v>
      </c>
      <c r="D4671" s="4">
        <v>-3.76</v>
      </c>
      <c r="E4671" s="4">
        <v>-4.3141805899424207E-2</v>
      </c>
      <c r="F4671" s="3">
        <v>4669</v>
      </c>
      <c r="G4671" s="3">
        <v>4</v>
      </c>
      <c r="H4671" s="5">
        <v>27741.668099999999</v>
      </c>
      <c r="I4671" s="5">
        <v>-4959258.3318999996</v>
      </c>
      <c r="J4671" s="5">
        <v>0</v>
      </c>
      <c r="K4671" s="5">
        <v>4987000</v>
      </c>
      <c r="L4671" s="5">
        <v>0</v>
      </c>
      <c r="M4671" s="5">
        <v>-31411000</v>
      </c>
      <c r="N4671" s="5">
        <v>-30074000</v>
      </c>
    </row>
    <row r="4672" spans="1:14" x14ac:dyDescent="0.25">
      <c r="A4672" s="3" t="s">
        <v>4683</v>
      </c>
      <c r="B4672" s="4">
        <v>8.9</v>
      </c>
      <c r="C4672" s="4">
        <v>-9.42</v>
      </c>
      <c r="D4672" s="4">
        <v>-0.08</v>
      </c>
      <c r="E4672" s="4">
        <v>-4.3160525561805559E-2</v>
      </c>
      <c r="F4672" s="3">
        <v>4670</v>
      </c>
      <c r="G4672" s="3">
        <v>4</v>
      </c>
      <c r="H4672" s="5">
        <v>2331556214.6300001</v>
      </c>
      <c r="I4672" s="5">
        <v>4397759214.6300001</v>
      </c>
      <c r="J4672" s="5">
        <v>2281057000</v>
      </c>
      <c r="K4672" s="5">
        <v>214854000</v>
      </c>
      <c r="L4672" s="5">
        <v>3507438000</v>
      </c>
      <c r="M4672" s="5">
        <v>494251000</v>
      </c>
      <c r="N4672" s="5">
        <v>-320431000</v>
      </c>
    </row>
    <row r="4673" spans="1:14" x14ac:dyDescent="0.25">
      <c r="A4673" s="3" t="s">
        <v>4684</v>
      </c>
      <c r="B4673" s="4">
        <v>53.04</v>
      </c>
      <c r="C4673" s="4">
        <v>0.02</v>
      </c>
      <c r="D4673" s="4">
        <v>0</v>
      </c>
      <c r="E4673" s="4">
        <v>-4.3188682274437028E-2</v>
      </c>
      <c r="F4673" s="3">
        <v>4671</v>
      </c>
      <c r="G4673" s="3">
        <v>4</v>
      </c>
      <c r="H4673" s="5">
        <v>23606641802.400002</v>
      </c>
      <c r="I4673" s="5">
        <v>29861849802.400002</v>
      </c>
      <c r="J4673" s="5">
        <v>7609663000</v>
      </c>
      <c r="K4673" s="5">
        <v>1354455000</v>
      </c>
      <c r="L4673" s="5">
        <v>3224412000</v>
      </c>
      <c r="M4673" s="5">
        <v>562994000</v>
      </c>
      <c r="N4673" s="5">
        <v>52185000</v>
      </c>
    </row>
    <row r="4674" spans="1:14" x14ac:dyDescent="0.25">
      <c r="A4674" s="3" t="s">
        <v>4685</v>
      </c>
      <c r="B4674" s="4">
        <v>54.38</v>
      </c>
      <c r="C4674" s="4">
        <v>0.15</v>
      </c>
      <c r="D4674" s="4">
        <v>0.08</v>
      </c>
      <c r="E4674" s="4">
        <v>-4.3626986734037407E-2</v>
      </c>
      <c r="F4674" s="3">
        <v>4672</v>
      </c>
      <c r="G4674" s="3">
        <v>4</v>
      </c>
      <c r="H4674" s="5">
        <v>436575209.83999997</v>
      </c>
      <c r="I4674" s="5">
        <v>436091209.83999997</v>
      </c>
      <c r="J4674" s="5">
        <v>6666000</v>
      </c>
      <c r="K4674" s="5">
        <v>7150000</v>
      </c>
      <c r="L4674" s="5">
        <v>123328000</v>
      </c>
      <c r="M4674" s="5">
        <v>8020000</v>
      </c>
      <c r="N4674" s="5">
        <v>3711000</v>
      </c>
    </row>
    <row r="4675" spans="1:14" x14ac:dyDescent="0.25">
      <c r="A4675" s="3" t="s">
        <v>4686</v>
      </c>
      <c r="B4675" s="4">
        <v>53.38</v>
      </c>
      <c r="C4675" s="4">
        <v>-0.09</v>
      </c>
      <c r="D4675" s="4">
        <v>-7.0000000000000007E-2</v>
      </c>
      <c r="E4675" s="4">
        <v>-4.3730448131339243E-2</v>
      </c>
      <c r="F4675" s="3">
        <v>4673</v>
      </c>
      <c r="G4675" s="3">
        <v>4</v>
      </c>
      <c r="H4675" s="5">
        <v>947678646</v>
      </c>
      <c r="I4675" s="5">
        <v>973986646</v>
      </c>
      <c r="J4675" s="5">
        <v>40000000</v>
      </c>
      <c r="K4675" s="5">
        <v>13692000</v>
      </c>
      <c r="L4675" s="5">
        <v>174477000</v>
      </c>
      <c r="M4675" s="5">
        <v>18247000</v>
      </c>
      <c r="N4675" s="5">
        <v>-43691000</v>
      </c>
    </row>
    <row r="4676" spans="1:14" x14ac:dyDescent="0.25">
      <c r="A4676" s="3" t="s">
        <v>4687</v>
      </c>
      <c r="B4676" s="4">
        <v>54.14</v>
      </c>
      <c r="C4676" s="4">
        <v>0.04</v>
      </c>
      <c r="D4676" s="4">
        <v>-0.35</v>
      </c>
      <c r="E4676" s="4">
        <v>-4.3879223617299352E-2</v>
      </c>
      <c r="F4676" s="3">
        <v>4674</v>
      </c>
      <c r="G4676" s="3">
        <v>4</v>
      </c>
      <c r="H4676" s="5">
        <v>332205.99359999999</v>
      </c>
      <c r="I4676" s="5">
        <v>2101247205.9935999</v>
      </c>
      <c r="J4676" s="5">
        <v>2168619000</v>
      </c>
      <c r="K4676" s="5">
        <v>67704000</v>
      </c>
      <c r="L4676" s="5">
        <v>1021892000</v>
      </c>
      <c r="M4676" s="5">
        <v>38814000</v>
      </c>
      <c r="N4676" s="5">
        <v>-167529000</v>
      </c>
    </row>
    <row r="4677" spans="1:14" x14ac:dyDescent="0.25">
      <c r="A4677" s="3" t="s">
        <v>4688</v>
      </c>
      <c r="B4677" s="4">
        <v>55.31</v>
      </c>
      <c r="C4677" s="4">
        <v>0.23</v>
      </c>
      <c r="D4677" s="4">
        <v>7.0000000000000007E-2</v>
      </c>
      <c r="E4677" s="4">
        <v>-4.3973363034327452E-2</v>
      </c>
      <c r="F4677" s="3">
        <v>4675</v>
      </c>
      <c r="G4677" s="3">
        <v>4</v>
      </c>
      <c r="H4677" s="5">
        <v>5672739671.3000002</v>
      </c>
      <c r="I4677" s="5">
        <v>5370636671.3000002</v>
      </c>
      <c r="J4677" s="5">
        <v>0</v>
      </c>
      <c r="K4677" s="5">
        <v>302103000</v>
      </c>
      <c r="L4677" s="5">
        <v>995619000</v>
      </c>
      <c r="M4677" s="5">
        <v>97104000</v>
      </c>
      <c r="N4677" s="5">
        <v>76106000</v>
      </c>
    </row>
    <row r="4678" spans="1:14" x14ac:dyDescent="0.25">
      <c r="A4678" s="3" t="s">
        <v>4689</v>
      </c>
      <c r="B4678" s="4">
        <v>55.05</v>
      </c>
      <c r="C4678" s="4">
        <v>0.17</v>
      </c>
      <c r="D4678" s="4">
        <v>0.02</v>
      </c>
      <c r="E4678" s="4">
        <v>-4.3995450461177719E-2</v>
      </c>
      <c r="F4678" s="3">
        <v>4676</v>
      </c>
      <c r="G4678" s="3">
        <v>4</v>
      </c>
      <c r="H4678" s="5">
        <v>67368612187.519997</v>
      </c>
      <c r="I4678" s="5">
        <v>71284612187.519989</v>
      </c>
      <c r="J4678" s="5">
        <v>5632000000</v>
      </c>
      <c r="K4678" s="5">
        <v>1716000000</v>
      </c>
      <c r="L4678" s="5">
        <v>13673000000</v>
      </c>
      <c r="M4678" s="5">
        <v>1295000000</v>
      </c>
      <c r="N4678" s="5">
        <v>210000000</v>
      </c>
    </row>
    <row r="4679" spans="1:14" x14ac:dyDescent="0.25">
      <c r="A4679" s="3" t="s">
        <v>4690</v>
      </c>
      <c r="B4679" s="4">
        <v>54.82</v>
      </c>
      <c r="C4679" s="4">
        <v>0.12</v>
      </c>
      <c r="D4679" s="4">
        <v>0.01</v>
      </c>
      <c r="E4679" s="4">
        <v>-4.3999495791794727E-2</v>
      </c>
      <c r="F4679" s="3">
        <v>4677</v>
      </c>
      <c r="G4679" s="3">
        <v>4</v>
      </c>
      <c r="H4679" s="5">
        <v>237870302788.98999</v>
      </c>
      <c r="I4679" s="5">
        <v>1165084302788.99</v>
      </c>
      <c r="J4679" s="5">
        <v>1103946000000</v>
      </c>
      <c r="K4679" s="5">
        <v>176732000000</v>
      </c>
      <c r="L4679" s="5">
        <v>126853000000</v>
      </c>
      <c r="M4679" s="5">
        <v>21254000000</v>
      </c>
      <c r="N4679" s="5">
        <v>14276000000</v>
      </c>
    </row>
    <row r="4680" spans="1:14" x14ac:dyDescent="0.25">
      <c r="A4680" s="3" t="s">
        <v>4691</v>
      </c>
      <c r="B4680" s="4">
        <v>4.74</v>
      </c>
      <c r="C4680" s="4">
        <v>-10.67</v>
      </c>
      <c r="D4680" s="4">
        <v>0.34</v>
      </c>
      <c r="E4680" s="4">
        <v>-4.4116497752373349E-2</v>
      </c>
      <c r="F4680" s="3">
        <v>4678</v>
      </c>
      <c r="G4680" s="3">
        <v>4</v>
      </c>
      <c r="H4680" s="5">
        <v>28147988.75</v>
      </c>
      <c r="I4680" s="5">
        <v>22199178.75</v>
      </c>
      <c r="J4680" s="5">
        <v>0</v>
      </c>
      <c r="K4680" s="5">
        <v>5948810</v>
      </c>
      <c r="L4680" s="5">
        <v>18659140</v>
      </c>
      <c r="M4680" s="5">
        <v>4685910</v>
      </c>
      <c r="N4680" s="5">
        <v>3842890</v>
      </c>
    </row>
    <row r="4681" spans="1:14" x14ac:dyDescent="0.25">
      <c r="A4681" s="3" t="s">
        <v>4692</v>
      </c>
      <c r="B4681" s="4">
        <v>56.12</v>
      </c>
      <c r="C4681" s="4">
        <v>0.23</v>
      </c>
      <c r="D4681" s="4">
        <v>0.12</v>
      </c>
      <c r="E4681" s="4">
        <v>-4.4465043562903199E-2</v>
      </c>
      <c r="F4681" s="3">
        <v>4679</v>
      </c>
      <c r="G4681" s="3">
        <v>4</v>
      </c>
      <c r="H4681" s="5">
        <v>89181213630</v>
      </c>
      <c r="I4681" s="5">
        <v>89013366630</v>
      </c>
      <c r="J4681" s="5">
        <v>2476183000</v>
      </c>
      <c r="K4681" s="5">
        <v>2644030000</v>
      </c>
      <c r="L4681" s="5">
        <v>4641264000</v>
      </c>
      <c r="M4681" s="5">
        <v>1586063000</v>
      </c>
      <c r="N4681" s="5">
        <v>1055484000</v>
      </c>
    </row>
    <row r="4682" spans="1:14" x14ac:dyDescent="0.25">
      <c r="A4682" s="3" t="s">
        <v>4693</v>
      </c>
      <c r="B4682" s="4">
        <v>-0.88</v>
      </c>
      <c r="C4682" s="4">
        <v>-11.96</v>
      </c>
      <c r="D4682" s="4">
        <v>-0.57999999999999996</v>
      </c>
      <c r="E4682" s="4">
        <v>-4.4542909900611438E-2</v>
      </c>
      <c r="F4682" s="3">
        <v>4680</v>
      </c>
      <c r="G4682" s="3">
        <v>4</v>
      </c>
      <c r="H4682" s="5">
        <v>12545.0862</v>
      </c>
      <c r="I4682" s="5">
        <v>11382355.086200001</v>
      </c>
      <c r="J4682" s="5">
        <v>11738920</v>
      </c>
      <c r="K4682" s="5">
        <v>369110</v>
      </c>
      <c r="L4682" s="5">
        <v>17710440</v>
      </c>
      <c r="M4682" s="5">
        <v>-12963400</v>
      </c>
      <c r="N4682" s="5">
        <v>-19040980</v>
      </c>
    </row>
    <row r="4683" spans="1:14" x14ac:dyDescent="0.25">
      <c r="A4683" s="3" t="s">
        <v>4694</v>
      </c>
      <c r="B4683" s="4">
        <v>-0.27</v>
      </c>
      <c r="C4683" s="4">
        <v>-11.68</v>
      </c>
      <c r="D4683" s="4">
        <v>-3.11</v>
      </c>
      <c r="E4683" s="4">
        <v>-4.4599474175837331E-2</v>
      </c>
      <c r="F4683" s="3">
        <v>4681</v>
      </c>
      <c r="G4683" s="3">
        <v>4</v>
      </c>
      <c r="H4683" s="5">
        <v>242670.0123</v>
      </c>
      <c r="I4683" s="5">
        <v>116750.0123</v>
      </c>
      <c r="J4683" s="5">
        <v>0</v>
      </c>
      <c r="K4683" s="5">
        <v>125920</v>
      </c>
      <c r="L4683" s="5">
        <v>0</v>
      </c>
      <c r="M4683" s="5">
        <v>-432290</v>
      </c>
      <c r="N4683" s="5">
        <v>-627700</v>
      </c>
    </row>
    <row r="4684" spans="1:14" x14ac:dyDescent="0.25">
      <c r="A4684" s="3" t="s">
        <v>4695</v>
      </c>
      <c r="B4684" s="4">
        <v>55.74</v>
      </c>
      <c r="C4684" s="4">
        <v>0.08</v>
      </c>
      <c r="D4684" s="4">
        <v>0.03</v>
      </c>
      <c r="E4684" s="4">
        <v>-4.4680619090828697E-2</v>
      </c>
      <c r="F4684" s="3">
        <v>4682</v>
      </c>
      <c r="G4684" s="3">
        <v>4</v>
      </c>
      <c r="H4684" s="5">
        <v>119984668.27</v>
      </c>
      <c r="I4684" s="5">
        <v>131367278.27</v>
      </c>
      <c r="J4684" s="5">
        <v>12101240</v>
      </c>
      <c r="K4684" s="5">
        <v>718630</v>
      </c>
      <c r="L4684" s="5">
        <v>46009520</v>
      </c>
      <c r="M4684" s="5">
        <v>2356880</v>
      </c>
      <c r="N4684" s="5">
        <v>727450</v>
      </c>
    </row>
    <row r="4685" spans="1:14" x14ac:dyDescent="0.25">
      <c r="A4685" s="3" t="s">
        <v>4696</v>
      </c>
      <c r="B4685" s="4">
        <v>55.95</v>
      </c>
      <c r="C4685" s="4">
        <v>0.09</v>
      </c>
      <c r="D4685" s="4">
        <v>0.05</v>
      </c>
      <c r="E4685" s="4">
        <v>-4.4777840750297837E-2</v>
      </c>
      <c r="F4685" s="3">
        <v>4683</v>
      </c>
      <c r="G4685" s="3">
        <v>4</v>
      </c>
      <c r="H4685" s="5">
        <v>27927150</v>
      </c>
      <c r="I4685" s="5">
        <v>46603150</v>
      </c>
      <c r="J4685" s="5">
        <v>22803000</v>
      </c>
      <c r="K4685" s="5">
        <v>4127000</v>
      </c>
      <c r="L4685" s="5">
        <v>7580000</v>
      </c>
      <c r="M4685" s="5">
        <v>833000</v>
      </c>
      <c r="N4685" s="5">
        <v>7075000</v>
      </c>
    </row>
    <row r="4686" spans="1:14" x14ac:dyDescent="0.25">
      <c r="A4686" s="3" t="s">
        <v>4697</v>
      </c>
      <c r="B4686" s="4">
        <v>55.74</v>
      </c>
      <c r="C4686" s="4">
        <v>-0.03</v>
      </c>
      <c r="D4686" s="4">
        <v>-0.02</v>
      </c>
      <c r="E4686" s="4">
        <v>-4.5008093900875262E-2</v>
      </c>
      <c r="F4686" s="3">
        <v>4684</v>
      </c>
      <c r="G4686" s="3">
        <v>4</v>
      </c>
      <c r="H4686" s="5">
        <v>4693016969.1999998</v>
      </c>
      <c r="I4686" s="5">
        <v>4975417969.1999998</v>
      </c>
      <c r="J4686" s="5">
        <v>591500000</v>
      </c>
      <c r="K4686" s="5">
        <v>309099000</v>
      </c>
      <c r="L4686" s="5">
        <v>912020000</v>
      </c>
      <c r="M4686" s="5">
        <v>89264000</v>
      </c>
      <c r="N4686" s="5">
        <v>-37904000</v>
      </c>
    </row>
    <row r="4687" spans="1:14" x14ac:dyDescent="0.25">
      <c r="A4687" s="3" t="s">
        <v>4698</v>
      </c>
      <c r="B4687" s="4">
        <v>52.8</v>
      </c>
      <c r="C4687" s="4">
        <v>-0.66</v>
      </c>
      <c r="D4687" s="4">
        <v>-0.05</v>
      </c>
      <c r="E4687" s="4">
        <v>-4.5014551747577847E-2</v>
      </c>
      <c r="F4687" s="3">
        <v>4685</v>
      </c>
      <c r="G4687" s="3">
        <v>4</v>
      </c>
      <c r="H4687" s="5">
        <v>56649630910.5</v>
      </c>
      <c r="I4687" s="5">
        <v>63306808910.5</v>
      </c>
      <c r="J4687" s="5">
        <v>8018261000</v>
      </c>
      <c r="K4687" s="5">
        <v>1361083000</v>
      </c>
      <c r="L4687" s="5">
        <v>1915426000</v>
      </c>
      <c r="M4687" s="5">
        <v>1198895000</v>
      </c>
      <c r="N4687" s="5">
        <v>-863448000</v>
      </c>
    </row>
    <row r="4688" spans="1:14" x14ac:dyDescent="0.25">
      <c r="A4688" s="3" t="s">
        <v>4699</v>
      </c>
      <c r="B4688" s="4">
        <v>57.78</v>
      </c>
      <c r="C4688" s="4">
        <v>0.28999999999999998</v>
      </c>
      <c r="D4688" s="4">
        <v>0.2</v>
      </c>
      <c r="E4688" s="4">
        <v>-4.5303657853911272E-2</v>
      </c>
      <c r="F4688" s="3">
        <v>4686</v>
      </c>
      <c r="G4688" s="3">
        <v>4</v>
      </c>
      <c r="H4688" s="5">
        <v>176489036800.01999</v>
      </c>
      <c r="I4688" s="5">
        <v>173726679800.01999</v>
      </c>
      <c r="J4688" s="5">
        <v>0</v>
      </c>
      <c r="K4688" s="5">
        <v>2762357000</v>
      </c>
      <c r="L4688" s="5">
        <v>7003146000</v>
      </c>
      <c r="M4688" s="5">
        <v>3006654000</v>
      </c>
      <c r="N4688" s="5">
        <v>2852054000</v>
      </c>
    </row>
    <row r="4689" spans="1:14" x14ac:dyDescent="0.25">
      <c r="A4689" s="3" t="s">
        <v>4700</v>
      </c>
      <c r="B4689" s="4">
        <v>58.27</v>
      </c>
      <c r="C4689" s="4">
        <v>0.35</v>
      </c>
      <c r="D4689" s="4">
        <v>0.14000000000000001</v>
      </c>
      <c r="E4689" s="4">
        <v>-4.5445141450446362E-2</v>
      </c>
      <c r="F4689" s="3">
        <v>4687</v>
      </c>
      <c r="G4689" s="3">
        <v>4</v>
      </c>
      <c r="H4689" s="5">
        <v>22134228705.400002</v>
      </c>
      <c r="I4689" s="5">
        <v>22706328705.400002</v>
      </c>
      <c r="J4689" s="5">
        <v>1392100000</v>
      </c>
      <c r="K4689" s="5">
        <v>820000000</v>
      </c>
      <c r="L4689" s="5">
        <v>2071600000</v>
      </c>
      <c r="M4689" s="5">
        <v>389700000</v>
      </c>
      <c r="N4689" s="5">
        <v>418300000</v>
      </c>
    </row>
    <row r="4690" spans="1:14" x14ac:dyDescent="0.25">
      <c r="A4690" s="3" t="s">
        <v>4701</v>
      </c>
      <c r="B4690" s="4">
        <v>57.42</v>
      </c>
      <c r="C4690" s="4">
        <v>0.17</v>
      </c>
      <c r="D4690" s="4">
        <v>0.06</v>
      </c>
      <c r="E4690" s="4">
        <v>-4.5454576105075063E-2</v>
      </c>
      <c r="F4690" s="3">
        <v>4688</v>
      </c>
      <c r="G4690" s="3">
        <v>4</v>
      </c>
      <c r="H4690" s="5">
        <v>10113780638.969999</v>
      </c>
      <c r="I4690" s="5">
        <v>10244147638.969999</v>
      </c>
      <c r="J4690" s="5">
        <v>467470000</v>
      </c>
      <c r="K4690" s="5">
        <v>337103000</v>
      </c>
      <c r="L4690" s="5">
        <v>1497180000</v>
      </c>
      <c r="M4690" s="5">
        <v>178398000</v>
      </c>
      <c r="N4690" s="5">
        <v>99189000</v>
      </c>
    </row>
    <row r="4691" spans="1:14" x14ac:dyDescent="0.25">
      <c r="A4691" s="3" t="s">
        <v>4702</v>
      </c>
      <c r="B4691" s="4">
        <v>56.88</v>
      </c>
      <c r="C4691" s="4">
        <v>0.05</v>
      </c>
      <c r="D4691" s="4">
        <v>0.02</v>
      </c>
      <c r="E4691" s="4">
        <v>-4.5474798387916383E-2</v>
      </c>
      <c r="F4691" s="3">
        <v>4689</v>
      </c>
      <c r="G4691" s="3">
        <v>4</v>
      </c>
      <c r="H4691" s="5">
        <v>8517184128.8000002</v>
      </c>
      <c r="I4691" s="5">
        <v>8359793128.7999992</v>
      </c>
      <c r="J4691" s="5">
        <v>564695000</v>
      </c>
      <c r="K4691" s="5">
        <v>722086000</v>
      </c>
      <c r="L4691" s="5">
        <v>1482042000</v>
      </c>
      <c r="M4691" s="5">
        <v>146975000</v>
      </c>
      <c r="N4691" s="5">
        <v>54214000</v>
      </c>
    </row>
    <row r="4692" spans="1:14" x14ac:dyDescent="0.25">
      <c r="A4692" s="3" t="s">
        <v>4703</v>
      </c>
      <c r="B4692" s="4">
        <v>57.71</v>
      </c>
      <c r="C4692" s="4">
        <v>0.21</v>
      </c>
      <c r="D4692" s="4">
        <v>0.17</v>
      </c>
      <c r="E4692" s="4">
        <v>-4.5497269349879903E-2</v>
      </c>
      <c r="F4692" s="3">
        <v>4690</v>
      </c>
      <c r="G4692" s="3">
        <v>4</v>
      </c>
      <c r="H4692" s="5">
        <v>8076743027.8500004</v>
      </c>
      <c r="I4692" s="5">
        <v>7949078027.8500004</v>
      </c>
      <c r="J4692" s="5">
        <v>0</v>
      </c>
      <c r="K4692" s="5">
        <v>127665000</v>
      </c>
      <c r="L4692" s="5">
        <v>675040000</v>
      </c>
      <c r="M4692" s="5">
        <v>137746000</v>
      </c>
      <c r="N4692" s="5">
        <v>141209000</v>
      </c>
    </row>
    <row r="4693" spans="1:14" x14ac:dyDescent="0.25">
      <c r="A4693" s="3" t="s">
        <v>4704</v>
      </c>
      <c r="B4693" s="4">
        <v>11.29</v>
      </c>
      <c r="C4693" s="4">
        <v>-9.6999999999999993</v>
      </c>
      <c r="D4693" s="4">
        <v>-0.81</v>
      </c>
      <c r="E4693" s="4">
        <v>-4.5589585659969817E-2</v>
      </c>
      <c r="F4693" s="3">
        <v>4691</v>
      </c>
      <c r="G4693" s="3">
        <v>4</v>
      </c>
      <c r="H4693" s="5">
        <v>4.8989839999999996</v>
      </c>
      <c r="I4693" s="5">
        <v>387835004.89898401</v>
      </c>
      <c r="J4693" s="5">
        <v>633714000</v>
      </c>
      <c r="K4693" s="5">
        <v>245879000</v>
      </c>
      <c r="L4693" s="5">
        <v>1248591000</v>
      </c>
      <c r="M4693" s="5">
        <v>34363000</v>
      </c>
      <c r="N4693" s="5">
        <v>-703884000</v>
      </c>
    </row>
    <row r="4694" spans="1:14" x14ac:dyDescent="0.25">
      <c r="A4694" s="3" t="s">
        <v>4705</v>
      </c>
      <c r="B4694" s="4">
        <v>25.19</v>
      </c>
      <c r="C4694" s="4">
        <v>-6.8</v>
      </c>
      <c r="D4694" s="4">
        <v>0.27</v>
      </c>
      <c r="E4694" s="4">
        <v>-4.5605100674344021E-2</v>
      </c>
      <c r="F4694" s="3">
        <v>4692</v>
      </c>
      <c r="G4694" s="3">
        <v>4</v>
      </c>
      <c r="H4694" s="5">
        <v>29657055859.200001</v>
      </c>
      <c r="I4694" s="5">
        <v>31611581859.200001</v>
      </c>
      <c r="J4694" s="5">
        <v>2013888000</v>
      </c>
      <c r="K4694" s="5">
        <v>59362000</v>
      </c>
      <c r="L4694" s="5">
        <v>3872361000</v>
      </c>
      <c r="M4694" s="5">
        <v>1255146000</v>
      </c>
      <c r="N4694" s="5">
        <v>863140000</v>
      </c>
    </row>
    <row r="4695" spans="1:14" x14ac:dyDescent="0.25">
      <c r="A4695" s="3" t="s">
        <v>4706</v>
      </c>
      <c r="B4695" s="4">
        <v>59.33</v>
      </c>
      <c r="C4695" s="4">
        <v>0.39</v>
      </c>
      <c r="D4695" s="4">
        <v>0.33</v>
      </c>
      <c r="E4695" s="4">
        <v>-4.5948971321306112E-2</v>
      </c>
      <c r="F4695" s="3">
        <v>4693</v>
      </c>
      <c r="G4695" s="3">
        <v>4</v>
      </c>
      <c r="H4695" s="5">
        <v>9249752775</v>
      </c>
      <c r="I4695" s="5">
        <v>9207248775</v>
      </c>
      <c r="J4695" s="5">
        <v>0</v>
      </c>
      <c r="K4695" s="5">
        <v>42504000</v>
      </c>
      <c r="L4695" s="5">
        <v>794202000</v>
      </c>
      <c r="M4695" s="5">
        <v>155189000</v>
      </c>
      <c r="N4695" s="5">
        <v>204068000</v>
      </c>
    </row>
    <row r="4696" spans="1:14" x14ac:dyDescent="0.25">
      <c r="A4696" s="3" t="s">
        <v>4707</v>
      </c>
      <c r="B4696" s="4">
        <v>58.29</v>
      </c>
      <c r="C4696" s="4">
        <v>0.18</v>
      </c>
      <c r="D4696" s="4">
        <v>0.12</v>
      </c>
      <c r="E4696" s="4">
        <v>-4.5952569234241292E-2</v>
      </c>
      <c r="F4696" s="3">
        <v>4694</v>
      </c>
      <c r="G4696" s="3">
        <v>4</v>
      </c>
      <c r="H4696" s="5">
        <v>14288380808.379999</v>
      </c>
      <c r="I4696" s="5">
        <v>13271341808.379999</v>
      </c>
      <c r="J4696" s="5">
        <v>0</v>
      </c>
      <c r="K4696" s="5">
        <v>1017039000</v>
      </c>
      <c r="L4696" s="5">
        <v>1698683000</v>
      </c>
      <c r="M4696" s="5">
        <v>227695000</v>
      </c>
      <c r="N4696" s="5">
        <v>483684000</v>
      </c>
    </row>
    <row r="4697" spans="1:14" x14ac:dyDescent="0.25">
      <c r="A4697" s="3" t="s">
        <v>4708</v>
      </c>
      <c r="B4697" s="4">
        <v>57.33</v>
      </c>
      <c r="C4697" s="4">
        <v>-0.1</v>
      </c>
      <c r="D4697" s="4">
        <v>-0.06</v>
      </c>
      <c r="E4697" s="4">
        <v>-4.620214896212179E-2</v>
      </c>
      <c r="F4697" s="3">
        <v>4695</v>
      </c>
      <c r="G4697" s="3">
        <v>4</v>
      </c>
      <c r="H4697" s="5">
        <v>393828025.53500003</v>
      </c>
      <c r="I4697" s="5">
        <v>387267025.53500003</v>
      </c>
      <c r="J4697" s="5">
        <v>29554000</v>
      </c>
      <c r="K4697" s="5">
        <v>36115000</v>
      </c>
      <c r="L4697" s="5">
        <v>126078000</v>
      </c>
      <c r="M4697" s="5">
        <v>6755000</v>
      </c>
      <c r="N4697" s="5">
        <v>-11542000</v>
      </c>
    </row>
    <row r="4698" spans="1:14" x14ac:dyDescent="0.25">
      <c r="A4698" s="3" t="s">
        <v>4709</v>
      </c>
      <c r="B4698" s="4">
        <v>57.9</v>
      </c>
      <c r="C4698" s="4">
        <v>0.01</v>
      </c>
      <c r="D4698" s="4">
        <v>0.01</v>
      </c>
      <c r="E4698" s="4">
        <v>-4.6223600823653628E-2</v>
      </c>
      <c r="F4698" s="3">
        <v>4696</v>
      </c>
      <c r="G4698" s="3">
        <v>4</v>
      </c>
      <c r="H4698" s="5">
        <v>1159714500</v>
      </c>
      <c r="I4698" s="5">
        <v>1148042520</v>
      </c>
      <c r="J4698" s="5">
        <v>0</v>
      </c>
      <c r="K4698" s="5">
        <v>11671980</v>
      </c>
      <c r="L4698" s="5">
        <v>47639240</v>
      </c>
      <c r="M4698" s="5">
        <v>19828390</v>
      </c>
      <c r="N4698" s="5">
        <v>1369840</v>
      </c>
    </row>
    <row r="4699" spans="1:14" x14ac:dyDescent="0.25">
      <c r="A4699" s="3" t="s">
        <v>4710</v>
      </c>
      <c r="B4699" s="4">
        <v>56.6</v>
      </c>
      <c r="C4699" s="4">
        <v>-0.28999999999999998</v>
      </c>
      <c r="D4699" s="4">
        <v>-0.12</v>
      </c>
      <c r="E4699" s="4">
        <v>-4.6310889638974867E-2</v>
      </c>
      <c r="F4699" s="3">
        <v>4697</v>
      </c>
      <c r="G4699" s="3">
        <v>4</v>
      </c>
      <c r="H4699" s="5">
        <v>7721728777.6800003</v>
      </c>
      <c r="I4699" s="5">
        <v>8309328777.6800003</v>
      </c>
      <c r="J4699" s="5">
        <v>765200000</v>
      </c>
      <c r="K4699" s="5">
        <v>177600000</v>
      </c>
      <c r="L4699" s="5">
        <v>2094400000</v>
      </c>
      <c r="M4699" s="5">
        <v>146800000</v>
      </c>
      <c r="N4699" s="5">
        <v>-304900000</v>
      </c>
    </row>
    <row r="4700" spans="1:14" x14ac:dyDescent="0.25">
      <c r="A4700" s="3" t="s">
        <v>4711</v>
      </c>
      <c r="B4700" s="4">
        <v>58.07</v>
      </c>
      <c r="C4700" s="4">
        <v>-0.05</v>
      </c>
      <c r="D4700" s="4">
        <v>-0.01</v>
      </c>
      <c r="E4700" s="4">
        <v>-4.6506037015745703E-2</v>
      </c>
      <c r="F4700" s="3">
        <v>4698</v>
      </c>
      <c r="G4700" s="3">
        <v>4</v>
      </c>
      <c r="H4700" s="5">
        <v>286615368</v>
      </c>
      <c r="I4700" s="5">
        <v>807674368</v>
      </c>
      <c r="J4700" s="5">
        <v>521063000</v>
      </c>
      <c r="K4700" s="5">
        <v>4000</v>
      </c>
      <c r="L4700" s="5">
        <v>40467000</v>
      </c>
      <c r="M4700" s="5">
        <v>13909000</v>
      </c>
      <c r="N4700" s="5">
        <v>-6524000</v>
      </c>
    </row>
    <row r="4701" spans="1:14" x14ac:dyDescent="0.25">
      <c r="A4701" s="3" t="s">
        <v>4712</v>
      </c>
      <c r="B4701" s="4">
        <v>-1.01</v>
      </c>
      <c r="C4701" s="4">
        <v>-12.75</v>
      </c>
      <c r="D4701" s="4">
        <v>-1.86</v>
      </c>
      <c r="E4701" s="4">
        <v>-4.699196058261236E-2</v>
      </c>
      <c r="F4701" s="3">
        <v>4699</v>
      </c>
      <c r="G4701" s="3">
        <v>4</v>
      </c>
      <c r="H4701" s="5">
        <v>17804211.376499999</v>
      </c>
      <c r="I4701" s="5">
        <v>20450021.376499999</v>
      </c>
      <c r="J4701" s="5">
        <v>2795080</v>
      </c>
      <c r="K4701" s="5">
        <v>149270</v>
      </c>
      <c r="L4701" s="5">
        <v>99790</v>
      </c>
      <c r="M4701" s="5">
        <v>-20270550</v>
      </c>
      <c r="N4701" s="5">
        <v>-33715430</v>
      </c>
    </row>
    <row r="4702" spans="1:14" x14ac:dyDescent="0.25">
      <c r="A4702" s="3" t="s">
        <v>4713</v>
      </c>
      <c r="B4702" s="4">
        <v>55.1</v>
      </c>
      <c r="C4702" s="4">
        <v>-0.84</v>
      </c>
      <c r="D4702" s="4">
        <v>-0.41</v>
      </c>
      <c r="E4702" s="4">
        <v>-4.7027598940956122E-2</v>
      </c>
      <c r="F4702" s="3">
        <v>4700</v>
      </c>
      <c r="G4702" s="3">
        <v>4</v>
      </c>
      <c r="H4702" s="5">
        <v>3923729151.3000002</v>
      </c>
      <c r="I4702" s="5">
        <v>3732070151.3000002</v>
      </c>
      <c r="J4702" s="5">
        <v>0</v>
      </c>
      <c r="K4702" s="5">
        <v>191659000</v>
      </c>
      <c r="L4702" s="5">
        <v>401203000</v>
      </c>
      <c r="M4702" s="5">
        <v>67734000</v>
      </c>
      <c r="N4702" s="5">
        <v>-283007000</v>
      </c>
    </row>
    <row r="4703" spans="1:14" x14ac:dyDescent="0.25">
      <c r="A4703" s="3" t="s">
        <v>4714</v>
      </c>
      <c r="B4703" s="4">
        <v>59.44</v>
      </c>
      <c r="C4703" s="4">
        <v>0.03</v>
      </c>
      <c r="D4703" s="4">
        <v>0.01</v>
      </c>
      <c r="E4703" s="4">
        <v>-4.7118951286974638E-2</v>
      </c>
      <c r="F4703" s="3">
        <v>4701</v>
      </c>
      <c r="G4703" s="3">
        <v>4</v>
      </c>
      <c r="H4703" s="5">
        <v>3812840270.6399999</v>
      </c>
      <c r="I4703" s="5">
        <v>3586262270.6399999</v>
      </c>
      <c r="J4703" s="5">
        <v>2593000</v>
      </c>
      <c r="K4703" s="5">
        <v>229171000</v>
      </c>
      <c r="L4703" s="5">
        <v>924083000</v>
      </c>
      <c r="M4703" s="5">
        <v>60338000</v>
      </c>
      <c r="N4703" s="5">
        <v>2388000</v>
      </c>
    </row>
    <row r="4704" spans="1:14" x14ac:dyDescent="0.25">
      <c r="A4704" s="3" t="s">
        <v>4715</v>
      </c>
      <c r="B4704" s="4">
        <v>66.569999999999993</v>
      </c>
      <c r="C4704" s="4">
        <v>1.6</v>
      </c>
      <c r="D4704" s="4">
        <v>-0.82</v>
      </c>
      <c r="E4704" s="4">
        <v>-4.7155667853653938E-2</v>
      </c>
      <c r="F4704" s="3">
        <v>4702</v>
      </c>
      <c r="G4704" s="3">
        <v>4</v>
      </c>
      <c r="H4704" s="5">
        <v>6759336340</v>
      </c>
      <c r="I4704" s="5">
        <v>7015091340</v>
      </c>
      <c r="J4704" s="5">
        <v>1091952000</v>
      </c>
      <c r="K4704" s="5">
        <v>836197000</v>
      </c>
      <c r="L4704" s="5">
        <v>510672000</v>
      </c>
      <c r="M4704" s="5">
        <v>105385000</v>
      </c>
      <c r="N4704" s="5">
        <v>-1315005000</v>
      </c>
    </row>
    <row r="4705" spans="1:14" x14ac:dyDescent="0.25">
      <c r="A4705" s="3" t="s">
        <v>4716</v>
      </c>
      <c r="B4705" s="4">
        <v>59.32</v>
      </c>
      <c r="C4705" s="4">
        <v>-0.04</v>
      </c>
      <c r="D4705" s="4">
        <v>-0.03</v>
      </c>
      <c r="E4705" s="4">
        <v>-4.7254652174020931E-2</v>
      </c>
      <c r="F4705" s="3">
        <v>4703</v>
      </c>
      <c r="G4705" s="3">
        <v>4</v>
      </c>
      <c r="H4705" s="5">
        <v>2577035.2799999998</v>
      </c>
      <c r="I4705" s="5">
        <v>1446255.28</v>
      </c>
      <c r="J4705" s="5">
        <v>500000</v>
      </c>
      <c r="K4705" s="5">
        <v>1630780</v>
      </c>
      <c r="L4705" s="5">
        <v>35055320</v>
      </c>
      <c r="M4705" s="5">
        <v>24380</v>
      </c>
      <c r="N4705" s="5">
        <v>-444360</v>
      </c>
    </row>
    <row r="4706" spans="1:14" x14ac:dyDescent="0.25">
      <c r="A4706" s="3" t="s">
        <v>4717</v>
      </c>
      <c r="B4706" s="4">
        <v>59.48</v>
      </c>
      <c r="C4706" s="4">
        <v>-0.06</v>
      </c>
      <c r="D4706" s="4">
        <v>-0.03</v>
      </c>
      <c r="E4706" s="4">
        <v>-4.7411466679203082E-2</v>
      </c>
      <c r="F4706" s="3">
        <v>4704</v>
      </c>
      <c r="G4706" s="3">
        <v>4</v>
      </c>
      <c r="H4706" s="5">
        <v>543542316.20000005</v>
      </c>
      <c r="I4706" s="5">
        <v>792416136.20000005</v>
      </c>
      <c r="J4706" s="5">
        <v>380818100</v>
      </c>
      <c r="K4706" s="5">
        <v>131944280</v>
      </c>
      <c r="L4706" s="5">
        <v>111923790</v>
      </c>
      <c r="M4706" s="5">
        <v>13321880</v>
      </c>
      <c r="N4706" s="5">
        <v>-23961050</v>
      </c>
    </row>
    <row r="4707" spans="1:14" x14ac:dyDescent="0.25">
      <c r="A4707" s="3" t="s">
        <v>4718</v>
      </c>
      <c r="B4707" s="4">
        <v>60.71</v>
      </c>
      <c r="C4707" s="4">
        <v>0.04</v>
      </c>
      <c r="D4707" s="4">
        <v>0.02</v>
      </c>
      <c r="E4707" s="4">
        <v>-4.7874157776911508E-2</v>
      </c>
      <c r="F4707" s="3">
        <v>4705</v>
      </c>
      <c r="G4707" s="3">
        <v>4</v>
      </c>
      <c r="H4707" s="5">
        <v>17010807</v>
      </c>
      <c r="I4707" s="5">
        <v>16340827</v>
      </c>
      <c r="J4707" s="5">
        <v>386750</v>
      </c>
      <c r="K4707" s="5">
        <v>1056730</v>
      </c>
      <c r="L4707" s="5">
        <v>4572290</v>
      </c>
      <c r="M4707" s="5">
        <v>269140</v>
      </c>
      <c r="N4707" s="5">
        <v>111600</v>
      </c>
    </row>
    <row r="4708" spans="1:14" x14ac:dyDescent="0.25">
      <c r="A4708" s="3" t="s">
        <v>4719</v>
      </c>
      <c r="B4708" s="4">
        <v>61.21</v>
      </c>
      <c r="C4708" s="4">
        <v>0.13</v>
      </c>
      <c r="D4708" s="4">
        <v>0.03</v>
      </c>
      <c r="E4708" s="4">
        <v>-4.7921646572057761E-2</v>
      </c>
      <c r="F4708" s="3">
        <v>4706</v>
      </c>
      <c r="G4708" s="3">
        <v>4</v>
      </c>
      <c r="H4708" s="5">
        <v>66474257.850000001</v>
      </c>
      <c r="I4708" s="5">
        <v>64965647.850000001</v>
      </c>
      <c r="J4708" s="5">
        <v>610970</v>
      </c>
      <c r="K4708" s="5">
        <v>2119580</v>
      </c>
      <c r="L4708" s="5">
        <v>138252860</v>
      </c>
      <c r="M4708" s="5">
        <v>1061350</v>
      </c>
      <c r="N4708" s="5">
        <v>657450</v>
      </c>
    </row>
    <row r="4709" spans="1:14" x14ac:dyDescent="0.25">
      <c r="A4709" s="3" t="s">
        <v>4720</v>
      </c>
      <c r="B4709" s="4">
        <v>61.55</v>
      </c>
      <c r="C4709" s="4">
        <v>0.2</v>
      </c>
      <c r="D4709" s="4">
        <v>0.05</v>
      </c>
      <c r="E4709" s="4">
        <v>-4.7925966263502158E-2</v>
      </c>
      <c r="F4709" s="3">
        <v>4707</v>
      </c>
      <c r="G4709" s="3">
        <v>4</v>
      </c>
      <c r="H4709" s="5">
        <v>72915739672.229996</v>
      </c>
      <c r="I4709" s="5">
        <v>74616339672.229996</v>
      </c>
      <c r="J4709" s="5">
        <v>2928200000</v>
      </c>
      <c r="K4709" s="5">
        <v>1227600000</v>
      </c>
      <c r="L4709" s="5">
        <v>8011800000</v>
      </c>
      <c r="M4709" s="5">
        <v>1212300000</v>
      </c>
      <c r="N4709" s="5">
        <v>495800000</v>
      </c>
    </row>
    <row r="4710" spans="1:14" x14ac:dyDescent="0.25">
      <c r="A4710" s="3" t="s">
        <v>4721</v>
      </c>
      <c r="B4710" s="4">
        <v>-0.53</v>
      </c>
      <c r="C4710" s="4">
        <v>0.45</v>
      </c>
      <c r="D4710" s="4">
        <v>-203.39</v>
      </c>
      <c r="E4710" s="4">
        <v>-4.8025153813463298E-2</v>
      </c>
      <c r="F4710" s="3">
        <v>4708</v>
      </c>
      <c r="G4710" s="3">
        <v>4</v>
      </c>
      <c r="H4710" s="5">
        <v>2355.8530000000001</v>
      </c>
      <c r="I4710" s="5">
        <v>1348175.8529999999</v>
      </c>
      <c r="J4710" s="5">
        <v>1358330</v>
      </c>
      <c r="K4710" s="5">
        <v>12510</v>
      </c>
      <c r="L4710" s="5">
        <v>0</v>
      </c>
      <c r="M4710" s="5">
        <v>-2545320</v>
      </c>
      <c r="N4710" s="5">
        <v>-2544390</v>
      </c>
    </row>
    <row r="4711" spans="1:14" x14ac:dyDescent="0.25">
      <c r="A4711" s="3" t="s">
        <v>4722</v>
      </c>
      <c r="B4711" s="4">
        <v>53.69</v>
      </c>
      <c r="C4711" s="4">
        <v>-1.45</v>
      </c>
      <c r="D4711" s="4">
        <v>-1.05</v>
      </c>
      <c r="E4711" s="4">
        <v>-4.8040888666510503E-2</v>
      </c>
      <c r="F4711" s="3">
        <v>4709</v>
      </c>
      <c r="G4711" s="3">
        <v>4</v>
      </c>
      <c r="H4711" s="5">
        <v>1437264852.48</v>
      </c>
      <c r="I4711" s="5">
        <v>1518322852.48</v>
      </c>
      <c r="J4711" s="5">
        <v>302724000</v>
      </c>
      <c r="K4711" s="5">
        <v>221666000</v>
      </c>
      <c r="L4711" s="5">
        <v>821309000</v>
      </c>
      <c r="M4711" s="5">
        <v>28277000</v>
      </c>
      <c r="N4711" s="5">
        <v>-2186738000</v>
      </c>
    </row>
    <row r="4712" spans="1:14" x14ac:dyDescent="0.25">
      <c r="A4712" s="3" t="s">
        <v>4723</v>
      </c>
      <c r="B4712" s="4">
        <v>60.87</v>
      </c>
      <c r="C4712" s="4">
        <v>-0.01</v>
      </c>
      <c r="D4712" s="4">
        <v>0</v>
      </c>
      <c r="E4712" s="4">
        <v>-4.8121511156292048E-2</v>
      </c>
      <c r="F4712" s="3">
        <v>4710</v>
      </c>
      <c r="G4712" s="3">
        <v>4</v>
      </c>
      <c r="H4712" s="5">
        <v>3698092900</v>
      </c>
      <c r="I4712" s="5">
        <v>4286952900</v>
      </c>
      <c r="J4712" s="5">
        <v>787316000</v>
      </c>
      <c r="K4712" s="5">
        <v>198456000</v>
      </c>
      <c r="L4712" s="5">
        <v>560968000</v>
      </c>
      <c r="M4712" s="5">
        <v>70423000</v>
      </c>
      <c r="N4712" s="5">
        <v>-5905000</v>
      </c>
    </row>
    <row r="4713" spans="1:14" x14ac:dyDescent="0.25">
      <c r="A4713" s="3" t="s">
        <v>4724</v>
      </c>
      <c r="B4713" s="4">
        <v>-0.24</v>
      </c>
      <c r="C4713" s="4">
        <v>-12.9</v>
      </c>
      <c r="D4713" s="4">
        <v>-3.65</v>
      </c>
      <c r="E4713" s="4">
        <v>-4.824722928387775E-2</v>
      </c>
      <c r="F4713" s="3">
        <v>4711</v>
      </c>
      <c r="G4713" s="3">
        <v>4</v>
      </c>
      <c r="H4713" s="5">
        <v>2858963.91</v>
      </c>
      <c r="I4713" s="5">
        <v>1813303.91</v>
      </c>
      <c r="J4713" s="5">
        <v>874480</v>
      </c>
      <c r="K4713" s="5">
        <v>1920140</v>
      </c>
      <c r="L4713" s="5">
        <v>0</v>
      </c>
      <c r="M4713" s="5">
        <v>-7690710</v>
      </c>
      <c r="N4713" s="5">
        <v>-9144800</v>
      </c>
    </row>
    <row r="4714" spans="1:14" x14ac:dyDescent="0.25">
      <c r="A4714" s="3" t="s">
        <v>4725</v>
      </c>
      <c r="B4714" s="4">
        <v>60.91</v>
      </c>
      <c r="C4714" s="4">
        <v>-0.08</v>
      </c>
      <c r="D4714" s="4">
        <v>-0.05</v>
      </c>
      <c r="E4714" s="4">
        <v>-4.8358168361069091E-2</v>
      </c>
      <c r="F4714" s="3">
        <v>4712</v>
      </c>
      <c r="G4714" s="3">
        <v>4</v>
      </c>
      <c r="H4714" s="5">
        <v>56988861.299999997</v>
      </c>
      <c r="I4714" s="5">
        <v>63769231.299999997</v>
      </c>
      <c r="J4714" s="5">
        <v>10538600</v>
      </c>
      <c r="K4714" s="5">
        <v>3758230</v>
      </c>
      <c r="L4714" s="5">
        <v>26493170</v>
      </c>
      <c r="M4714" s="5">
        <v>1047020</v>
      </c>
      <c r="N4714" s="5">
        <v>-2156630</v>
      </c>
    </row>
    <row r="4715" spans="1:14" x14ac:dyDescent="0.25">
      <c r="A4715" s="3" t="s">
        <v>4726</v>
      </c>
      <c r="B4715" s="4">
        <v>60.58</v>
      </c>
      <c r="C4715" s="4">
        <v>-0.18</v>
      </c>
      <c r="D4715" s="4">
        <v>-0.05</v>
      </c>
      <c r="E4715" s="4">
        <v>-4.8442860643210107E-2</v>
      </c>
      <c r="F4715" s="3">
        <v>4713</v>
      </c>
      <c r="G4715" s="3">
        <v>4</v>
      </c>
      <c r="H4715" s="5">
        <v>1047512774.5</v>
      </c>
      <c r="I4715" s="5">
        <v>924379774.5</v>
      </c>
      <c r="J4715" s="5">
        <v>0</v>
      </c>
      <c r="K4715" s="5">
        <v>123133000</v>
      </c>
      <c r="L4715" s="5">
        <v>420957000</v>
      </c>
      <c r="M4715" s="5">
        <v>15259000</v>
      </c>
      <c r="N4715" s="5">
        <v>-27948000</v>
      </c>
    </row>
    <row r="4716" spans="1:14" x14ac:dyDescent="0.25">
      <c r="A4716" s="3" t="s">
        <v>4727</v>
      </c>
      <c r="B4716" s="4">
        <v>61.77</v>
      </c>
      <c r="C4716" s="4">
        <v>0.05</v>
      </c>
      <c r="D4716" s="4">
        <v>0.01</v>
      </c>
      <c r="E4716" s="4">
        <v>-4.8503249000364783E-2</v>
      </c>
      <c r="F4716" s="3">
        <v>4714</v>
      </c>
      <c r="G4716" s="3">
        <v>4</v>
      </c>
      <c r="H4716" s="5">
        <v>3781528028.8800001</v>
      </c>
      <c r="I4716" s="5">
        <v>3363203028.8800001</v>
      </c>
      <c r="J4716" s="5">
        <v>30360000</v>
      </c>
      <c r="K4716" s="5">
        <v>448685000</v>
      </c>
      <c r="L4716" s="5">
        <v>2698562000</v>
      </c>
      <c r="M4716" s="5">
        <v>54449000</v>
      </c>
      <c r="N4716" s="5">
        <v>22716000</v>
      </c>
    </row>
    <row r="4717" spans="1:14" x14ac:dyDescent="0.25">
      <c r="A4717" s="3" t="s">
        <v>4728</v>
      </c>
      <c r="B4717" s="4">
        <v>61.94</v>
      </c>
      <c r="C4717" s="4">
        <v>0.04</v>
      </c>
      <c r="D4717" s="4">
        <v>0.01</v>
      </c>
      <c r="E4717" s="4">
        <v>-4.8637359104229547E-2</v>
      </c>
      <c r="F4717" s="3">
        <v>4715</v>
      </c>
      <c r="G4717" s="3">
        <v>4</v>
      </c>
      <c r="H4717" s="5">
        <v>55201288598.360001</v>
      </c>
      <c r="I4717" s="5">
        <v>50855288598.360001</v>
      </c>
      <c r="J4717" s="5">
        <v>1533000000</v>
      </c>
      <c r="K4717" s="5">
        <v>5879000000</v>
      </c>
      <c r="L4717" s="5">
        <v>30268000000</v>
      </c>
      <c r="M4717" s="5">
        <v>821000000</v>
      </c>
      <c r="N4717" s="5">
        <v>154000000</v>
      </c>
    </row>
    <row r="4718" spans="1:14" x14ac:dyDescent="0.25">
      <c r="A4718" s="3" t="s">
        <v>4729</v>
      </c>
      <c r="B4718" s="4">
        <v>61.23</v>
      </c>
      <c r="C4718" s="4">
        <v>-0.13</v>
      </c>
      <c r="D4718" s="4">
        <v>-0.05</v>
      </c>
      <c r="E4718" s="4">
        <v>-4.8700690978447862E-2</v>
      </c>
      <c r="F4718" s="3">
        <v>4716</v>
      </c>
      <c r="G4718" s="3">
        <v>4</v>
      </c>
      <c r="H4718" s="5">
        <v>46869944.140000001</v>
      </c>
      <c r="I4718" s="5">
        <v>50084944.140000001</v>
      </c>
      <c r="J4718" s="5">
        <v>13360000</v>
      </c>
      <c r="K4718" s="5">
        <v>10145000</v>
      </c>
      <c r="L4718" s="5">
        <v>74349000</v>
      </c>
      <c r="M4718" s="5">
        <v>818000</v>
      </c>
      <c r="N4718" s="5">
        <v>-1942000</v>
      </c>
    </row>
    <row r="4719" spans="1:14" x14ac:dyDescent="0.25">
      <c r="A4719" s="3" t="s">
        <v>4730</v>
      </c>
      <c r="B4719" s="4">
        <v>61.55</v>
      </c>
      <c r="C4719" s="4">
        <v>-0.13</v>
      </c>
      <c r="D4719" s="4">
        <v>-0.01</v>
      </c>
      <c r="E4719" s="4">
        <v>-4.8891029454444318E-2</v>
      </c>
      <c r="F4719" s="3">
        <v>4717</v>
      </c>
      <c r="G4719" s="3">
        <v>4</v>
      </c>
      <c r="H4719" s="5">
        <v>6772842</v>
      </c>
      <c r="I4719" s="5">
        <v>256804902</v>
      </c>
      <c r="J4719" s="5">
        <v>255719470</v>
      </c>
      <c r="K4719" s="5">
        <v>5687410</v>
      </c>
      <c r="L4719" s="5">
        <v>10083540</v>
      </c>
      <c r="M4719" s="5">
        <v>4171980</v>
      </c>
      <c r="N4719" s="5">
        <v>-1970870</v>
      </c>
    </row>
    <row r="4720" spans="1:14" x14ac:dyDescent="0.25">
      <c r="A4720" s="3" t="s">
        <v>4731</v>
      </c>
      <c r="B4720" s="4">
        <v>-2.21</v>
      </c>
      <c r="C4720" s="4">
        <v>-13.75</v>
      </c>
      <c r="D4720" s="4">
        <v>-0.78</v>
      </c>
      <c r="E4720" s="4">
        <v>-4.8930281730038237E-2</v>
      </c>
      <c r="F4720" s="3">
        <v>4718</v>
      </c>
      <c r="G4720" s="3">
        <v>4</v>
      </c>
      <c r="H4720" s="5">
        <v>93166269</v>
      </c>
      <c r="I4720" s="5">
        <v>121361269</v>
      </c>
      <c r="J4720" s="5">
        <v>42245000</v>
      </c>
      <c r="K4720" s="5">
        <v>14050000</v>
      </c>
      <c r="L4720" s="5">
        <v>64251000</v>
      </c>
      <c r="M4720" s="5">
        <v>-54906000</v>
      </c>
      <c r="N4720" s="5">
        <v>-61845000</v>
      </c>
    </row>
    <row r="4721" spans="1:14" x14ac:dyDescent="0.25">
      <c r="A4721" s="3" t="s">
        <v>4732</v>
      </c>
      <c r="B4721" s="4">
        <v>70.25</v>
      </c>
      <c r="C4721" s="4">
        <v>1.62</v>
      </c>
      <c r="D4721" s="4">
        <v>1.22</v>
      </c>
      <c r="E4721" s="4">
        <v>-4.8981986914338332E-2</v>
      </c>
      <c r="F4721" s="3">
        <v>4719</v>
      </c>
      <c r="G4721" s="3">
        <v>4</v>
      </c>
      <c r="H4721" s="5">
        <v>40033361.850000001</v>
      </c>
      <c r="I4721" s="5">
        <v>38722711.850000001</v>
      </c>
      <c r="J4721" s="5">
        <v>0</v>
      </c>
      <c r="K4721" s="5">
        <v>1310650</v>
      </c>
      <c r="L4721" s="5">
        <v>5196150</v>
      </c>
      <c r="M4721" s="5">
        <v>551200</v>
      </c>
      <c r="N4721" s="5">
        <v>11992780</v>
      </c>
    </row>
    <row r="4722" spans="1:14" x14ac:dyDescent="0.25">
      <c r="A4722" s="3" t="s">
        <v>4733</v>
      </c>
      <c r="B4722" s="4">
        <v>62.77</v>
      </c>
      <c r="C4722" s="4">
        <v>0</v>
      </c>
      <c r="D4722" s="4">
        <v>0</v>
      </c>
      <c r="E4722" s="4">
        <v>-4.9268566631722313E-2</v>
      </c>
      <c r="F4722" s="3">
        <v>4720</v>
      </c>
      <c r="G4722" s="3">
        <v>4</v>
      </c>
      <c r="H4722" s="5">
        <v>3730793092.8000002</v>
      </c>
      <c r="I4722" s="5">
        <v>3658510092.8000002</v>
      </c>
      <c r="J4722" s="5">
        <v>24000</v>
      </c>
      <c r="K4722" s="5">
        <v>72307000</v>
      </c>
      <c r="L4722" s="5">
        <v>167133000</v>
      </c>
      <c r="M4722" s="5">
        <v>58280000</v>
      </c>
      <c r="N4722" s="5">
        <v>-4032000</v>
      </c>
    </row>
    <row r="4723" spans="1:14" x14ac:dyDescent="0.25">
      <c r="A4723" s="3" t="s">
        <v>4734</v>
      </c>
      <c r="B4723" s="4">
        <v>64.25</v>
      </c>
      <c r="C4723" s="4">
        <v>0.12</v>
      </c>
      <c r="D4723" s="4">
        <v>0.1</v>
      </c>
      <c r="E4723" s="4">
        <v>-4.9818555524941223E-2</v>
      </c>
      <c r="F4723" s="3">
        <v>4721</v>
      </c>
      <c r="G4723" s="3">
        <v>4</v>
      </c>
      <c r="H4723" s="5">
        <v>48395479918.379997</v>
      </c>
      <c r="I4723" s="5">
        <v>47276694918.379997</v>
      </c>
      <c r="J4723" s="5">
        <v>0</v>
      </c>
      <c r="K4723" s="5">
        <v>1118785000</v>
      </c>
      <c r="L4723" s="5">
        <v>2746619000</v>
      </c>
      <c r="M4723" s="5">
        <v>735818000</v>
      </c>
      <c r="N4723" s="5">
        <v>714138000</v>
      </c>
    </row>
    <row r="4724" spans="1:14" x14ac:dyDescent="0.25">
      <c r="A4724" s="3" t="s">
        <v>4735</v>
      </c>
      <c r="B4724" s="4">
        <v>64.22</v>
      </c>
      <c r="C4724" s="4">
        <v>0.2</v>
      </c>
      <c r="D4724" s="4">
        <v>-1.46</v>
      </c>
      <c r="E4724" s="4">
        <v>-4.9869767197825231E-2</v>
      </c>
      <c r="F4724" s="3">
        <v>4722</v>
      </c>
      <c r="G4724" s="3">
        <v>4</v>
      </c>
      <c r="H4724" s="5">
        <v>771146.53200000001</v>
      </c>
      <c r="I4724" s="5">
        <v>19379196.532000002</v>
      </c>
      <c r="J4724" s="5">
        <v>19773870</v>
      </c>
      <c r="K4724" s="5">
        <v>1165820</v>
      </c>
      <c r="L4724" s="5">
        <v>4107490</v>
      </c>
      <c r="M4724" s="5">
        <v>301740</v>
      </c>
      <c r="N4724" s="5">
        <v>-5562970</v>
      </c>
    </row>
    <row r="4725" spans="1:14" x14ac:dyDescent="0.25">
      <c r="A4725" s="3" t="s">
        <v>4736</v>
      </c>
      <c r="B4725" s="4">
        <v>-6.68</v>
      </c>
      <c r="C4725" s="4">
        <v>-15.07</v>
      </c>
      <c r="D4725" s="4">
        <v>-0.82</v>
      </c>
      <c r="E4725" s="4">
        <v>-4.9985379015663092E-2</v>
      </c>
      <c r="F4725" s="3">
        <v>4723</v>
      </c>
      <c r="G4725" s="3">
        <v>4</v>
      </c>
      <c r="H4725" s="5">
        <v>303778950</v>
      </c>
      <c r="I4725" s="5">
        <v>324629950</v>
      </c>
      <c r="J4725" s="5">
        <v>24613000</v>
      </c>
      <c r="K4725" s="5">
        <v>3762000</v>
      </c>
      <c r="L4725" s="5">
        <v>1028000</v>
      </c>
      <c r="M4725" s="5">
        <v>-48572000</v>
      </c>
      <c r="N4725" s="5">
        <v>-30018000</v>
      </c>
    </row>
    <row r="4726" spans="1:14" x14ac:dyDescent="0.25">
      <c r="A4726" s="3" t="s">
        <v>4737</v>
      </c>
      <c r="B4726" s="4">
        <v>0</v>
      </c>
      <c r="C4726" s="4">
        <v>-13.62</v>
      </c>
      <c r="D4726" s="4">
        <v>-2.2200000000000002</v>
      </c>
      <c r="E4726" s="4">
        <v>-5.0200259125065233E-2</v>
      </c>
      <c r="F4726" s="3">
        <v>4724</v>
      </c>
      <c r="G4726" s="3">
        <v>4</v>
      </c>
      <c r="H4726" s="5">
        <v>5617.8774000000003</v>
      </c>
      <c r="I4726" s="5">
        <v>37.877400000000307</v>
      </c>
      <c r="J4726" s="5">
        <v>0</v>
      </c>
      <c r="K4726" s="5">
        <v>5580</v>
      </c>
      <c r="L4726" s="5">
        <v>0</v>
      </c>
      <c r="M4726" s="5">
        <v>-12390</v>
      </c>
      <c r="N4726" s="5">
        <v>-12390</v>
      </c>
    </row>
    <row r="4727" spans="1:14" x14ac:dyDescent="0.25">
      <c r="A4727" s="3" t="s">
        <v>4738</v>
      </c>
      <c r="B4727" s="4">
        <v>67.08</v>
      </c>
      <c r="C4727" s="4">
        <v>0.45</v>
      </c>
      <c r="D4727" s="4">
        <v>0.25</v>
      </c>
      <c r="E4727" s="4">
        <v>-5.0587676307074433E-2</v>
      </c>
      <c r="F4727" s="3">
        <v>4725</v>
      </c>
      <c r="G4727" s="3">
        <v>4</v>
      </c>
      <c r="H4727" s="5">
        <v>2060093287.1800001</v>
      </c>
      <c r="I4727" s="5">
        <v>2021597287.1800001</v>
      </c>
      <c r="J4727" s="5">
        <v>8387000</v>
      </c>
      <c r="K4727" s="5">
        <v>46883000</v>
      </c>
      <c r="L4727" s="5">
        <v>170461000</v>
      </c>
      <c r="M4727" s="5">
        <v>30136000</v>
      </c>
      <c r="N4727" s="5">
        <v>28660000</v>
      </c>
    </row>
    <row r="4728" spans="1:14" x14ac:dyDescent="0.25">
      <c r="A4728" s="3" t="s">
        <v>4739</v>
      </c>
      <c r="B4728" s="4">
        <v>57.67</v>
      </c>
      <c r="C4728" s="4">
        <v>-1.76</v>
      </c>
      <c r="D4728" s="4">
        <v>7.0000000000000007E-2</v>
      </c>
      <c r="E4728" s="4">
        <v>-5.118384337471487E-2</v>
      </c>
      <c r="F4728" s="3">
        <v>4726</v>
      </c>
      <c r="G4728" s="3">
        <v>4</v>
      </c>
      <c r="H4728" s="5">
        <v>7657915275</v>
      </c>
      <c r="I4728" s="5">
        <v>7569856275</v>
      </c>
      <c r="J4728" s="5">
        <v>572880000</v>
      </c>
      <c r="K4728" s="5">
        <v>660939000</v>
      </c>
      <c r="L4728" s="5">
        <v>1760650000</v>
      </c>
      <c r="M4728" s="5">
        <v>131256000</v>
      </c>
      <c r="N4728" s="5">
        <v>138322000</v>
      </c>
    </row>
    <row r="4729" spans="1:14" x14ac:dyDescent="0.25">
      <c r="A4729" s="3" t="s">
        <v>4740</v>
      </c>
      <c r="B4729" s="4">
        <v>64.459999999999994</v>
      </c>
      <c r="C4729" s="4">
        <v>-0.3</v>
      </c>
      <c r="D4729" s="4">
        <v>-0.11</v>
      </c>
      <c r="E4729" s="4">
        <v>-5.1202569897314698E-2</v>
      </c>
      <c r="F4729" s="3">
        <v>4727</v>
      </c>
      <c r="G4729" s="3">
        <v>4</v>
      </c>
      <c r="H4729" s="5">
        <v>5857244190</v>
      </c>
      <c r="I4729" s="5">
        <v>6257028190</v>
      </c>
      <c r="J4729" s="5">
        <v>551527000</v>
      </c>
      <c r="K4729" s="5">
        <v>151743000</v>
      </c>
      <c r="L4729" s="5">
        <v>909287000</v>
      </c>
      <c r="M4729" s="5">
        <v>97067000</v>
      </c>
      <c r="N4729" s="5">
        <v>-161896000</v>
      </c>
    </row>
    <row r="4730" spans="1:14" x14ac:dyDescent="0.25">
      <c r="A4730" s="3" t="s">
        <v>4741</v>
      </c>
      <c r="B4730" s="4">
        <v>65.3</v>
      </c>
      <c r="C4730" s="4">
        <v>-0.25</v>
      </c>
      <c r="D4730" s="4">
        <v>-0.04</v>
      </c>
      <c r="E4730" s="4">
        <v>-5.1564491954754363E-2</v>
      </c>
      <c r="F4730" s="3">
        <v>4728</v>
      </c>
      <c r="G4730" s="3">
        <v>4</v>
      </c>
      <c r="H4730" s="5">
        <v>1310615657.1199999</v>
      </c>
      <c r="I4730" s="5">
        <v>1482907657.1199999</v>
      </c>
      <c r="J4730" s="5">
        <v>219539000</v>
      </c>
      <c r="K4730" s="5">
        <v>47247000</v>
      </c>
      <c r="L4730" s="5">
        <v>199614000</v>
      </c>
      <c r="M4730" s="5">
        <v>22708000</v>
      </c>
      <c r="N4730" s="5">
        <v>-17481000</v>
      </c>
    </row>
    <row r="4731" spans="1:14" x14ac:dyDescent="0.25">
      <c r="A4731" s="3" t="s">
        <v>4742</v>
      </c>
      <c r="B4731" s="4">
        <v>67.540000000000006</v>
      </c>
      <c r="C4731" s="4">
        <v>0.14000000000000001</v>
      </c>
      <c r="D4731" s="4">
        <v>0.12</v>
      </c>
      <c r="E4731" s="4">
        <v>-5.1793158932095767E-2</v>
      </c>
      <c r="F4731" s="3">
        <v>4729</v>
      </c>
      <c r="G4731" s="3">
        <v>4</v>
      </c>
      <c r="H4731" s="5">
        <v>194458820844.14999</v>
      </c>
      <c r="I4731" s="5">
        <v>192910820844.14999</v>
      </c>
      <c r="J4731" s="5">
        <v>0</v>
      </c>
      <c r="K4731" s="5">
        <v>1548000000</v>
      </c>
      <c r="L4731" s="5">
        <v>8352100000</v>
      </c>
      <c r="M4731" s="5">
        <v>2856400000</v>
      </c>
      <c r="N4731" s="5">
        <v>2322600000</v>
      </c>
    </row>
    <row r="4732" spans="1:14" x14ac:dyDescent="0.25">
      <c r="A4732" s="3" t="s">
        <v>4743</v>
      </c>
      <c r="B4732" s="4">
        <v>69.44</v>
      </c>
      <c r="C4732" s="4">
        <v>0.39</v>
      </c>
      <c r="D4732" s="4">
        <v>0.35</v>
      </c>
      <c r="E4732" s="4">
        <v>-5.2202400227896399E-2</v>
      </c>
      <c r="F4732" s="3">
        <v>4730</v>
      </c>
      <c r="G4732" s="3">
        <v>4</v>
      </c>
      <c r="H4732" s="5">
        <v>17395613221.25</v>
      </c>
      <c r="I4732" s="5">
        <v>16370871221.25</v>
      </c>
      <c r="J4732" s="5">
        <v>0</v>
      </c>
      <c r="K4732" s="5">
        <v>1024742000</v>
      </c>
      <c r="L4732" s="5">
        <v>3646166000</v>
      </c>
      <c r="M4732" s="5">
        <v>235767000</v>
      </c>
      <c r="N4732" s="5">
        <v>1862106000</v>
      </c>
    </row>
    <row r="4733" spans="1:14" x14ac:dyDescent="0.25">
      <c r="A4733" s="3" t="s">
        <v>4744</v>
      </c>
      <c r="B4733" s="4">
        <v>-42.58</v>
      </c>
      <c r="C4733" s="4">
        <v>-23.36</v>
      </c>
      <c r="D4733" s="4">
        <v>-4.43</v>
      </c>
      <c r="E4733" s="4">
        <v>-5.2415309372620331E-2</v>
      </c>
      <c r="F4733" s="3">
        <v>4731</v>
      </c>
      <c r="G4733" s="3">
        <v>4</v>
      </c>
      <c r="H4733" s="5">
        <v>372373050.69999999</v>
      </c>
      <c r="I4733" s="5">
        <v>372255570.69999999</v>
      </c>
      <c r="J4733" s="5">
        <v>47330</v>
      </c>
      <c r="K4733" s="5">
        <v>164810</v>
      </c>
      <c r="L4733" s="5">
        <v>2426610</v>
      </c>
      <c r="M4733" s="5">
        <v>-8743510</v>
      </c>
      <c r="N4733" s="5">
        <v>-9174960</v>
      </c>
    </row>
    <row r="4734" spans="1:14" x14ac:dyDescent="0.25">
      <c r="A4734" s="3" t="s">
        <v>4745</v>
      </c>
      <c r="B4734" s="4">
        <v>68.31</v>
      </c>
      <c r="C4734" s="4">
        <v>7.0000000000000007E-2</v>
      </c>
      <c r="D4734" s="4">
        <v>0.01</v>
      </c>
      <c r="E4734" s="4">
        <v>-5.2493202312224513E-2</v>
      </c>
      <c r="F4734" s="3">
        <v>4732</v>
      </c>
      <c r="G4734" s="3">
        <v>4</v>
      </c>
      <c r="H4734" s="5">
        <v>1079288220.1199999</v>
      </c>
      <c r="I4734" s="5">
        <v>11010049220.120001</v>
      </c>
      <c r="J4734" s="5">
        <v>10014759000</v>
      </c>
      <c r="K4734" s="5">
        <v>83998000</v>
      </c>
      <c r="L4734" s="5">
        <v>755731000</v>
      </c>
      <c r="M4734" s="5">
        <v>161174000</v>
      </c>
      <c r="N4734" s="5">
        <v>176065000</v>
      </c>
    </row>
    <row r="4735" spans="1:14" x14ac:dyDescent="0.25">
      <c r="A4735" s="3" t="s">
        <v>4746</v>
      </c>
      <c r="B4735" s="4">
        <v>68.430000000000007</v>
      </c>
      <c r="C4735" s="4">
        <v>0.08</v>
      </c>
      <c r="D4735" s="4">
        <v>7.0000000000000007E-2</v>
      </c>
      <c r="E4735" s="4">
        <v>-5.2527005014109937E-2</v>
      </c>
      <c r="F4735" s="3">
        <v>4733</v>
      </c>
      <c r="G4735" s="3">
        <v>4</v>
      </c>
      <c r="H4735" s="5">
        <v>20260600</v>
      </c>
      <c r="I4735" s="5">
        <v>-62011880</v>
      </c>
      <c r="J4735" s="5">
        <v>0</v>
      </c>
      <c r="K4735" s="5">
        <v>82272480</v>
      </c>
      <c r="L4735" s="5">
        <v>740700</v>
      </c>
      <c r="M4735" s="5">
        <v>-906270</v>
      </c>
      <c r="N4735" s="5">
        <v>6296520</v>
      </c>
    </row>
    <row r="4736" spans="1:14" x14ac:dyDescent="0.25">
      <c r="A4736" s="3" t="s">
        <v>4747</v>
      </c>
      <c r="B4736" s="4">
        <v>68.8</v>
      </c>
      <c r="C4736" s="4">
        <v>7.0000000000000007E-2</v>
      </c>
      <c r="D4736" s="4">
        <v>0.02</v>
      </c>
      <c r="E4736" s="4">
        <v>-5.279454436480379E-2</v>
      </c>
      <c r="F4736" s="3">
        <v>4734</v>
      </c>
      <c r="G4736" s="3">
        <v>4</v>
      </c>
      <c r="H4736" s="5">
        <v>161076750.66</v>
      </c>
      <c r="I4736" s="5">
        <v>1464734750.6600001</v>
      </c>
      <c r="J4736" s="5">
        <v>1360371000</v>
      </c>
      <c r="K4736" s="5">
        <v>56713000</v>
      </c>
      <c r="L4736" s="5">
        <v>199580000</v>
      </c>
      <c r="M4736" s="5">
        <v>21290000</v>
      </c>
      <c r="N4736" s="5">
        <v>29267000</v>
      </c>
    </row>
    <row r="4737" spans="1:14" x14ac:dyDescent="0.25">
      <c r="A4737" s="3" t="s">
        <v>4748</v>
      </c>
      <c r="B4737" s="4">
        <v>69.42</v>
      </c>
      <c r="C4737" s="4">
        <v>0.09</v>
      </c>
      <c r="D4737" s="4">
        <v>0.04</v>
      </c>
      <c r="E4737" s="4">
        <v>-5.3116629850838662E-2</v>
      </c>
      <c r="F4737" s="3">
        <v>4735</v>
      </c>
      <c r="G4737" s="3">
        <v>4</v>
      </c>
      <c r="H4737" s="5">
        <v>1695234595597.5601</v>
      </c>
      <c r="I4737" s="5">
        <v>1753452595597.5601</v>
      </c>
      <c r="J4737" s="5">
        <v>67566000000</v>
      </c>
      <c r="K4737" s="5">
        <v>9348000000</v>
      </c>
      <c r="L4737" s="5">
        <v>51574000000</v>
      </c>
      <c r="M4737" s="5">
        <v>25260000000</v>
      </c>
      <c r="N4737" s="5">
        <v>5895000000</v>
      </c>
    </row>
    <row r="4738" spans="1:14" x14ac:dyDescent="0.25">
      <c r="A4738" s="3" t="s">
        <v>4749</v>
      </c>
      <c r="B4738" s="4">
        <v>69.97</v>
      </c>
      <c r="C4738" s="4">
        <v>0.16</v>
      </c>
      <c r="D4738" s="4">
        <v>0.03</v>
      </c>
      <c r="E4738" s="4">
        <v>-5.3256709941654212E-2</v>
      </c>
      <c r="F4738" s="3">
        <v>4736</v>
      </c>
      <c r="G4738" s="3">
        <v>4</v>
      </c>
      <c r="H4738" s="5">
        <v>151858060902.29999</v>
      </c>
      <c r="I4738" s="5">
        <v>144417060902.29999</v>
      </c>
      <c r="J4738" s="5">
        <v>326000000</v>
      </c>
      <c r="K4738" s="5">
        <v>7767000000</v>
      </c>
      <c r="L4738" s="5">
        <v>34935000000</v>
      </c>
      <c r="M4738" s="5">
        <v>2064000000</v>
      </c>
      <c r="N4738" s="5">
        <v>1552000000</v>
      </c>
    </row>
    <row r="4739" spans="1:14" x14ac:dyDescent="0.25">
      <c r="A4739" s="3" t="s">
        <v>4750</v>
      </c>
      <c r="B4739" s="4">
        <v>72.36</v>
      </c>
      <c r="C4739" s="4">
        <v>0.4</v>
      </c>
      <c r="D4739" s="4">
        <v>0.22</v>
      </c>
      <c r="E4739" s="4">
        <v>-5.4005832029936141E-2</v>
      </c>
      <c r="F4739" s="3">
        <v>4737</v>
      </c>
      <c r="G4739" s="3">
        <v>4</v>
      </c>
      <c r="H4739" s="5">
        <v>408262151.85000002</v>
      </c>
      <c r="I4739" s="5">
        <v>345353151.85000002</v>
      </c>
      <c r="J4739" s="5">
        <v>0</v>
      </c>
      <c r="K4739" s="5">
        <v>62909000</v>
      </c>
      <c r="L4739" s="5">
        <v>88431000</v>
      </c>
      <c r="M4739" s="5">
        <v>4773000</v>
      </c>
      <c r="N4739" s="5">
        <v>32254000</v>
      </c>
    </row>
    <row r="4740" spans="1:14" x14ac:dyDescent="0.25">
      <c r="A4740" s="3" t="s">
        <v>4751</v>
      </c>
      <c r="B4740" s="4">
        <v>70.62</v>
      </c>
      <c r="C4740" s="4">
        <v>-0.28999999999999998</v>
      </c>
      <c r="D4740" s="4">
        <v>-7.0000000000000007E-2</v>
      </c>
      <c r="E4740" s="4">
        <v>-5.4978510893389933E-2</v>
      </c>
      <c r="F4740" s="3">
        <v>4738</v>
      </c>
      <c r="G4740" s="3">
        <v>4</v>
      </c>
      <c r="H4740" s="5">
        <v>2832719847.0599999</v>
      </c>
      <c r="I4740" s="5">
        <v>3009078847.0599999</v>
      </c>
      <c r="J4740" s="5">
        <v>390111000</v>
      </c>
      <c r="K4740" s="5">
        <v>213752000</v>
      </c>
      <c r="L4740" s="5">
        <v>528295000</v>
      </c>
      <c r="M4740" s="5">
        <v>42611000</v>
      </c>
      <c r="N4740" s="5">
        <v>-56106000</v>
      </c>
    </row>
    <row r="4741" spans="1:14" x14ac:dyDescent="0.25">
      <c r="A4741" s="3" t="s">
        <v>4752</v>
      </c>
      <c r="B4741" s="4">
        <v>69.510000000000005</v>
      </c>
      <c r="C4741" s="4">
        <v>-0.64</v>
      </c>
      <c r="D4741" s="4">
        <v>-0.14000000000000001</v>
      </c>
      <c r="E4741" s="4">
        <v>-5.5316288492562898E-2</v>
      </c>
      <c r="F4741" s="3">
        <v>4739</v>
      </c>
      <c r="G4741" s="3">
        <v>4</v>
      </c>
      <c r="H4741" s="5">
        <v>40538016.18</v>
      </c>
      <c r="I4741" s="5">
        <v>412445016.18000001</v>
      </c>
      <c r="J4741" s="5">
        <v>393339000</v>
      </c>
      <c r="K4741" s="5">
        <v>21432000</v>
      </c>
      <c r="L4741" s="5">
        <v>490739000</v>
      </c>
      <c r="M4741" s="5">
        <v>5934000</v>
      </c>
      <c r="N4741" s="5">
        <v>-108445000</v>
      </c>
    </row>
    <row r="4742" spans="1:14" x14ac:dyDescent="0.25">
      <c r="A4742" s="3" t="s">
        <v>4753</v>
      </c>
      <c r="B4742" s="4">
        <v>72.69</v>
      </c>
      <c r="C4742" s="4">
        <v>0</v>
      </c>
      <c r="D4742" s="4">
        <v>0</v>
      </c>
      <c r="E4742" s="4">
        <v>-5.5408258683223133E-2</v>
      </c>
      <c r="F4742" s="3">
        <v>4740</v>
      </c>
      <c r="G4742" s="3">
        <v>4</v>
      </c>
      <c r="H4742" s="5">
        <v>55926224.719499998</v>
      </c>
      <c r="I4742" s="5">
        <v>60251004.719499998</v>
      </c>
      <c r="J4742" s="5">
        <v>6270300</v>
      </c>
      <c r="K4742" s="5">
        <v>1945520</v>
      </c>
      <c r="L4742" s="5">
        <v>13899760</v>
      </c>
      <c r="M4742" s="5">
        <v>828900</v>
      </c>
      <c r="N4742" s="5">
        <v>8570</v>
      </c>
    </row>
    <row r="4743" spans="1:14" x14ac:dyDescent="0.25">
      <c r="A4743" s="3" t="s">
        <v>4754</v>
      </c>
      <c r="B4743" s="4">
        <v>-0.89</v>
      </c>
      <c r="C4743" s="4">
        <v>-15.95</v>
      </c>
      <c r="D4743" s="4">
        <v>1.3</v>
      </c>
      <c r="E4743" s="4">
        <v>-5.5702612897111987E-2</v>
      </c>
      <c r="F4743" s="3">
        <v>4741</v>
      </c>
      <c r="G4743" s="3">
        <v>4</v>
      </c>
      <c r="H4743" s="5">
        <v>9894488.1815000009</v>
      </c>
      <c r="I4743" s="5">
        <v>38647488.181500003</v>
      </c>
      <c r="J4743" s="5">
        <v>29100000</v>
      </c>
      <c r="K4743" s="5">
        <v>347000</v>
      </c>
      <c r="L4743" s="5">
        <v>2995000</v>
      </c>
      <c r="M4743" s="5">
        <v>-43289000</v>
      </c>
      <c r="N4743" s="5">
        <v>39791000</v>
      </c>
    </row>
    <row r="4744" spans="1:14" x14ac:dyDescent="0.25">
      <c r="A4744" s="3" t="s">
        <v>4755</v>
      </c>
      <c r="B4744" s="4">
        <v>74.650000000000006</v>
      </c>
      <c r="C4744" s="4">
        <v>0.31</v>
      </c>
      <c r="D4744" s="4">
        <v>0.04</v>
      </c>
      <c r="E4744" s="4">
        <v>-5.5717925076092113E-2</v>
      </c>
      <c r="F4744" s="3">
        <v>4742</v>
      </c>
      <c r="G4744" s="3">
        <v>4</v>
      </c>
      <c r="H4744" s="5">
        <v>144000000</v>
      </c>
      <c r="I4744" s="5">
        <v>166846000</v>
      </c>
      <c r="J4744" s="5">
        <v>24459000</v>
      </c>
      <c r="K4744" s="5">
        <v>1613000</v>
      </c>
      <c r="L4744" s="5">
        <v>63463000</v>
      </c>
      <c r="M4744" s="5">
        <v>2235000</v>
      </c>
      <c r="N4744" s="5">
        <v>1769000</v>
      </c>
    </row>
    <row r="4745" spans="1:14" x14ac:dyDescent="0.25">
      <c r="A4745" s="3" t="s">
        <v>4756</v>
      </c>
      <c r="B4745" s="4">
        <v>73.94</v>
      </c>
      <c r="C4745" s="4">
        <v>0.01</v>
      </c>
      <c r="D4745" s="4">
        <v>0.01</v>
      </c>
      <c r="E4745" s="4">
        <v>-5.6151086761765848E-2</v>
      </c>
      <c r="F4745" s="3">
        <v>4743</v>
      </c>
      <c r="G4745" s="3">
        <v>4</v>
      </c>
      <c r="H4745" s="5">
        <v>8795863554.6599998</v>
      </c>
      <c r="I4745" s="5">
        <v>8495559554.6599998</v>
      </c>
      <c r="J4745" s="5">
        <v>24100000</v>
      </c>
      <c r="K4745" s="5">
        <v>324404000</v>
      </c>
      <c r="L4745" s="5">
        <v>1194615000</v>
      </c>
      <c r="M4745" s="5">
        <v>114897000</v>
      </c>
      <c r="N4745" s="5">
        <v>14012000</v>
      </c>
    </row>
    <row r="4746" spans="1:14" x14ac:dyDescent="0.25">
      <c r="A4746" s="3" t="s">
        <v>4757</v>
      </c>
      <c r="B4746" s="4">
        <v>74.28</v>
      </c>
      <c r="C4746" s="4">
        <v>0.02</v>
      </c>
      <c r="D4746" s="4">
        <v>0.02</v>
      </c>
      <c r="E4746" s="4">
        <v>-5.633069712187453E-2</v>
      </c>
      <c r="F4746" s="3">
        <v>4744</v>
      </c>
      <c r="G4746" s="3">
        <v>4</v>
      </c>
      <c r="H4746" s="5">
        <v>5507240110.3500004</v>
      </c>
      <c r="I4746" s="5">
        <v>3735980110.3499999</v>
      </c>
      <c r="J4746" s="5">
        <v>0</v>
      </c>
      <c r="K4746" s="5">
        <v>1771260000</v>
      </c>
      <c r="L4746" s="5">
        <v>2250233000</v>
      </c>
      <c r="M4746" s="5">
        <v>50296000</v>
      </c>
      <c r="N4746" s="5">
        <v>84591000</v>
      </c>
    </row>
    <row r="4747" spans="1:14" x14ac:dyDescent="0.25">
      <c r="A4747" s="3" t="s">
        <v>4758</v>
      </c>
      <c r="B4747" s="4">
        <v>75.08</v>
      </c>
      <c r="C4747" s="4">
        <v>0.03</v>
      </c>
      <c r="D4747" s="4">
        <v>0.03</v>
      </c>
      <c r="E4747" s="4">
        <v>-5.6795010944048749E-2</v>
      </c>
      <c r="F4747" s="3">
        <v>4745</v>
      </c>
      <c r="G4747" s="3">
        <v>4</v>
      </c>
      <c r="H4747" s="5">
        <v>16555300.800000001</v>
      </c>
      <c r="I4747" s="5">
        <v>6607300.8000000007</v>
      </c>
      <c r="J4747" s="5">
        <v>0</v>
      </c>
      <c r="K4747" s="5">
        <v>9948000</v>
      </c>
      <c r="L4747" s="5">
        <v>9373000</v>
      </c>
      <c r="M4747" s="5">
        <v>88000</v>
      </c>
      <c r="N4747" s="5">
        <v>446000</v>
      </c>
    </row>
    <row r="4748" spans="1:14" x14ac:dyDescent="0.25">
      <c r="A4748" s="3" t="s">
        <v>4759</v>
      </c>
      <c r="B4748" s="4">
        <v>75.31</v>
      </c>
      <c r="C4748" s="4">
        <v>0.06</v>
      </c>
      <c r="D4748" s="4">
        <v>0.03</v>
      </c>
      <c r="E4748" s="4">
        <v>-5.685068185403816E-2</v>
      </c>
      <c r="F4748" s="3">
        <v>4746</v>
      </c>
      <c r="G4748" s="3">
        <v>4</v>
      </c>
      <c r="H4748" s="5">
        <v>61970700000</v>
      </c>
      <c r="I4748" s="5">
        <v>63411700000</v>
      </c>
      <c r="J4748" s="5">
        <v>2984000000</v>
      </c>
      <c r="K4748" s="5">
        <v>1543000000</v>
      </c>
      <c r="L4748" s="5">
        <v>8446000000</v>
      </c>
      <c r="M4748" s="5">
        <v>842000000</v>
      </c>
      <c r="N4748" s="5">
        <v>526000000</v>
      </c>
    </row>
    <row r="4749" spans="1:14" x14ac:dyDescent="0.25">
      <c r="A4749" s="3" t="s">
        <v>4760</v>
      </c>
      <c r="B4749" s="4">
        <v>-1.33</v>
      </c>
      <c r="C4749" s="4">
        <v>6.61</v>
      </c>
      <c r="D4749" s="4">
        <v>-344.28</v>
      </c>
      <c r="E4749" s="4">
        <v>-5.6909610887271138E-2</v>
      </c>
      <c r="F4749" s="3">
        <v>4747</v>
      </c>
      <c r="G4749" s="3">
        <v>4</v>
      </c>
      <c r="H4749" s="5">
        <v>2000</v>
      </c>
      <c r="I4749" s="5">
        <v>1273030</v>
      </c>
      <c r="J4749" s="5">
        <v>1276840</v>
      </c>
      <c r="K4749" s="5">
        <v>5810</v>
      </c>
      <c r="L4749" s="5">
        <v>1213810</v>
      </c>
      <c r="M4749" s="5">
        <v>-955910</v>
      </c>
      <c r="N4749" s="5">
        <v>-57530010</v>
      </c>
    </row>
    <row r="4750" spans="1:14" x14ac:dyDescent="0.25">
      <c r="A4750" s="3" t="s">
        <v>4761</v>
      </c>
      <c r="B4750" s="4">
        <v>74.47</v>
      </c>
      <c r="C4750" s="4">
        <v>-0.18</v>
      </c>
      <c r="D4750" s="4">
        <v>-0.04</v>
      </c>
      <c r="E4750" s="4">
        <v>-5.7037738329873189E-2</v>
      </c>
      <c r="F4750" s="3">
        <v>4748</v>
      </c>
      <c r="G4750" s="3">
        <v>4</v>
      </c>
      <c r="H4750" s="5">
        <v>6476777298.46</v>
      </c>
      <c r="I4750" s="5">
        <v>6597035298.46</v>
      </c>
      <c r="J4750" s="5">
        <v>511422000</v>
      </c>
      <c r="K4750" s="5">
        <v>391164000</v>
      </c>
      <c r="L4750" s="5">
        <v>250349000</v>
      </c>
      <c r="M4750" s="5">
        <v>88592000</v>
      </c>
      <c r="N4750" s="5">
        <v>-63164000</v>
      </c>
    </row>
    <row r="4751" spans="1:14" x14ac:dyDescent="0.25">
      <c r="A4751" s="3" t="s">
        <v>4762</v>
      </c>
      <c r="B4751" s="4">
        <v>80.62</v>
      </c>
      <c r="C4751" s="4">
        <v>1.05</v>
      </c>
      <c r="D4751" s="4">
        <v>-0.46</v>
      </c>
      <c r="E4751" s="4">
        <v>-5.737120528705273E-2</v>
      </c>
      <c r="F4751" s="3">
        <v>4749</v>
      </c>
      <c r="G4751" s="3">
        <v>4</v>
      </c>
      <c r="H4751" s="5">
        <v>60212971.439999998</v>
      </c>
      <c r="I4751" s="5">
        <v>59816971.439999998</v>
      </c>
      <c r="J4751" s="5">
        <v>3723000</v>
      </c>
      <c r="K4751" s="5">
        <v>4119000</v>
      </c>
      <c r="L4751" s="5">
        <v>114405000</v>
      </c>
      <c r="M4751" s="5">
        <v>742000</v>
      </c>
      <c r="N4751" s="5">
        <v>-18709000</v>
      </c>
    </row>
    <row r="4752" spans="1:14" x14ac:dyDescent="0.25">
      <c r="A4752" s="3" t="s">
        <v>4763</v>
      </c>
      <c r="B4752" s="4">
        <v>76.47</v>
      </c>
      <c r="C4752" s="4">
        <v>0.09</v>
      </c>
      <c r="D4752" s="4">
        <v>7.0000000000000007E-2</v>
      </c>
      <c r="E4752" s="4">
        <v>-5.7474232787545737E-2</v>
      </c>
      <c r="F4752" s="3">
        <v>4750</v>
      </c>
      <c r="G4752" s="3">
        <v>4</v>
      </c>
      <c r="H4752" s="5">
        <v>8638060781.1000004</v>
      </c>
      <c r="I4752" s="5">
        <v>8501769781.1000004</v>
      </c>
      <c r="J4752" s="5">
        <v>0</v>
      </c>
      <c r="K4752" s="5">
        <v>136291000</v>
      </c>
      <c r="L4752" s="5">
        <v>509401000</v>
      </c>
      <c r="M4752" s="5">
        <v>111180000</v>
      </c>
      <c r="N4752" s="5">
        <v>61131000</v>
      </c>
    </row>
    <row r="4753" spans="1:14" x14ac:dyDescent="0.25">
      <c r="A4753" s="3" t="s">
        <v>4764</v>
      </c>
      <c r="B4753" s="4">
        <v>76.290000000000006</v>
      </c>
      <c r="C4753" s="4">
        <v>0.02</v>
      </c>
      <c r="D4753" s="4">
        <v>0.01</v>
      </c>
      <c r="E4753" s="4">
        <v>-5.7576656493564603E-2</v>
      </c>
      <c r="F4753" s="3">
        <v>4751</v>
      </c>
      <c r="G4753" s="3">
        <v>4</v>
      </c>
      <c r="H4753" s="5">
        <v>3070702723.5</v>
      </c>
      <c r="I4753" s="5">
        <v>2579553723.5</v>
      </c>
      <c r="J4753" s="5">
        <v>0</v>
      </c>
      <c r="K4753" s="5">
        <v>491149000</v>
      </c>
      <c r="L4753" s="5">
        <v>1736390000</v>
      </c>
      <c r="M4753" s="5">
        <v>33811000</v>
      </c>
      <c r="N4753" s="5">
        <v>14385000</v>
      </c>
    </row>
    <row r="4754" spans="1:14" x14ac:dyDescent="0.25">
      <c r="A4754" s="3" t="s">
        <v>4765</v>
      </c>
      <c r="B4754" s="4">
        <v>77.25</v>
      </c>
      <c r="C4754" s="4">
        <v>0.16</v>
      </c>
      <c r="D4754" s="4">
        <v>0.04</v>
      </c>
      <c r="E4754" s="4">
        <v>-5.7760522662549087E-2</v>
      </c>
      <c r="F4754" s="3">
        <v>4752</v>
      </c>
      <c r="G4754" s="3">
        <v>4</v>
      </c>
      <c r="H4754" s="5">
        <v>4253336489.5</v>
      </c>
      <c r="I4754" s="5">
        <v>4425997489.5</v>
      </c>
      <c r="J4754" s="5">
        <v>509311000</v>
      </c>
      <c r="K4754" s="5">
        <v>336650000</v>
      </c>
      <c r="L4754" s="5">
        <v>441540000</v>
      </c>
      <c r="M4754" s="5">
        <v>57296000</v>
      </c>
      <c r="N4754" s="5">
        <v>35464000</v>
      </c>
    </row>
    <row r="4755" spans="1:14" x14ac:dyDescent="0.25">
      <c r="A4755" s="3" t="s">
        <v>4766</v>
      </c>
      <c r="B4755" s="4">
        <v>78.31</v>
      </c>
      <c r="C4755" s="4">
        <v>0.32</v>
      </c>
      <c r="D4755" s="4">
        <v>0.19</v>
      </c>
      <c r="E4755" s="4">
        <v>-5.7925345355545388E-2</v>
      </c>
      <c r="F4755" s="3">
        <v>4753</v>
      </c>
      <c r="G4755" s="3">
        <v>4</v>
      </c>
      <c r="H4755" s="5">
        <v>3286534575.75</v>
      </c>
      <c r="I4755" s="5">
        <v>3311816575.75</v>
      </c>
      <c r="J4755" s="5">
        <v>75000000</v>
      </c>
      <c r="K4755" s="5">
        <v>49718000</v>
      </c>
      <c r="L4755" s="5">
        <v>347076000</v>
      </c>
      <c r="M4755" s="5">
        <v>42292000</v>
      </c>
      <c r="N4755" s="5">
        <v>57873000</v>
      </c>
    </row>
    <row r="4756" spans="1:14" x14ac:dyDescent="0.25">
      <c r="A4756" s="3" t="s">
        <v>4767</v>
      </c>
      <c r="B4756" s="4">
        <v>77.67</v>
      </c>
      <c r="C4756" s="4">
        <v>0.05</v>
      </c>
      <c r="D4756" s="4">
        <v>0.01</v>
      </c>
      <c r="E4756" s="4">
        <v>-5.8344086058717909E-2</v>
      </c>
      <c r="F4756" s="3">
        <v>4754</v>
      </c>
      <c r="G4756" s="3">
        <v>4</v>
      </c>
      <c r="H4756" s="5">
        <v>84705966.200000003</v>
      </c>
      <c r="I4756" s="5">
        <v>1266875966.2</v>
      </c>
      <c r="J4756" s="5">
        <v>1228483000</v>
      </c>
      <c r="K4756" s="5">
        <v>46313000</v>
      </c>
      <c r="L4756" s="5">
        <v>102760000</v>
      </c>
      <c r="M4756" s="5">
        <v>16310000</v>
      </c>
      <c r="N4756" s="5">
        <v>11970000</v>
      </c>
    </row>
    <row r="4757" spans="1:14" x14ac:dyDescent="0.25">
      <c r="A4757" s="3" t="s">
        <v>4768</v>
      </c>
      <c r="B4757" s="4">
        <v>77.36</v>
      </c>
      <c r="C4757" s="4">
        <v>-0.08</v>
      </c>
      <c r="D4757" s="4">
        <v>-0.05</v>
      </c>
      <c r="E4757" s="4">
        <v>-5.8539411732761497E-2</v>
      </c>
      <c r="F4757" s="3">
        <v>4755</v>
      </c>
      <c r="G4757" s="3">
        <v>4</v>
      </c>
      <c r="H4757" s="5">
        <v>334512000</v>
      </c>
      <c r="I4757" s="5">
        <v>316641000</v>
      </c>
      <c r="J4757" s="5">
        <v>0</v>
      </c>
      <c r="K4757" s="5">
        <v>17871000</v>
      </c>
      <c r="L4757" s="5">
        <v>256852000</v>
      </c>
      <c r="M4757" s="5">
        <v>4093000</v>
      </c>
      <c r="N4757" s="5">
        <v>-6901000</v>
      </c>
    </row>
    <row r="4758" spans="1:14" x14ac:dyDescent="0.25">
      <c r="A4758" s="3" t="s">
        <v>4769</v>
      </c>
      <c r="B4758" s="4">
        <v>78.010000000000005</v>
      </c>
      <c r="C4758" s="4">
        <v>-0.02</v>
      </c>
      <c r="D4758" s="4">
        <v>-0.01</v>
      </c>
      <c r="E4758" s="4">
        <v>-5.8760632354674762E-2</v>
      </c>
      <c r="F4758" s="3">
        <v>4756</v>
      </c>
      <c r="G4758" s="3">
        <v>4</v>
      </c>
      <c r="H4758" s="5">
        <v>274100169.70999998</v>
      </c>
      <c r="I4758" s="5">
        <v>439580169.70999998</v>
      </c>
      <c r="J4758" s="5">
        <v>185398000</v>
      </c>
      <c r="K4758" s="5">
        <v>19918000</v>
      </c>
      <c r="L4758" s="5">
        <v>47318000</v>
      </c>
      <c r="M4758" s="5">
        <v>5635000</v>
      </c>
      <c r="N4758" s="5">
        <v>-14703000</v>
      </c>
    </row>
    <row r="4759" spans="1:14" x14ac:dyDescent="0.25">
      <c r="A4759" s="3" t="s">
        <v>4770</v>
      </c>
      <c r="B4759" s="4">
        <v>78.75</v>
      </c>
      <c r="C4759" s="4">
        <v>0.02</v>
      </c>
      <c r="D4759" s="4">
        <v>0.02</v>
      </c>
      <c r="E4759" s="4">
        <v>-5.9097272068468147E-2</v>
      </c>
      <c r="F4759" s="3">
        <v>4757</v>
      </c>
      <c r="G4759" s="3">
        <v>4</v>
      </c>
      <c r="H4759" s="5">
        <v>3622039911.52</v>
      </c>
      <c r="I4759" s="5">
        <v>3382952911.52</v>
      </c>
      <c r="J4759" s="5">
        <v>0</v>
      </c>
      <c r="K4759" s="5">
        <v>239087000</v>
      </c>
      <c r="L4759" s="5">
        <v>445764000</v>
      </c>
      <c r="M4759" s="5">
        <v>42959000</v>
      </c>
      <c r="N4759" s="5">
        <v>24138000</v>
      </c>
    </row>
    <row r="4760" spans="1:14" x14ac:dyDescent="0.25">
      <c r="A4760" s="3" t="s">
        <v>4771</v>
      </c>
      <c r="B4760" s="4">
        <v>-2.4900000000000002</v>
      </c>
      <c r="C4760" s="4">
        <v>-17.38</v>
      </c>
      <c r="D4760" s="4">
        <v>-1.66</v>
      </c>
      <c r="E4760" s="4">
        <v>-5.941511765558883E-2</v>
      </c>
      <c r="F4760" s="3">
        <v>4758</v>
      </c>
      <c r="G4760" s="3">
        <v>4</v>
      </c>
      <c r="H4760" s="5">
        <v>45628158.729999997</v>
      </c>
      <c r="I4760" s="5">
        <v>41956158.729999997</v>
      </c>
      <c r="J4760" s="5">
        <v>0</v>
      </c>
      <c r="K4760" s="5">
        <v>3672000</v>
      </c>
      <c r="L4760" s="5">
        <v>56000</v>
      </c>
      <c r="M4760" s="5">
        <v>-16848000</v>
      </c>
      <c r="N4760" s="5">
        <v>-11141000</v>
      </c>
    </row>
    <row r="4761" spans="1:14" x14ac:dyDescent="0.25">
      <c r="A4761" s="3" t="s">
        <v>4772</v>
      </c>
      <c r="B4761" s="4">
        <v>69.23</v>
      </c>
      <c r="C4761" s="4">
        <v>-2.1</v>
      </c>
      <c r="D4761" s="4">
        <v>-0.49</v>
      </c>
      <c r="E4761" s="4">
        <v>-5.9428973287368299E-2</v>
      </c>
      <c r="F4761" s="3">
        <v>4759</v>
      </c>
      <c r="G4761" s="3">
        <v>4</v>
      </c>
      <c r="H4761" s="5">
        <v>46995631209.120003</v>
      </c>
      <c r="I4761" s="5">
        <v>49200631209.120003</v>
      </c>
      <c r="J4761" s="5">
        <v>3661100000</v>
      </c>
      <c r="K4761" s="5">
        <v>1456100000</v>
      </c>
      <c r="L4761" s="5">
        <v>5633600000</v>
      </c>
      <c r="M4761" s="5">
        <v>710700000</v>
      </c>
      <c r="N4761" s="5">
        <v>-4478900000</v>
      </c>
    </row>
    <row r="4762" spans="1:14" x14ac:dyDescent="0.25">
      <c r="A4762" s="3" t="s">
        <v>4773</v>
      </c>
      <c r="B4762" s="4">
        <v>77.760000000000005</v>
      </c>
      <c r="C4762" s="4">
        <v>-0.49</v>
      </c>
      <c r="D4762" s="4">
        <v>-0.08</v>
      </c>
      <c r="E4762" s="4">
        <v>-5.9977404927969893E-2</v>
      </c>
      <c r="F4762" s="3">
        <v>4760</v>
      </c>
      <c r="G4762" s="3">
        <v>4</v>
      </c>
      <c r="H4762" s="5">
        <v>47439418.880000003</v>
      </c>
      <c r="I4762" s="5">
        <v>679968418.88</v>
      </c>
      <c r="J4762" s="5">
        <v>705331000</v>
      </c>
      <c r="K4762" s="5">
        <v>72802000</v>
      </c>
      <c r="L4762" s="5">
        <v>82107000</v>
      </c>
      <c r="M4762" s="5">
        <v>8744000</v>
      </c>
      <c r="N4762" s="5">
        <v>-70489000</v>
      </c>
    </row>
    <row r="4763" spans="1:14" x14ac:dyDescent="0.25">
      <c r="A4763" s="3" t="s">
        <v>4774</v>
      </c>
      <c r="B4763" s="4">
        <v>79.02</v>
      </c>
      <c r="C4763" s="4">
        <v>-0.27</v>
      </c>
      <c r="D4763" s="4">
        <v>0.06</v>
      </c>
      <c r="E4763" s="4">
        <v>-6.0094579119398493E-2</v>
      </c>
      <c r="F4763" s="3">
        <v>4761</v>
      </c>
      <c r="G4763" s="3">
        <v>4</v>
      </c>
      <c r="H4763" s="5">
        <v>18876464036.580002</v>
      </c>
      <c r="I4763" s="5">
        <v>19819784036.580002</v>
      </c>
      <c r="J4763" s="5">
        <v>1349853000</v>
      </c>
      <c r="K4763" s="5">
        <v>406533000</v>
      </c>
      <c r="L4763" s="5">
        <v>2537927000</v>
      </c>
      <c r="M4763" s="5">
        <v>250830000</v>
      </c>
      <c r="N4763" s="5">
        <v>188366000</v>
      </c>
    </row>
    <row r="4764" spans="1:14" x14ac:dyDescent="0.25">
      <c r="A4764" s="3" t="s">
        <v>4775</v>
      </c>
      <c r="B4764" s="4">
        <v>83.13</v>
      </c>
      <c r="C4764" s="4">
        <v>0.56999999999999995</v>
      </c>
      <c r="D4764" s="4">
        <v>0.49</v>
      </c>
      <c r="E4764" s="4">
        <v>-6.0128331528850103E-2</v>
      </c>
      <c r="F4764" s="3">
        <v>4762</v>
      </c>
      <c r="G4764" s="3">
        <v>4</v>
      </c>
      <c r="H4764" s="5">
        <v>47912185750</v>
      </c>
      <c r="I4764" s="5">
        <v>47900318750</v>
      </c>
      <c r="J4764" s="5">
        <v>0</v>
      </c>
      <c r="K4764" s="5">
        <v>11867000</v>
      </c>
      <c r="L4764" s="5">
        <v>2207100000</v>
      </c>
      <c r="M4764" s="5">
        <v>576188000</v>
      </c>
      <c r="N4764" s="5">
        <v>1786700000</v>
      </c>
    </row>
    <row r="4765" spans="1:14" x14ac:dyDescent="0.25">
      <c r="A4765" s="3" t="s">
        <v>4776</v>
      </c>
      <c r="B4765" s="4">
        <v>80.58</v>
      </c>
      <c r="C4765" s="4">
        <v>0.03</v>
      </c>
      <c r="D4765" s="4">
        <v>0.02</v>
      </c>
      <c r="E4765" s="4">
        <v>-6.0201003104018852E-2</v>
      </c>
      <c r="F4765" s="3">
        <v>4763</v>
      </c>
      <c r="G4765" s="3">
        <v>4</v>
      </c>
      <c r="H4765" s="5">
        <v>415983522801.37</v>
      </c>
      <c r="I4765" s="5">
        <v>413917522801.37</v>
      </c>
      <c r="J4765" s="5">
        <v>1721000000</v>
      </c>
      <c r="K4765" s="5">
        <v>3787000000</v>
      </c>
      <c r="L4765" s="5">
        <v>25785000000</v>
      </c>
      <c r="M4765" s="5">
        <v>5137000000</v>
      </c>
      <c r="N4765" s="5">
        <v>1641000000</v>
      </c>
    </row>
    <row r="4766" spans="1:14" x14ac:dyDescent="0.25">
      <c r="A4766" s="3" t="s">
        <v>4777</v>
      </c>
      <c r="B4766" s="4">
        <v>81.75</v>
      </c>
      <c r="C4766" s="4">
        <v>0.21</v>
      </c>
      <c r="D4766" s="4">
        <v>0.09</v>
      </c>
      <c r="E4766" s="4">
        <v>-6.039155205827413E-2</v>
      </c>
      <c r="F4766" s="3">
        <v>4764</v>
      </c>
      <c r="G4766" s="3">
        <v>4</v>
      </c>
      <c r="H4766" s="5">
        <v>127771899580</v>
      </c>
      <c r="I4766" s="5">
        <v>124991899580</v>
      </c>
      <c r="J4766" s="5">
        <v>2001000000</v>
      </c>
      <c r="K4766" s="5">
        <v>4781000000</v>
      </c>
      <c r="L4766" s="5">
        <v>15673000000</v>
      </c>
      <c r="M4766" s="5">
        <v>1529000000</v>
      </c>
      <c r="N4766" s="5">
        <v>1138000000</v>
      </c>
    </row>
    <row r="4767" spans="1:14" x14ac:dyDescent="0.25">
      <c r="A4767" s="3" t="s">
        <v>4778</v>
      </c>
      <c r="B4767" s="4">
        <v>81.52</v>
      </c>
      <c r="C4767" s="4">
        <v>7.0000000000000007E-2</v>
      </c>
      <c r="D4767" s="4">
        <v>0.04</v>
      </c>
      <c r="E4767" s="4">
        <v>-6.0663355958331291E-2</v>
      </c>
      <c r="F4767" s="3">
        <v>4765</v>
      </c>
      <c r="G4767" s="3">
        <v>4</v>
      </c>
      <c r="H4767" s="5">
        <v>11146861340.08</v>
      </c>
      <c r="I4767" s="5">
        <v>11489118340.08</v>
      </c>
      <c r="J4767" s="5">
        <v>489063000</v>
      </c>
      <c r="K4767" s="5">
        <v>146806000</v>
      </c>
      <c r="L4767" s="5">
        <v>729578000</v>
      </c>
      <c r="M4767" s="5">
        <v>140931000</v>
      </c>
      <c r="N4767" s="5">
        <v>76859000</v>
      </c>
    </row>
    <row r="4768" spans="1:14" x14ac:dyDescent="0.25">
      <c r="A4768" s="3" t="s">
        <v>4779</v>
      </c>
      <c r="B4768" s="4">
        <v>81.56</v>
      </c>
      <c r="C4768" s="4">
        <v>0.06</v>
      </c>
      <c r="D4768" s="4">
        <v>0.01</v>
      </c>
      <c r="E4768" s="4">
        <v>-6.0722793467866583E-2</v>
      </c>
      <c r="F4768" s="3">
        <v>4766</v>
      </c>
      <c r="G4768" s="3">
        <v>4</v>
      </c>
      <c r="H4768" s="5">
        <v>950712180.51999998</v>
      </c>
      <c r="I4768" s="5">
        <v>9767242180.5200005</v>
      </c>
      <c r="J4768" s="5">
        <v>9155461000</v>
      </c>
      <c r="K4768" s="5">
        <v>338931000</v>
      </c>
      <c r="L4768" s="5">
        <v>806257000</v>
      </c>
      <c r="M4768" s="5">
        <v>119758000</v>
      </c>
      <c r="N4768" s="5">
        <v>119251000</v>
      </c>
    </row>
    <row r="4769" spans="1:14" x14ac:dyDescent="0.25">
      <c r="A4769" s="3" t="s">
        <v>4780</v>
      </c>
      <c r="B4769" s="4">
        <v>81.17</v>
      </c>
      <c r="C4769" s="4">
        <v>-7.0000000000000007E-2</v>
      </c>
      <c r="D4769" s="4">
        <v>-0.04</v>
      </c>
      <c r="E4769" s="4">
        <v>-6.0866676469756027E-2</v>
      </c>
      <c r="F4769" s="3">
        <v>4767</v>
      </c>
      <c r="G4769" s="3">
        <v>4</v>
      </c>
      <c r="H4769" s="5">
        <v>80089090000</v>
      </c>
      <c r="I4769" s="5">
        <v>84095690000</v>
      </c>
      <c r="J4769" s="5">
        <v>4063800000</v>
      </c>
      <c r="K4769" s="5">
        <v>57200000</v>
      </c>
      <c r="L4769" s="5">
        <v>5767300000</v>
      </c>
      <c r="M4769" s="5">
        <v>1036100000</v>
      </c>
      <c r="N4769" s="5">
        <v>-885000000</v>
      </c>
    </row>
    <row r="4770" spans="1:14" x14ac:dyDescent="0.25">
      <c r="A4770" s="3" t="s">
        <v>4781</v>
      </c>
      <c r="B4770" s="4">
        <v>0.14000000000000001</v>
      </c>
      <c r="C4770" s="4">
        <v>-17.37</v>
      </c>
      <c r="D4770" s="4">
        <v>-1.8</v>
      </c>
      <c r="E4770" s="4">
        <v>-6.1040991518990818E-2</v>
      </c>
      <c r="F4770" s="3">
        <v>4768</v>
      </c>
      <c r="G4770" s="3">
        <v>4</v>
      </c>
      <c r="H4770" s="5">
        <v>323.08370000000002</v>
      </c>
      <c r="I4770" s="5">
        <v>-7192676.9162999997</v>
      </c>
      <c r="J4770" s="5">
        <v>5221000</v>
      </c>
      <c r="K4770" s="5">
        <v>12414000</v>
      </c>
      <c r="L4770" s="5">
        <v>36935000</v>
      </c>
      <c r="M4770" s="5">
        <v>-50956000</v>
      </c>
      <c r="N4770" s="5">
        <v>-57185000</v>
      </c>
    </row>
    <row r="4771" spans="1:14" x14ac:dyDescent="0.25">
      <c r="A4771" s="3" t="s">
        <v>4782</v>
      </c>
      <c r="B4771" s="4">
        <v>80.599999999999994</v>
      </c>
      <c r="C4771" s="4">
        <v>-0.31</v>
      </c>
      <c r="D4771" s="4">
        <v>-0.08</v>
      </c>
      <c r="E4771" s="4">
        <v>-6.1215054419679643E-2</v>
      </c>
      <c r="F4771" s="3">
        <v>4769</v>
      </c>
      <c r="G4771" s="3">
        <v>4</v>
      </c>
      <c r="H4771" s="5">
        <v>44987334</v>
      </c>
      <c r="I4771" s="5">
        <v>52148334</v>
      </c>
      <c r="J4771" s="5">
        <v>7356000</v>
      </c>
      <c r="K4771" s="5">
        <v>195000</v>
      </c>
      <c r="L4771" s="5">
        <v>34031000</v>
      </c>
      <c r="M4771" s="5">
        <v>647000</v>
      </c>
      <c r="N4771" s="5">
        <v>-2748000</v>
      </c>
    </row>
    <row r="4772" spans="1:14" x14ac:dyDescent="0.25">
      <c r="A4772" s="3" t="s">
        <v>4783</v>
      </c>
      <c r="B4772" s="4">
        <v>83.44</v>
      </c>
      <c r="C4772" s="4">
        <v>0.04</v>
      </c>
      <c r="D4772" s="4">
        <v>0</v>
      </c>
      <c r="E4772" s="4">
        <v>-6.1946080379523552E-2</v>
      </c>
      <c r="F4772" s="3">
        <v>4770</v>
      </c>
      <c r="G4772" s="3">
        <v>4</v>
      </c>
      <c r="H4772" s="5">
        <v>2208022576</v>
      </c>
      <c r="I4772" s="5">
        <v>10337725576</v>
      </c>
      <c r="J4772" s="5">
        <v>9068237000</v>
      </c>
      <c r="K4772" s="5">
        <v>938534000</v>
      </c>
      <c r="L4772" s="5">
        <v>787011000</v>
      </c>
      <c r="M4772" s="5">
        <v>123900000</v>
      </c>
      <c r="N4772" s="5">
        <v>51330000</v>
      </c>
    </row>
    <row r="4773" spans="1:14" x14ac:dyDescent="0.25">
      <c r="A4773" s="3" t="s">
        <v>4784</v>
      </c>
      <c r="B4773" s="4">
        <v>90.15</v>
      </c>
      <c r="C4773" s="4">
        <v>1.45</v>
      </c>
      <c r="D4773" s="4">
        <v>0.27</v>
      </c>
      <c r="E4773" s="4">
        <v>-6.1972955095631291E-2</v>
      </c>
      <c r="F4773" s="3">
        <v>4771</v>
      </c>
      <c r="G4773" s="3">
        <v>4</v>
      </c>
      <c r="H4773" s="5">
        <v>208717109433.70001</v>
      </c>
      <c r="I4773" s="5">
        <v>211484681433.70001</v>
      </c>
      <c r="J4773" s="5">
        <v>3508983000</v>
      </c>
      <c r="K4773" s="5">
        <v>741411000</v>
      </c>
      <c r="L4773" s="5">
        <v>4709248000</v>
      </c>
      <c r="M4773" s="5">
        <v>2345847000</v>
      </c>
      <c r="N4773" s="5">
        <v>1579776000</v>
      </c>
    </row>
    <row r="4774" spans="1:14" x14ac:dyDescent="0.25">
      <c r="A4774" s="3" t="s">
        <v>4785</v>
      </c>
      <c r="B4774" s="4">
        <v>83.02</v>
      </c>
      <c r="C4774" s="4">
        <v>-0.19</v>
      </c>
      <c r="D4774" s="4">
        <v>-0.01</v>
      </c>
      <c r="E4774" s="4">
        <v>-6.2352615728156348E-2</v>
      </c>
      <c r="F4774" s="3">
        <v>4772</v>
      </c>
      <c r="G4774" s="3">
        <v>4</v>
      </c>
      <c r="H4774" s="5">
        <v>17722026.079999998</v>
      </c>
      <c r="I4774" s="5">
        <v>156599836.08000001</v>
      </c>
      <c r="J4774" s="5">
        <v>144549160</v>
      </c>
      <c r="K4774" s="5">
        <v>5671350</v>
      </c>
      <c r="L4774" s="5">
        <v>20609710</v>
      </c>
      <c r="M4774" s="5">
        <v>1886200</v>
      </c>
      <c r="N4774" s="5">
        <v>-1306330</v>
      </c>
    </row>
    <row r="4775" spans="1:14" x14ac:dyDescent="0.25">
      <c r="A4775" s="3" t="s">
        <v>4786</v>
      </c>
      <c r="B4775" s="4">
        <v>-0.01</v>
      </c>
      <c r="C4775" s="4">
        <v>4.72</v>
      </c>
      <c r="D4775" s="4">
        <v>-344.29</v>
      </c>
      <c r="E4775" s="4">
        <v>-6.3189406791595445E-2</v>
      </c>
      <c r="F4775" s="3">
        <v>4773</v>
      </c>
      <c r="G4775" s="3">
        <v>4</v>
      </c>
      <c r="H4775" s="5">
        <v>887.916336</v>
      </c>
      <c r="I4775" s="5">
        <v>887.916336</v>
      </c>
      <c r="J4775" s="5">
        <v>0</v>
      </c>
      <c r="K4775" s="5">
        <v>0</v>
      </c>
      <c r="L4775" s="5">
        <v>0</v>
      </c>
      <c r="M4775" s="5">
        <v>-60260</v>
      </c>
      <c r="N4775" s="5">
        <v>-82630</v>
      </c>
    </row>
    <row r="4776" spans="1:14" x14ac:dyDescent="0.25">
      <c r="A4776" s="3" t="s">
        <v>4787</v>
      </c>
      <c r="B4776" s="4">
        <v>-0.17</v>
      </c>
      <c r="C4776" s="4">
        <v>-18.23</v>
      </c>
      <c r="D4776" s="4">
        <v>-1.32</v>
      </c>
      <c r="E4776" s="4">
        <v>-6.3241383069904525E-2</v>
      </c>
      <c r="F4776" s="3">
        <v>4774</v>
      </c>
      <c r="G4776" s="3">
        <v>4</v>
      </c>
      <c r="H4776" s="5">
        <v>14.45969</v>
      </c>
      <c r="I4776" s="5">
        <v>6970044.4596900009</v>
      </c>
      <c r="J4776" s="5">
        <v>19616310</v>
      </c>
      <c r="K4776" s="5">
        <v>12646280</v>
      </c>
      <c r="L4776" s="5">
        <v>0</v>
      </c>
      <c r="M4776" s="5">
        <v>-42008530</v>
      </c>
      <c r="N4776" s="5">
        <v>-43766420</v>
      </c>
    </row>
    <row r="4777" spans="1:14" x14ac:dyDescent="0.25">
      <c r="A4777" s="3" t="s">
        <v>4788</v>
      </c>
      <c r="B4777" s="4">
        <v>70.37</v>
      </c>
      <c r="C4777" s="4">
        <v>-3.35</v>
      </c>
      <c r="D4777" s="4">
        <v>-0.38</v>
      </c>
      <c r="E4777" s="4">
        <v>-6.3725024321289819E-2</v>
      </c>
      <c r="F4777" s="3">
        <v>4775</v>
      </c>
      <c r="G4777" s="3">
        <v>4</v>
      </c>
      <c r="H4777" s="5">
        <v>672438202.79999995</v>
      </c>
      <c r="I4777" s="5">
        <v>784447202.79999995</v>
      </c>
      <c r="J4777" s="5">
        <v>189576000</v>
      </c>
      <c r="K4777" s="5">
        <v>77567000</v>
      </c>
      <c r="L4777" s="5">
        <v>922720000</v>
      </c>
      <c r="M4777" s="5">
        <v>11147000</v>
      </c>
      <c r="N4777" s="5">
        <v>-450872000</v>
      </c>
    </row>
    <row r="4778" spans="1:14" x14ac:dyDescent="0.25">
      <c r="A4778" s="3" t="s">
        <v>4789</v>
      </c>
      <c r="B4778" s="4">
        <v>86.37</v>
      </c>
      <c r="C4778" s="4">
        <v>-0.04</v>
      </c>
      <c r="D4778" s="4">
        <v>-0.02</v>
      </c>
      <c r="E4778" s="4">
        <v>-6.3994524558037932E-2</v>
      </c>
      <c r="F4778" s="3">
        <v>4776</v>
      </c>
      <c r="G4778" s="3">
        <v>4</v>
      </c>
      <c r="H4778" s="5">
        <v>156810900</v>
      </c>
      <c r="I4778" s="5">
        <v>162643150</v>
      </c>
      <c r="J4778" s="5">
        <v>6467130</v>
      </c>
      <c r="K4778" s="5">
        <v>634880</v>
      </c>
      <c r="L4778" s="5">
        <v>6099780</v>
      </c>
      <c r="M4778" s="5">
        <v>1883200</v>
      </c>
      <c r="N4778" s="5">
        <v>-633260</v>
      </c>
    </row>
    <row r="4779" spans="1:14" x14ac:dyDescent="0.25">
      <c r="A4779" s="3" t="s">
        <v>4790</v>
      </c>
      <c r="B4779" s="4">
        <v>86.92</v>
      </c>
      <c r="C4779" s="4">
        <v>7.0000000000000007E-2</v>
      </c>
      <c r="D4779" s="4">
        <v>-0.01</v>
      </c>
      <c r="E4779" s="4">
        <v>-6.4015172167640647E-2</v>
      </c>
      <c r="F4779" s="3">
        <v>4777</v>
      </c>
      <c r="G4779" s="3">
        <v>4</v>
      </c>
      <c r="H4779" s="5">
        <v>229611508.5</v>
      </c>
      <c r="I4779" s="5">
        <v>223203508.5</v>
      </c>
      <c r="J4779" s="5">
        <v>18206000</v>
      </c>
      <c r="K4779" s="5">
        <v>24614000</v>
      </c>
      <c r="L4779" s="5">
        <v>47538000</v>
      </c>
      <c r="M4779" s="5">
        <v>2568000</v>
      </c>
      <c r="N4779" s="5">
        <v>-436000</v>
      </c>
    </row>
    <row r="4780" spans="1:14" x14ac:dyDescent="0.25">
      <c r="A4780" s="3" t="s">
        <v>4791</v>
      </c>
      <c r="B4780" s="4">
        <v>87.1</v>
      </c>
      <c r="C4780" s="4">
        <v>0.03</v>
      </c>
      <c r="D4780" s="4">
        <v>0.01</v>
      </c>
      <c r="E4780" s="4">
        <v>-6.4238294245090866E-2</v>
      </c>
      <c r="F4780" s="3">
        <v>4778</v>
      </c>
      <c r="G4780" s="3">
        <v>4</v>
      </c>
      <c r="H4780" s="5">
        <v>27620157345.48</v>
      </c>
      <c r="I4780" s="5">
        <v>28277985345.48</v>
      </c>
      <c r="J4780" s="5">
        <v>1592691000</v>
      </c>
      <c r="K4780" s="5">
        <v>934863000</v>
      </c>
      <c r="L4780" s="5">
        <v>4014955000</v>
      </c>
      <c r="M4780" s="5">
        <v>324679000</v>
      </c>
      <c r="N4780" s="5">
        <v>83956000</v>
      </c>
    </row>
    <row r="4781" spans="1:14" x14ac:dyDescent="0.25">
      <c r="A4781" s="3" t="s">
        <v>4792</v>
      </c>
      <c r="B4781" s="4">
        <v>88.49</v>
      </c>
      <c r="C4781" s="4">
        <v>0.01</v>
      </c>
      <c r="D4781" s="4">
        <v>0.01</v>
      </c>
      <c r="E4781" s="4">
        <v>-6.515638105101354E-2</v>
      </c>
      <c r="F4781" s="3">
        <v>4779</v>
      </c>
      <c r="G4781" s="3">
        <v>4</v>
      </c>
      <c r="H4781" s="5">
        <v>413391270.60000002</v>
      </c>
      <c r="I4781" s="5">
        <v>575332270.60000002</v>
      </c>
      <c r="J4781" s="5">
        <v>181856000</v>
      </c>
      <c r="K4781" s="5">
        <v>19915000</v>
      </c>
      <c r="L4781" s="5">
        <v>47070000</v>
      </c>
      <c r="M4781" s="5">
        <v>6502000</v>
      </c>
      <c r="N4781" s="5">
        <v>5862000</v>
      </c>
    </row>
    <row r="4782" spans="1:14" x14ac:dyDescent="0.25">
      <c r="A4782" s="3" t="s">
        <v>4793</v>
      </c>
      <c r="B4782" s="4">
        <v>80.09</v>
      </c>
      <c r="C4782" s="4">
        <v>-1.79</v>
      </c>
      <c r="D4782" s="4">
        <v>-0.08</v>
      </c>
      <c r="E4782" s="4">
        <v>-6.5175658767268468E-2</v>
      </c>
      <c r="F4782" s="3">
        <v>4780</v>
      </c>
      <c r="G4782" s="3">
        <v>4</v>
      </c>
      <c r="H4782" s="5">
        <v>2327296626.8299999</v>
      </c>
      <c r="I4782" s="5">
        <v>4356896626.8299999</v>
      </c>
      <c r="J4782" s="5">
        <v>2765200000</v>
      </c>
      <c r="K4782" s="5">
        <v>735600000</v>
      </c>
      <c r="L4782" s="5">
        <v>11852200000</v>
      </c>
      <c r="M4782" s="5">
        <v>54400000</v>
      </c>
      <c r="N4782" s="5">
        <v>-560400000</v>
      </c>
    </row>
    <row r="4783" spans="1:14" x14ac:dyDescent="0.25">
      <c r="A4783" s="3" t="s">
        <v>4794</v>
      </c>
      <c r="B4783" s="4">
        <v>89.53</v>
      </c>
      <c r="C4783" s="4">
        <v>0.14000000000000001</v>
      </c>
      <c r="D4783" s="4">
        <v>0.05</v>
      </c>
      <c r="E4783" s="4">
        <v>-6.5416725446011625E-2</v>
      </c>
      <c r="F4783" s="3">
        <v>4781</v>
      </c>
      <c r="G4783" s="3">
        <v>4</v>
      </c>
      <c r="H4783" s="5">
        <v>144295345496.94</v>
      </c>
      <c r="I4783" s="5">
        <v>142026745496.94</v>
      </c>
      <c r="J4783" s="5">
        <v>0</v>
      </c>
      <c r="K4783" s="5">
        <v>2268600000</v>
      </c>
      <c r="L4783" s="5">
        <v>9221500000</v>
      </c>
      <c r="M4783" s="5">
        <v>1586300000</v>
      </c>
      <c r="N4783" s="5">
        <v>1133900000</v>
      </c>
    </row>
    <row r="4784" spans="1:14" x14ac:dyDescent="0.25">
      <c r="A4784" s="3" t="s">
        <v>4795</v>
      </c>
      <c r="B4784" s="4">
        <v>89.24</v>
      </c>
      <c r="C4784" s="4">
        <v>-0.12</v>
      </c>
      <c r="D4784" s="4">
        <v>-0.04</v>
      </c>
      <c r="E4784" s="4">
        <v>-6.6005833502369812E-2</v>
      </c>
      <c r="F4784" s="3">
        <v>4782</v>
      </c>
      <c r="G4784" s="3">
        <v>4</v>
      </c>
      <c r="H4784" s="5">
        <v>430411639</v>
      </c>
      <c r="I4784" s="5">
        <v>454242639</v>
      </c>
      <c r="J4784" s="5">
        <v>39973000</v>
      </c>
      <c r="K4784" s="5">
        <v>16142000</v>
      </c>
      <c r="L4784" s="5">
        <v>92195000</v>
      </c>
      <c r="M4784" s="5">
        <v>5090000</v>
      </c>
      <c r="N4784" s="5">
        <v>-5869000</v>
      </c>
    </row>
    <row r="4785" spans="1:14" x14ac:dyDescent="0.25">
      <c r="A4785" s="3" t="s">
        <v>4796</v>
      </c>
      <c r="B4785" s="4">
        <v>90.67</v>
      </c>
      <c r="C4785" s="4">
        <v>-0.05</v>
      </c>
      <c r="D4785" s="4">
        <v>-0.03</v>
      </c>
      <c r="E4785" s="4">
        <v>-6.668670564137319E-2</v>
      </c>
      <c r="F4785" s="3">
        <v>4783</v>
      </c>
      <c r="G4785" s="3">
        <v>4</v>
      </c>
      <c r="H4785" s="5">
        <v>711486431.37</v>
      </c>
      <c r="I4785" s="5">
        <v>660500431.37</v>
      </c>
      <c r="J4785" s="5">
        <v>0</v>
      </c>
      <c r="K4785" s="5">
        <v>50986000</v>
      </c>
      <c r="L4785" s="5">
        <v>237860000</v>
      </c>
      <c r="M4785" s="5">
        <v>7285000</v>
      </c>
      <c r="N4785" s="5">
        <v>-8804000</v>
      </c>
    </row>
    <row r="4786" spans="1:14" x14ac:dyDescent="0.25">
      <c r="A4786" s="3" t="s">
        <v>4797</v>
      </c>
      <c r="B4786" s="4">
        <v>-1.77</v>
      </c>
      <c r="C4786" s="4">
        <v>-19.84</v>
      </c>
      <c r="D4786" s="4">
        <v>-0.69</v>
      </c>
      <c r="E4786" s="4">
        <v>-6.6781452213316994E-2</v>
      </c>
      <c r="F4786" s="3">
        <v>4784</v>
      </c>
      <c r="G4786" s="3">
        <v>4</v>
      </c>
      <c r="H4786" s="5">
        <v>3922749.53</v>
      </c>
      <c r="I4786" s="5">
        <v>39359749.530000001</v>
      </c>
      <c r="J4786" s="5">
        <v>39708000</v>
      </c>
      <c r="K4786" s="5">
        <v>4271000</v>
      </c>
      <c r="L4786" s="5">
        <v>64833000</v>
      </c>
      <c r="M4786" s="5">
        <v>-22275000</v>
      </c>
      <c r="N4786" s="5">
        <v>-46996000</v>
      </c>
    </row>
    <row r="4787" spans="1:14" x14ac:dyDescent="0.25">
      <c r="A4787" s="3" t="s">
        <v>4798</v>
      </c>
      <c r="B4787" s="4">
        <v>92.09</v>
      </c>
      <c r="C4787" s="4">
        <v>0.15</v>
      </c>
      <c r="D4787" s="4">
        <v>7.0000000000000007E-2</v>
      </c>
      <c r="E4787" s="4">
        <v>-6.6968410444293969E-2</v>
      </c>
      <c r="F4787" s="3">
        <v>4785</v>
      </c>
      <c r="G4787" s="3">
        <v>4</v>
      </c>
      <c r="H4787" s="5">
        <v>182963040000</v>
      </c>
      <c r="I4787" s="5">
        <v>182148040000</v>
      </c>
      <c r="J4787" s="5">
        <v>1489000000</v>
      </c>
      <c r="K4787" s="5">
        <v>2304000000</v>
      </c>
      <c r="L4787" s="5">
        <v>10984000000</v>
      </c>
      <c r="M4787" s="5">
        <v>1978000000</v>
      </c>
      <c r="N4787" s="5">
        <v>1425000000</v>
      </c>
    </row>
    <row r="4788" spans="1:14" x14ac:dyDescent="0.25">
      <c r="A4788" s="3" t="s">
        <v>4799</v>
      </c>
      <c r="B4788" s="4">
        <v>91.96</v>
      </c>
      <c r="C4788" s="4">
        <v>0.05</v>
      </c>
      <c r="D4788" s="4">
        <v>0.02</v>
      </c>
      <c r="E4788" s="4">
        <v>-6.7186531973264074E-2</v>
      </c>
      <c r="F4788" s="3">
        <v>4786</v>
      </c>
      <c r="G4788" s="3">
        <v>4</v>
      </c>
      <c r="H4788" s="5">
        <v>93397064787.839996</v>
      </c>
      <c r="I4788" s="5">
        <v>96723961787.839996</v>
      </c>
      <c r="J4788" s="5">
        <v>5732050000</v>
      </c>
      <c r="K4788" s="5">
        <v>2405153000</v>
      </c>
      <c r="L4788" s="5">
        <v>16819866000</v>
      </c>
      <c r="M4788" s="5">
        <v>1051825000</v>
      </c>
      <c r="N4788" s="5">
        <v>444321000</v>
      </c>
    </row>
    <row r="4789" spans="1:14" x14ac:dyDescent="0.25">
      <c r="A4789" s="3" t="s">
        <v>4800</v>
      </c>
      <c r="B4789" s="4">
        <v>92.33</v>
      </c>
      <c r="C4789" s="4">
        <v>0.05</v>
      </c>
      <c r="D4789" s="4">
        <v>0.01</v>
      </c>
      <c r="E4789" s="4">
        <v>-6.7417461610633445E-2</v>
      </c>
      <c r="F4789" s="3">
        <v>4787</v>
      </c>
      <c r="G4789" s="3">
        <v>4</v>
      </c>
      <c r="H4789" s="5">
        <v>8249246963.2799997</v>
      </c>
      <c r="I4789" s="5">
        <v>8435166963.2799988</v>
      </c>
      <c r="J4789" s="5">
        <v>473176000</v>
      </c>
      <c r="K4789" s="5">
        <v>287256000</v>
      </c>
      <c r="L4789" s="5">
        <v>340885000</v>
      </c>
      <c r="M4789" s="5">
        <v>91354000</v>
      </c>
      <c r="N4789" s="5">
        <v>17214000</v>
      </c>
    </row>
    <row r="4790" spans="1:14" x14ac:dyDescent="0.25">
      <c r="A4790" s="3" t="s">
        <v>4801</v>
      </c>
      <c r="B4790" s="4">
        <v>91.77</v>
      </c>
      <c r="C4790" s="4">
        <v>-0.09</v>
      </c>
      <c r="D4790" s="4">
        <v>-0.04</v>
      </c>
      <c r="E4790" s="4">
        <v>-6.7485021722687041E-2</v>
      </c>
      <c r="F4790" s="3">
        <v>4788</v>
      </c>
      <c r="G4790" s="3">
        <v>4</v>
      </c>
      <c r="H4790" s="5">
        <v>2011447809.28</v>
      </c>
      <c r="I4790" s="5">
        <v>1841715809.28</v>
      </c>
      <c r="J4790" s="5">
        <v>0</v>
      </c>
      <c r="K4790" s="5">
        <v>169732000</v>
      </c>
      <c r="L4790" s="5">
        <v>1518056000</v>
      </c>
      <c r="M4790" s="5">
        <v>20068000</v>
      </c>
      <c r="N4790" s="5">
        <v>-38146000</v>
      </c>
    </row>
    <row r="4791" spans="1:14" x14ac:dyDescent="0.25">
      <c r="A4791" s="3" t="s">
        <v>4802</v>
      </c>
      <c r="B4791" s="4">
        <v>92.54</v>
      </c>
      <c r="C4791" s="4">
        <v>-0.01</v>
      </c>
      <c r="D4791" s="4">
        <v>-0.01</v>
      </c>
      <c r="E4791" s="4">
        <v>-6.7724654625513817E-2</v>
      </c>
      <c r="F4791" s="3">
        <v>4789</v>
      </c>
      <c r="G4791" s="3">
        <v>4</v>
      </c>
      <c r="H4791" s="5">
        <v>8204611009.1199999</v>
      </c>
      <c r="I4791" s="5">
        <v>7972823009.1199989</v>
      </c>
      <c r="J4791" s="5">
        <v>525567000</v>
      </c>
      <c r="K4791" s="5">
        <v>757355000</v>
      </c>
      <c r="L4791" s="5">
        <v>634439000</v>
      </c>
      <c r="M4791" s="5">
        <v>86155000</v>
      </c>
      <c r="N4791" s="5">
        <v>-25514000</v>
      </c>
    </row>
    <row r="4792" spans="1:14" x14ac:dyDescent="0.25">
      <c r="A4792" s="3" t="s">
        <v>4803</v>
      </c>
      <c r="B4792" s="4">
        <v>5.54</v>
      </c>
      <c r="C4792" s="4">
        <v>-18.71</v>
      </c>
      <c r="D4792" s="4">
        <v>-0.13</v>
      </c>
      <c r="E4792" s="4">
        <v>-6.793275849690654E-2</v>
      </c>
      <c r="F4792" s="3">
        <v>4790</v>
      </c>
      <c r="G4792" s="3">
        <v>4</v>
      </c>
      <c r="H4792" s="5">
        <v>2074497771.5250001</v>
      </c>
      <c r="I4792" s="5">
        <v>17995497771.525002</v>
      </c>
      <c r="J4792" s="5">
        <v>16513000000</v>
      </c>
      <c r="K4792" s="5">
        <v>592000000</v>
      </c>
      <c r="L4792" s="5">
        <v>9049000000</v>
      </c>
      <c r="M4792" s="5">
        <v>3251000000</v>
      </c>
      <c r="N4792" s="5">
        <v>-2862000000</v>
      </c>
    </row>
    <row r="4793" spans="1:14" x14ac:dyDescent="0.25">
      <c r="A4793" s="3" t="s">
        <v>4804</v>
      </c>
      <c r="B4793" s="4">
        <v>94.07</v>
      </c>
      <c r="C4793" s="4">
        <v>0.18</v>
      </c>
      <c r="D4793" s="4">
        <v>0.16</v>
      </c>
      <c r="E4793" s="4">
        <v>-6.8089831112074367E-2</v>
      </c>
      <c r="F4793" s="3">
        <v>4791</v>
      </c>
      <c r="G4793" s="3">
        <v>4</v>
      </c>
      <c r="H4793" s="5">
        <v>256027804.16150001</v>
      </c>
      <c r="I4793" s="5">
        <v>247539744.16150001</v>
      </c>
      <c r="J4793" s="5">
        <v>0</v>
      </c>
      <c r="K4793" s="5">
        <v>8488060</v>
      </c>
      <c r="L4793" s="5">
        <v>5274500</v>
      </c>
      <c r="M4793" s="5">
        <v>2631480</v>
      </c>
      <c r="N4793" s="5">
        <v>1487630</v>
      </c>
    </row>
    <row r="4794" spans="1:14" x14ac:dyDescent="0.25">
      <c r="A4794" s="3" t="s">
        <v>4805</v>
      </c>
      <c r="B4794" s="4">
        <v>93.85</v>
      </c>
      <c r="C4794" s="4">
        <v>0.1</v>
      </c>
      <c r="D4794" s="4">
        <v>0.1</v>
      </c>
      <c r="E4794" s="4">
        <v>-6.819639160231937E-2</v>
      </c>
      <c r="F4794" s="3">
        <v>4792</v>
      </c>
      <c r="G4794" s="3">
        <v>4</v>
      </c>
      <c r="H4794" s="5">
        <v>291306326.19</v>
      </c>
      <c r="I4794" s="5">
        <v>289988806.19</v>
      </c>
      <c r="J4794" s="5">
        <v>890660</v>
      </c>
      <c r="K4794" s="5">
        <v>2208180</v>
      </c>
      <c r="L4794" s="5">
        <v>6405360</v>
      </c>
      <c r="M4794" s="5">
        <v>3089780</v>
      </c>
      <c r="N4794" s="5">
        <v>27040100</v>
      </c>
    </row>
    <row r="4795" spans="1:14" x14ac:dyDescent="0.25">
      <c r="A4795" s="3" t="s">
        <v>4806</v>
      </c>
      <c r="B4795" s="4">
        <v>9</v>
      </c>
      <c r="C4795" s="4">
        <v>-18.37</v>
      </c>
      <c r="D4795" s="4">
        <v>-0.1</v>
      </c>
      <c r="E4795" s="4">
        <v>-6.9086053949871246E-2</v>
      </c>
      <c r="F4795" s="3">
        <v>4793</v>
      </c>
      <c r="G4795" s="3">
        <v>4</v>
      </c>
      <c r="H4795" s="5">
        <v>880773632.86000001</v>
      </c>
      <c r="I4795" s="5">
        <v>4028313632.8600001</v>
      </c>
      <c r="J4795" s="5">
        <v>3318773000</v>
      </c>
      <c r="K4795" s="5">
        <v>171233000</v>
      </c>
      <c r="L4795" s="5">
        <v>2450478000</v>
      </c>
      <c r="M4795" s="5">
        <v>447359000</v>
      </c>
      <c r="N4795" s="5">
        <v>-567754000</v>
      </c>
    </row>
    <row r="4796" spans="1:14" x14ac:dyDescent="0.25">
      <c r="A4796" s="3" t="s">
        <v>4807</v>
      </c>
      <c r="B4796" s="4">
        <v>95.08</v>
      </c>
      <c r="C4796" s="4">
        <v>0.01</v>
      </c>
      <c r="D4796" s="4">
        <v>0.01</v>
      </c>
      <c r="E4796" s="4">
        <v>-6.9235067605387571E-2</v>
      </c>
      <c r="F4796" s="3">
        <v>4794</v>
      </c>
      <c r="G4796" s="3">
        <v>4</v>
      </c>
      <c r="H4796" s="5">
        <v>20751309707.099998</v>
      </c>
      <c r="I4796" s="5">
        <v>19101441707.099998</v>
      </c>
      <c r="J4796" s="5">
        <v>37961000</v>
      </c>
      <c r="K4796" s="5">
        <v>1687829000</v>
      </c>
      <c r="L4796" s="5">
        <v>4241217000</v>
      </c>
      <c r="M4796" s="5">
        <v>200892000</v>
      </c>
      <c r="N4796" s="5">
        <v>32615000</v>
      </c>
    </row>
    <row r="4797" spans="1:14" x14ac:dyDescent="0.25">
      <c r="A4797" s="3" t="s">
        <v>4808</v>
      </c>
      <c r="B4797" s="4">
        <v>94.61</v>
      </c>
      <c r="C4797" s="4">
        <v>-0.1</v>
      </c>
      <c r="D4797" s="4">
        <v>-0.05</v>
      </c>
      <c r="E4797" s="4">
        <v>-6.9273578774249001E-2</v>
      </c>
      <c r="F4797" s="3">
        <v>4795</v>
      </c>
      <c r="G4797" s="3">
        <v>4</v>
      </c>
      <c r="H4797" s="5">
        <v>771218416.55999994</v>
      </c>
      <c r="I4797" s="5">
        <v>1173584416.5599999</v>
      </c>
      <c r="J4797" s="5">
        <v>575407000</v>
      </c>
      <c r="K4797" s="5">
        <v>173041000</v>
      </c>
      <c r="L4797" s="5">
        <v>2458796000</v>
      </c>
      <c r="M4797" s="5">
        <v>12405000</v>
      </c>
      <c r="N4797" s="5">
        <v>-82497000</v>
      </c>
    </row>
    <row r="4798" spans="1:14" x14ac:dyDescent="0.25">
      <c r="A4798" s="3" t="s">
        <v>4809</v>
      </c>
      <c r="B4798" s="4">
        <v>-3.66</v>
      </c>
      <c r="C4798" s="4">
        <v>-21.1</v>
      </c>
      <c r="D4798" s="4">
        <v>-0.91</v>
      </c>
      <c r="E4798" s="4">
        <v>-6.9294725405096208E-2</v>
      </c>
      <c r="F4798" s="3">
        <v>4796</v>
      </c>
      <c r="G4798" s="3">
        <v>4</v>
      </c>
      <c r="H4798" s="5">
        <v>35146313.020000003</v>
      </c>
      <c r="I4798" s="5">
        <v>45873023.020000003</v>
      </c>
      <c r="J4798" s="5">
        <v>11719300</v>
      </c>
      <c r="K4798" s="5">
        <v>992590</v>
      </c>
      <c r="L4798" s="5">
        <v>30750700</v>
      </c>
      <c r="M4798" s="5">
        <v>-12523130</v>
      </c>
      <c r="N4798" s="5">
        <v>-24243920</v>
      </c>
    </row>
    <row r="4799" spans="1:14" x14ac:dyDescent="0.25">
      <c r="A4799" s="3" t="s">
        <v>4810</v>
      </c>
      <c r="B4799" s="4">
        <v>95.52</v>
      </c>
      <c r="C4799" s="4">
        <v>0.08</v>
      </c>
      <c r="D4799" s="4">
        <v>0.01</v>
      </c>
      <c r="E4799" s="4">
        <v>-6.9305137406957776E-2</v>
      </c>
      <c r="F4799" s="3">
        <v>4797</v>
      </c>
      <c r="G4799" s="3">
        <v>4</v>
      </c>
      <c r="H4799" s="5">
        <v>14821777343.799999</v>
      </c>
      <c r="I4799" s="5">
        <v>102938796343.8</v>
      </c>
      <c r="J4799" s="5">
        <v>89605046000</v>
      </c>
      <c r="K4799" s="5">
        <v>1488027000</v>
      </c>
      <c r="L4799" s="5">
        <v>5840091000</v>
      </c>
      <c r="M4799" s="5">
        <v>1077667000</v>
      </c>
      <c r="N4799" s="5">
        <v>1001906000</v>
      </c>
    </row>
    <row r="4800" spans="1:14" x14ac:dyDescent="0.25">
      <c r="A4800" s="3" t="s">
        <v>4811</v>
      </c>
      <c r="B4800" s="4">
        <v>95.86</v>
      </c>
      <c r="C4800" s="4">
        <v>0</v>
      </c>
      <c r="D4800" s="4">
        <v>0</v>
      </c>
      <c r="E4800" s="4">
        <v>-6.9748648283351575E-2</v>
      </c>
      <c r="F4800" s="3">
        <v>4798</v>
      </c>
      <c r="G4800" s="3">
        <v>4</v>
      </c>
      <c r="H4800" s="5">
        <v>49559022.946199998</v>
      </c>
      <c r="I4800" s="5">
        <v>49694282.946199998</v>
      </c>
      <c r="J4800" s="5">
        <v>145720</v>
      </c>
      <c r="K4800" s="5">
        <v>10460</v>
      </c>
      <c r="L4800" s="5">
        <v>5000</v>
      </c>
      <c r="M4800" s="5">
        <v>518410</v>
      </c>
      <c r="N4800" s="5">
        <v>396760</v>
      </c>
    </row>
    <row r="4801" spans="1:14" x14ac:dyDescent="0.25">
      <c r="A4801" s="3" t="s">
        <v>4812</v>
      </c>
      <c r="B4801" s="4">
        <v>163.91</v>
      </c>
      <c r="C4801" s="4">
        <v>14.54</v>
      </c>
      <c r="D4801" s="4">
        <v>-0.1</v>
      </c>
      <c r="E4801" s="4">
        <v>-6.9874178718716762E-2</v>
      </c>
      <c r="F4801" s="3">
        <v>4799</v>
      </c>
      <c r="G4801" s="3">
        <v>4</v>
      </c>
      <c r="H4801" s="5">
        <v>257986267.28</v>
      </c>
      <c r="I4801" s="5">
        <v>405197267.27999997</v>
      </c>
      <c r="J4801" s="5">
        <v>159442000</v>
      </c>
      <c r="K4801" s="5">
        <v>12231000</v>
      </c>
      <c r="L4801" s="5">
        <v>274223000</v>
      </c>
      <c r="M4801" s="5">
        <v>2472000</v>
      </c>
      <c r="N4801" s="5">
        <v>-24325000</v>
      </c>
    </row>
    <row r="4802" spans="1:14" x14ac:dyDescent="0.25">
      <c r="A4802" s="3" t="s">
        <v>4813</v>
      </c>
      <c r="B4802" s="4">
        <v>98.21</v>
      </c>
      <c r="C4802" s="4">
        <v>0.45</v>
      </c>
      <c r="D4802" s="4">
        <v>7.0000000000000007E-2</v>
      </c>
      <c r="E4802" s="4">
        <v>-6.9889396120471611E-2</v>
      </c>
      <c r="F4802" s="3">
        <v>4800</v>
      </c>
      <c r="G4802" s="3">
        <v>4</v>
      </c>
      <c r="H4802" s="5">
        <v>5930840374.6599998</v>
      </c>
      <c r="I4802" s="5">
        <v>5804040374.6599998</v>
      </c>
      <c r="J4802" s="5">
        <v>544600000</v>
      </c>
      <c r="K4802" s="5">
        <v>671400000</v>
      </c>
      <c r="L4802" s="5">
        <v>442000000</v>
      </c>
      <c r="M4802" s="5">
        <v>59100000</v>
      </c>
      <c r="N4802" s="5">
        <v>73200000</v>
      </c>
    </row>
    <row r="4803" spans="1:14" x14ac:dyDescent="0.25">
      <c r="A4803" s="3" t="s">
        <v>4814</v>
      </c>
      <c r="B4803" s="4">
        <v>96.7</v>
      </c>
      <c r="C4803" s="4">
        <v>0.09</v>
      </c>
      <c r="D4803" s="4">
        <v>0.05</v>
      </c>
      <c r="E4803" s="4">
        <v>-6.9998853965888438E-2</v>
      </c>
      <c r="F4803" s="3">
        <v>4801</v>
      </c>
      <c r="G4803" s="3">
        <v>4</v>
      </c>
      <c r="H4803" s="5">
        <v>3538123234.3600001</v>
      </c>
      <c r="I4803" s="5">
        <v>3489082234.3600001</v>
      </c>
      <c r="J4803" s="5">
        <v>24000000</v>
      </c>
      <c r="K4803" s="5">
        <v>73041000</v>
      </c>
      <c r="L4803" s="5">
        <v>275624000</v>
      </c>
      <c r="M4803" s="5">
        <v>36083000</v>
      </c>
      <c r="N4803" s="5">
        <v>23225000</v>
      </c>
    </row>
    <row r="4804" spans="1:14" x14ac:dyDescent="0.25">
      <c r="A4804" s="3" t="s">
        <v>4815</v>
      </c>
      <c r="B4804" s="4">
        <v>97.95</v>
      </c>
      <c r="C4804" s="4">
        <v>0.26</v>
      </c>
      <c r="D4804" s="4">
        <v>0.15</v>
      </c>
      <c r="E4804" s="4">
        <v>-7.0262023093002279E-2</v>
      </c>
      <c r="F4804" s="3">
        <v>4802</v>
      </c>
      <c r="G4804" s="3">
        <v>4</v>
      </c>
      <c r="H4804" s="5">
        <v>138060000</v>
      </c>
      <c r="I4804" s="5">
        <v>137553340</v>
      </c>
      <c r="J4804" s="5">
        <v>0</v>
      </c>
      <c r="K4804" s="5">
        <v>506660</v>
      </c>
      <c r="L4804" s="5">
        <v>18625380</v>
      </c>
      <c r="M4804" s="5">
        <v>1404340</v>
      </c>
      <c r="N4804" s="5">
        <v>1421300</v>
      </c>
    </row>
    <row r="4805" spans="1:14" x14ac:dyDescent="0.25">
      <c r="A4805" s="3" t="s">
        <v>4816</v>
      </c>
      <c r="B4805" s="4">
        <v>97.68</v>
      </c>
      <c r="C4805" s="4">
        <v>0.12</v>
      </c>
      <c r="D4805" s="4">
        <v>0.12</v>
      </c>
      <c r="E4805" s="4">
        <v>-7.0505212117116106E-2</v>
      </c>
      <c r="F4805" s="3">
        <v>4803</v>
      </c>
      <c r="G4805" s="3">
        <v>4</v>
      </c>
      <c r="H4805" s="5">
        <v>42376488.479999997</v>
      </c>
      <c r="I4805" s="5">
        <v>34685388.479999997</v>
      </c>
      <c r="J4805" s="5">
        <v>0</v>
      </c>
      <c r="K4805" s="5">
        <v>7691100</v>
      </c>
      <c r="L4805" s="5">
        <v>961490</v>
      </c>
      <c r="M4805" s="5">
        <v>355110</v>
      </c>
      <c r="N4805" s="5">
        <v>5540860</v>
      </c>
    </row>
    <row r="4806" spans="1:14" x14ac:dyDescent="0.25">
      <c r="A4806" s="3" t="s">
        <v>4817</v>
      </c>
      <c r="B4806" s="4">
        <v>135.07</v>
      </c>
      <c r="C4806" s="4">
        <v>8.09</v>
      </c>
      <c r="D4806" s="4">
        <v>-7.0000000000000007E-2</v>
      </c>
      <c r="E4806" s="4">
        <v>-7.0655098932938268E-2</v>
      </c>
      <c r="F4806" s="3">
        <v>4804</v>
      </c>
      <c r="G4806" s="3">
        <v>4</v>
      </c>
      <c r="H4806" s="5">
        <v>47533314.600000001</v>
      </c>
      <c r="I4806" s="5">
        <v>237055314.59999999</v>
      </c>
      <c r="J4806" s="5">
        <v>201869000</v>
      </c>
      <c r="K4806" s="5">
        <v>12347000</v>
      </c>
      <c r="L4806" s="5">
        <v>210527000</v>
      </c>
      <c r="M4806" s="5">
        <v>1755000</v>
      </c>
      <c r="N4806" s="5">
        <v>-35301000</v>
      </c>
    </row>
    <row r="4807" spans="1:14" x14ac:dyDescent="0.25">
      <c r="A4807" s="3" t="s">
        <v>4818</v>
      </c>
      <c r="B4807" s="4">
        <v>97.56</v>
      </c>
      <c r="C4807" s="4">
        <v>-0.09</v>
      </c>
      <c r="D4807" s="4">
        <v>-0.02</v>
      </c>
      <c r="E4807" s="4">
        <v>-7.1064713768139873E-2</v>
      </c>
      <c r="F4807" s="3">
        <v>4805</v>
      </c>
      <c r="G4807" s="3">
        <v>4</v>
      </c>
      <c r="H4807" s="5">
        <v>3320140440</v>
      </c>
      <c r="I4807" s="5">
        <v>3350778440</v>
      </c>
      <c r="J4807" s="5">
        <v>359285000</v>
      </c>
      <c r="K4807" s="5">
        <v>328647000</v>
      </c>
      <c r="L4807" s="5">
        <v>900021000</v>
      </c>
      <c r="M4807" s="5">
        <v>34346000</v>
      </c>
      <c r="N4807" s="5">
        <v>-36301000</v>
      </c>
    </row>
    <row r="4808" spans="1:14" x14ac:dyDescent="0.25">
      <c r="A4808" s="3" t="s">
        <v>4819</v>
      </c>
      <c r="B4808" s="4">
        <v>97.86</v>
      </c>
      <c r="C4808" s="4">
        <v>-0.03</v>
      </c>
      <c r="D4808" s="4">
        <v>-0.02</v>
      </c>
      <c r="E4808" s="4">
        <v>-7.1077028296965453E-2</v>
      </c>
      <c r="F4808" s="3">
        <v>4806</v>
      </c>
      <c r="G4808" s="3">
        <v>4</v>
      </c>
      <c r="H4808" s="5">
        <v>2918530944</v>
      </c>
      <c r="I4808" s="5">
        <v>3016454944</v>
      </c>
      <c r="J4808" s="5">
        <v>218852000</v>
      </c>
      <c r="K4808" s="5">
        <v>120928000</v>
      </c>
      <c r="L4808" s="5">
        <v>540657000</v>
      </c>
      <c r="M4808" s="5">
        <v>30825000</v>
      </c>
      <c r="N4808" s="5">
        <v>-37878000</v>
      </c>
    </row>
    <row r="4809" spans="1:14" x14ac:dyDescent="0.25">
      <c r="A4809" s="3" t="s">
        <v>4820</v>
      </c>
      <c r="B4809" s="4">
        <v>-0.81</v>
      </c>
      <c r="C4809" s="4">
        <v>-21.21</v>
      </c>
      <c r="D4809" s="4">
        <v>-0.73</v>
      </c>
      <c r="E4809" s="4">
        <v>-7.1341756227527198E-2</v>
      </c>
      <c r="F4809" s="3">
        <v>4807</v>
      </c>
      <c r="G4809" s="3">
        <v>4</v>
      </c>
      <c r="H4809" s="5">
        <v>20915119.350000001</v>
      </c>
      <c r="I4809" s="5">
        <v>25832119.350000001</v>
      </c>
      <c r="J4809" s="5">
        <v>18385000</v>
      </c>
      <c r="K4809" s="5">
        <v>13468000</v>
      </c>
      <c r="L4809" s="5">
        <v>28537000</v>
      </c>
      <c r="M4809" s="5">
        <v>-32051000</v>
      </c>
      <c r="N4809" s="5">
        <v>-39258000</v>
      </c>
    </row>
    <row r="4810" spans="1:14" x14ac:dyDescent="0.25">
      <c r="A4810" s="3" t="s">
        <v>4821</v>
      </c>
      <c r="B4810" s="4">
        <v>99.84</v>
      </c>
      <c r="C4810" s="4">
        <v>0.05</v>
      </c>
      <c r="D4810" s="4">
        <v>0.04</v>
      </c>
      <c r="E4810" s="4">
        <v>-7.2059768009406083E-2</v>
      </c>
      <c r="F4810" s="3">
        <v>4808</v>
      </c>
      <c r="G4810" s="3">
        <v>4</v>
      </c>
      <c r="H4810" s="5">
        <v>160709479.34999999</v>
      </c>
      <c r="I4810" s="5">
        <v>152860229.34999999</v>
      </c>
      <c r="J4810" s="5">
        <v>0</v>
      </c>
      <c r="K4810" s="5">
        <v>7849250</v>
      </c>
      <c r="L4810" s="5">
        <v>19490910</v>
      </c>
      <c r="M4810" s="5">
        <v>1531050</v>
      </c>
      <c r="N4810" s="5">
        <v>670480</v>
      </c>
    </row>
    <row r="4811" spans="1:14" x14ac:dyDescent="0.25">
      <c r="A4811" s="3" t="s">
        <v>4822</v>
      </c>
      <c r="B4811" s="4">
        <v>-9.26</v>
      </c>
      <c r="C4811" s="4">
        <v>-23.5</v>
      </c>
      <c r="D4811" s="4">
        <v>-0.39</v>
      </c>
      <c r="E4811" s="4">
        <v>-7.2662926516172427E-2</v>
      </c>
      <c r="F4811" s="3">
        <v>4809</v>
      </c>
      <c r="G4811" s="3">
        <v>4</v>
      </c>
      <c r="H4811" s="5">
        <v>125018917.08</v>
      </c>
      <c r="I4811" s="5">
        <v>121408917.08</v>
      </c>
      <c r="J4811" s="5">
        <v>0</v>
      </c>
      <c r="K4811" s="5">
        <v>3610000</v>
      </c>
      <c r="L4811" s="5">
        <v>4507000</v>
      </c>
      <c r="M4811" s="5">
        <v>-13109000</v>
      </c>
      <c r="N4811" s="5">
        <v>-5875000</v>
      </c>
    </row>
    <row r="4812" spans="1:14" x14ac:dyDescent="0.25">
      <c r="A4812" s="3" t="s">
        <v>4823</v>
      </c>
      <c r="B4812" s="4">
        <v>101.99</v>
      </c>
      <c r="C4812" s="4">
        <v>0.09</v>
      </c>
      <c r="D4812" s="4">
        <v>0.01</v>
      </c>
      <c r="E4812" s="4">
        <v>-7.3280659885952407E-2</v>
      </c>
      <c r="F4812" s="3">
        <v>4810</v>
      </c>
      <c r="G4812" s="3">
        <v>4</v>
      </c>
      <c r="H4812" s="5">
        <v>10984694476.799999</v>
      </c>
      <c r="I4812" s="5">
        <v>88017694476.800003</v>
      </c>
      <c r="J4812" s="5">
        <v>77538000000</v>
      </c>
      <c r="K4812" s="5">
        <v>505000000</v>
      </c>
      <c r="L4812" s="5">
        <v>3904000000</v>
      </c>
      <c r="M4812" s="5">
        <v>863000000</v>
      </c>
      <c r="N4812" s="5">
        <v>863000000</v>
      </c>
    </row>
    <row r="4813" spans="1:14" x14ac:dyDescent="0.25">
      <c r="A4813" s="3" t="s">
        <v>4824</v>
      </c>
      <c r="B4813" s="4">
        <v>10.37</v>
      </c>
      <c r="C4813" s="4">
        <v>-19.59</v>
      </c>
      <c r="D4813" s="4">
        <v>-0.32</v>
      </c>
      <c r="E4813" s="4">
        <v>-7.3501433770839841E-2</v>
      </c>
      <c r="F4813" s="3">
        <v>4811</v>
      </c>
      <c r="G4813" s="3">
        <v>4</v>
      </c>
      <c r="H4813" s="5">
        <v>1070864275</v>
      </c>
      <c r="I4813" s="5">
        <v>5577073275</v>
      </c>
      <c r="J4813" s="5">
        <v>4523057000</v>
      </c>
      <c r="K4813" s="5">
        <v>16848000</v>
      </c>
      <c r="L4813" s="5">
        <v>930624000</v>
      </c>
      <c r="M4813" s="5">
        <v>538052000</v>
      </c>
      <c r="N4813" s="5">
        <v>-1645831000</v>
      </c>
    </row>
    <row r="4814" spans="1:14" x14ac:dyDescent="0.25">
      <c r="A4814" s="3" t="s">
        <v>4825</v>
      </c>
      <c r="B4814" s="4">
        <v>103.99</v>
      </c>
      <c r="C4814" s="4">
        <v>-0.15</v>
      </c>
      <c r="D4814" s="4">
        <v>-0.06</v>
      </c>
      <c r="E4814" s="4">
        <v>-7.5225450779757438E-2</v>
      </c>
      <c r="F4814" s="3">
        <v>4812</v>
      </c>
      <c r="G4814" s="3">
        <v>4</v>
      </c>
      <c r="H4814" s="5">
        <v>994764000</v>
      </c>
      <c r="I4814" s="5">
        <v>3983762000</v>
      </c>
      <c r="J4814" s="5">
        <v>3170289000</v>
      </c>
      <c r="K4814" s="5">
        <v>181291000</v>
      </c>
      <c r="L4814" s="5">
        <v>483900000</v>
      </c>
      <c r="M4814" s="5">
        <v>38309000</v>
      </c>
      <c r="N4814" s="5">
        <v>-292301000</v>
      </c>
    </row>
    <row r="4815" spans="1:14" x14ac:dyDescent="0.25">
      <c r="A4815" s="3" t="s">
        <v>4826</v>
      </c>
      <c r="B4815" s="4">
        <v>105.93</v>
      </c>
      <c r="C4815" s="4">
        <v>0.06</v>
      </c>
      <c r="D4815" s="4">
        <v>0.02</v>
      </c>
      <c r="E4815" s="4">
        <v>-7.5803958725066817E-2</v>
      </c>
      <c r="F4815" s="3">
        <v>4813</v>
      </c>
      <c r="G4815" s="3">
        <v>4</v>
      </c>
      <c r="H4815" s="5">
        <v>10550067742.549999</v>
      </c>
      <c r="I4815" s="5">
        <v>10979535412.549999</v>
      </c>
      <c r="J4815" s="5">
        <v>440997440</v>
      </c>
      <c r="K4815" s="5">
        <v>11529770</v>
      </c>
      <c r="L4815" s="5">
        <v>345251060</v>
      </c>
      <c r="M4815" s="5">
        <v>103649280</v>
      </c>
      <c r="N4815" s="5">
        <v>12701040</v>
      </c>
    </row>
    <row r="4816" spans="1:14" x14ac:dyDescent="0.25">
      <c r="A4816" s="3" t="s">
        <v>4827</v>
      </c>
      <c r="B4816" s="4">
        <v>106.42</v>
      </c>
      <c r="C4816" s="4">
        <v>0.06</v>
      </c>
      <c r="D4816" s="4">
        <v>0.01</v>
      </c>
      <c r="E4816" s="4">
        <v>-7.6109158830801105E-2</v>
      </c>
      <c r="F4816" s="3">
        <v>4814</v>
      </c>
      <c r="G4816" s="3">
        <v>4</v>
      </c>
      <c r="H4816" s="5">
        <v>194319412.72</v>
      </c>
      <c r="I4816" s="5">
        <v>1343405722.72</v>
      </c>
      <c r="J4816" s="5">
        <v>1163789510</v>
      </c>
      <c r="K4816" s="5">
        <v>14703200</v>
      </c>
      <c r="L4816" s="5">
        <v>91271400</v>
      </c>
      <c r="M4816" s="5">
        <v>12623080</v>
      </c>
      <c r="N4816" s="5">
        <v>21323330</v>
      </c>
    </row>
    <row r="4817" spans="1:14" x14ac:dyDescent="0.25">
      <c r="A4817" s="3" t="s">
        <v>4828</v>
      </c>
      <c r="B4817" s="4">
        <v>106.87</v>
      </c>
      <c r="C4817" s="4">
        <v>-7.0000000000000007E-2</v>
      </c>
      <c r="D4817" s="4">
        <v>-0.03</v>
      </c>
      <c r="E4817" s="4">
        <v>-7.6771006084667567E-2</v>
      </c>
      <c r="F4817" s="3">
        <v>4815</v>
      </c>
      <c r="G4817" s="3">
        <v>4</v>
      </c>
      <c r="H4817" s="5">
        <v>3816480160.3200002</v>
      </c>
      <c r="I4817" s="5">
        <v>3950366160.3200002</v>
      </c>
      <c r="J4817" s="5">
        <v>492446000</v>
      </c>
      <c r="K4817" s="5">
        <v>358560000</v>
      </c>
      <c r="L4817" s="5">
        <v>696464000</v>
      </c>
      <c r="M4817" s="5">
        <v>36963000</v>
      </c>
      <c r="N4817" s="5">
        <v>-38536000</v>
      </c>
    </row>
    <row r="4818" spans="1:14" x14ac:dyDescent="0.25">
      <c r="A4818" s="3" t="s">
        <v>4829</v>
      </c>
      <c r="B4818" s="4">
        <v>107.54</v>
      </c>
      <c r="C4818" s="4">
        <v>0.01</v>
      </c>
      <c r="D4818" s="4">
        <v>0.01</v>
      </c>
      <c r="E4818" s="4">
        <v>-7.6946817903946071E-2</v>
      </c>
      <c r="F4818" s="3">
        <v>4816</v>
      </c>
      <c r="G4818" s="3">
        <v>4</v>
      </c>
      <c r="H4818" s="5">
        <v>4236641724.1599998</v>
      </c>
      <c r="I4818" s="5">
        <v>3959368724.1599998</v>
      </c>
      <c r="J4818" s="5">
        <v>0</v>
      </c>
      <c r="K4818" s="5">
        <v>277273000</v>
      </c>
      <c r="L4818" s="5">
        <v>359058000</v>
      </c>
      <c r="M4818" s="5">
        <v>36816000</v>
      </c>
      <c r="N4818" s="5">
        <v>6129000</v>
      </c>
    </row>
    <row r="4819" spans="1:14" x14ac:dyDescent="0.25">
      <c r="A4819" s="3" t="s">
        <v>4830</v>
      </c>
      <c r="B4819" s="4">
        <v>108.15</v>
      </c>
      <c r="C4819" s="4">
        <v>0.01</v>
      </c>
      <c r="D4819" s="4">
        <v>0</v>
      </c>
      <c r="E4819" s="4">
        <v>-7.7326288478045305E-2</v>
      </c>
      <c r="F4819" s="3">
        <v>4817</v>
      </c>
      <c r="G4819" s="3">
        <v>4</v>
      </c>
      <c r="H4819" s="5">
        <v>33879587.039999999</v>
      </c>
      <c r="I4819" s="5">
        <v>6466012677.04</v>
      </c>
      <c r="J4819" s="5">
        <v>7602519170</v>
      </c>
      <c r="K4819" s="5">
        <v>1170386080</v>
      </c>
      <c r="L4819" s="5">
        <v>1600684180</v>
      </c>
      <c r="M4819" s="5">
        <v>59789840</v>
      </c>
      <c r="N4819" s="5">
        <v>37784450</v>
      </c>
    </row>
    <row r="4820" spans="1:14" x14ac:dyDescent="0.25">
      <c r="A4820" s="3" t="s">
        <v>4831</v>
      </c>
      <c r="B4820" s="4">
        <v>108.13</v>
      </c>
      <c r="C4820" s="4">
        <v>0</v>
      </c>
      <c r="D4820" s="4">
        <v>0</v>
      </c>
      <c r="E4820" s="4">
        <v>-7.7342803673665597E-2</v>
      </c>
      <c r="F4820" s="3">
        <v>4818</v>
      </c>
      <c r="G4820" s="3">
        <v>4</v>
      </c>
      <c r="H4820" s="5">
        <v>1711121572.6600001</v>
      </c>
      <c r="I4820" s="5">
        <v>1215879572.6600001</v>
      </c>
      <c r="J4820" s="5">
        <v>0</v>
      </c>
      <c r="K4820" s="5">
        <v>495242000</v>
      </c>
      <c r="L4820" s="5">
        <v>492144000</v>
      </c>
      <c r="M4820" s="5">
        <v>11245000</v>
      </c>
      <c r="N4820" s="5">
        <v>2900000</v>
      </c>
    </row>
    <row r="4821" spans="1:14" x14ac:dyDescent="0.25">
      <c r="A4821" s="3" t="s">
        <v>4832</v>
      </c>
      <c r="B4821" s="4">
        <v>109.42</v>
      </c>
      <c r="C4821" s="4">
        <v>0.12</v>
      </c>
      <c r="D4821" s="4">
        <v>0.01</v>
      </c>
      <c r="E4821" s="4">
        <v>-7.779255889783758E-2</v>
      </c>
      <c r="F4821" s="3">
        <v>4819</v>
      </c>
      <c r="G4821" s="3">
        <v>4</v>
      </c>
      <c r="H4821" s="5">
        <v>217451598.30000001</v>
      </c>
      <c r="I4821" s="5">
        <v>1998055598.3</v>
      </c>
      <c r="J4821" s="5">
        <v>1821366000</v>
      </c>
      <c r="K4821" s="5">
        <v>40762000</v>
      </c>
      <c r="L4821" s="5">
        <v>36925000</v>
      </c>
      <c r="M4821" s="5">
        <v>18260000</v>
      </c>
      <c r="N4821" s="5">
        <v>28750000</v>
      </c>
    </row>
    <row r="4822" spans="1:14" x14ac:dyDescent="0.25">
      <c r="A4822" s="3" t="s">
        <v>4833</v>
      </c>
      <c r="B4822" s="4">
        <v>109.49</v>
      </c>
      <c r="C4822" s="4">
        <v>0.06</v>
      </c>
      <c r="D4822" s="4">
        <v>-1.92</v>
      </c>
      <c r="E4822" s="4">
        <v>-7.8381547109262512E-2</v>
      </c>
      <c r="F4822" s="3">
        <v>4820</v>
      </c>
      <c r="G4822" s="3">
        <v>4</v>
      </c>
      <c r="H4822" s="5">
        <v>5088.4151549999997</v>
      </c>
      <c r="I4822" s="5">
        <v>37556088.415155001</v>
      </c>
      <c r="J4822" s="5">
        <v>37626000</v>
      </c>
      <c r="K4822" s="5">
        <v>75000</v>
      </c>
      <c r="L4822" s="5">
        <v>3512000</v>
      </c>
      <c r="M4822" s="5">
        <v>343000</v>
      </c>
      <c r="N4822" s="5">
        <v>-2467000</v>
      </c>
    </row>
    <row r="4823" spans="1:14" x14ac:dyDescent="0.25">
      <c r="A4823" s="3" t="s">
        <v>4834</v>
      </c>
      <c r="B4823" s="4">
        <v>107.37</v>
      </c>
      <c r="C4823" s="4">
        <v>-0.56000000000000005</v>
      </c>
      <c r="D4823" s="4">
        <v>-0.05</v>
      </c>
      <c r="E4823" s="4">
        <v>-7.8500111166384889E-2</v>
      </c>
      <c r="F4823" s="3">
        <v>4821</v>
      </c>
      <c r="G4823" s="3">
        <v>4</v>
      </c>
      <c r="H4823" s="5">
        <v>422418061.44999999</v>
      </c>
      <c r="I4823" s="5">
        <v>474462061.44999999</v>
      </c>
      <c r="J4823" s="5">
        <v>57537000</v>
      </c>
      <c r="K4823" s="5">
        <v>5493000</v>
      </c>
      <c r="L4823" s="5">
        <v>110939000</v>
      </c>
      <c r="M4823" s="5">
        <v>4419000</v>
      </c>
      <c r="N4823" s="5">
        <v>-9272000</v>
      </c>
    </row>
    <row r="4824" spans="1:14" x14ac:dyDescent="0.25">
      <c r="A4824" s="3" t="s">
        <v>4835</v>
      </c>
      <c r="B4824" s="4">
        <v>110.5</v>
      </c>
      <c r="C4824" s="4">
        <v>-0.01</v>
      </c>
      <c r="D4824" s="4">
        <v>-0.01</v>
      </c>
      <c r="E4824" s="4">
        <v>-7.8840468057464905E-2</v>
      </c>
      <c r="F4824" s="3">
        <v>4822</v>
      </c>
      <c r="G4824" s="3">
        <v>4</v>
      </c>
      <c r="H4824" s="5">
        <v>19923440413.380001</v>
      </c>
      <c r="I4824" s="5">
        <v>20492730413.380001</v>
      </c>
      <c r="J4824" s="5">
        <v>990587000</v>
      </c>
      <c r="K4824" s="5">
        <v>421297000</v>
      </c>
      <c r="L4824" s="5">
        <v>4458036000</v>
      </c>
      <c r="M4824" s="5">
        <v>185456000</v>
      </c>
      <c r="N4824" s="5">
        <v>-109403000</v>
      </c>
    </row>
    <row r="4825" spans="1:14" x14ac:dyDescent="0.25">
      <c r="A4825" s="3" t="s">
        <v>4836</v>
      </c>
      <c r="B4825" s="4">
        <v>7.95</v>
      </c>
      <c r="C4825" s="4">
        <v>-22.02</v>
      </c>
      <c r="D4825" s="4">
        <v>-7.0000000000000007E-2</v>
      </c>
      <c r="E4825" s="4">
        <v>-7.8976566832222747E-2</v>
      </c>
      <c r="F4825" s="3">
        <v>4823</v>
      </c>
      <c r="G4825" s="3">
        <v>4</v>
      </c>
      <c r="H4825" s="5">
        <v>72431549.400000006</v>
      </c>
      <c r="I4825" s="5">
        <v>361997549.39999998</v>
      </c>
      <c r="J4825" s="5">
        <v>325111000</v>
      </c>
      <c r="K4825" s="5">
        <v>35545000</v>
      </c>
      <c r="L4825" s="5">
        <v>852272000</v>
      </c>
      <c r="M4825" s="5">
        <v>45536000</v>
      </c>
      <c r="N4825" s="5">
        <v>-38266000</v>
      </c>
    </row>
    <row r="4826" spans="1:14" x14ac:dyDescent="0.25">
      <c r="A4826" s="3" t="s">
        <v>4837</v>
      </c>
      <c r="B4826" s="4">
        <v>114.38</v>
      </c>
      <c r="C4826" s="4">
        <v>0.26</v>
      </c>
      <c r="D4826" s="4">
        <v>0.18</v>
      </c>
      <c r="E4826" s="4">
        <v>-8.0425100973567989E-2</v>
      </c>
      <c r="F4826" s="3">
        <v>4824</v>
      </c>
      <c r="G4826" s="3">
        <v>4</v>
      </c>
      <c r="H4826" s="5">
        <v>9955069517.2199993</v>
      </c>
      <c r="I4826" s="5">
        <v>9734485517.2199993</v>
      </c>
      <c r="J4826" s="5">
        <v>0</v>
      </c>
      <c r="K4826" s="5">
        <v>220584000</v>
      </c>
      <c r="L4826" s="5">
        <v>1476514000</v>
      </c>
      <c r="M4826" s="5">
        <v>85104000</v>
      </c>
      <c r="N4826" s="5">
        <v>126038000</v>
      </c>
    </row>
    <row r="4827" spans="1:14" x14ac:dyDescent="0.25">
      <c r="A4827" s="3" t="s">
        <v>4838</v>
      </c>
      <c r="B4827" s="4">
        <v>114.6</v>
      </c>
      <c r="C4827" s="4">
        <v>0.18</v>
      </c>
      <c r="D4827" s="4">
        <v>0.05</v>
      </c>
      <c r="E4827" s="4">
        <v>-8.0817489700526934E-2</v>
      </c>
      <c r="F4827" s="3">
        <v>4825</v>
      </c>
      <c r="G4827" s="3">
        <v>4</v>
      </c>
      <c r="H4827" s="5">
        <v>126618427250.64</v>
      </c>
      <c r="I4827" s="5">
        <v>125025427250.64</v>
      </c>
      <c r="J4827" s="5">
        <v>7463000000</v>
      </c>
      <c r="K4827" s="5">
        <v>9056000000</v>
      </c>
      <c r="L4827" s="5">
        <v>2951000000</v>
      </c>
      <c r="M4827" s="5">
        <v>1091000000</v>
      </c>
      <c r="N4827" s="5">
        <v>1411000000</v>
      </c>
    </row>
    <row r="4828" spans="1:14" x14ac:dyDescent="0.25">
      <c r="A4828" s="3" t="s">
        <v>4839</v>
      </c>
      <c r="B4828" s="4">
        <v>114.75</v>
      </c>
      <c r="C4828" s="4">
        <v>0.09</v>
      </c>
      <c r="D4828" s="4">
        <v>0</v>
      </c>
      <c r="E4828" s="4">
        <v>-8.1180015382000745E-2</v>
      </c>
      <c r="F4828" s="3">
        <v>4826</v>
      </c>
      <c r="G4828" s="3">
        <v>4</v>
      </c>
      <c r="H4828" s="5">
        <v>25990888838.540001</v>
      </c>
      <c r="I4828" s="5">
        <v>25280624838.540001</v>
      </c>
      <c r="J4828" s="5">
        <v>40717000</v>
      </c>
      <c r="K4828" s="5">
        <v>750981000</v>
      </c>
      <c r="L4828" s="5">
        <v>1676253000</v>
      </c>
      <c r="M4828" s="5">
        <v>220314000</v>
      </c>
      <c r="N4828" s="5">
        <v>155667000</v>
      </c>
    </row>
    <row r="4829" spans="1:14" x14ac:dyDescent="0.25">
      <c r="A4829" s="3" t="s">
        <v>4840</v>
      </c>
      <c r="B4829" s="4">
        <v>115.39</v>
      </c>
      <c r="C4829" s="4">
        <v>0.02</v>
      </c>
      <c r="D4829" s="4">
        <v>0.01</v>
      </c>
      <c r="E4829" s="4">
        <v>-8.1776450769137421E-2</v>
      </c>
      <c r="F4829" s="3">
        <v>4827</v>
      </c>
      <c r="G4829" s="3">
        <v>4</v>
      </c>
      <c r="H4829" s="5">
        <v>1015939509.2</v>
      </c>
      <c r="I4829" s="5">
        <v>917225509.20000005</v>
      </c>
      <c r="J4829" s="5">
        <v>0</v>
      </c>
      <c r="K4829" s="5">
        <v>98714000</v>
      </c>
      <c r="L4829" s="5">
        <v>274880000</v>
      </c>
      <c r="M4829" s="5">
        <v>7949000</v>
      </c>
      <c r="N4829" s="5">
        <v>6038000</v>
      </c>
    </row>
    <row r="4830" spans="1:14" x14ac:dyDescent="0.25">
      <c r="A4830" s="3" t="s">
        <v>4841</v>
      </c>
      <c r="B4830" s="4">
        <v>117.29</v>
      </c>
      <c r="C4830" s="4">
        <v>0.11</v>
      </c>
      <c r="D4830" s="4">
        <v>0.04</v>
      </c>
      <c r="E4830" s="4">
        <v>-8.2686570308719481E-2</v>
      </c>
      <c r="F4830" s="3">
        <v>4828</v>
      </c>
      <c r="G4830" s="3">
        <v>4</v>
      </c>
      <c r="H4830" s="5">
        <v>5400977466.5200005</v>
      </c>
      <c r="I4830" s="5">
        <v>5465512466.5200005</v>
      </c>
      <c r="J4830" s="5">
        <v>244429000</v>
      </c>
      <c r="K4830" s="5">
        <v>179894000</v>
      </c>
      <c r="L4830" s="5">
        <v>329004000</v>
      </c>
      <c r="M4830" s="5">
        <v>46597000</v>
      </c>
      <c r="N4830" s="5">
        <v>23383000</v>
      </c>
    </row>
    <row r="4831" spans="1:14" x14ac:dyDescent="0.25">
      <c r="A4831" s="3" t="s">
        <v>4842</v>
      </c>
      <c r="B4831" s="4">
        <v>0.01</v>
      </c>
      <c r="C4831" s="4">
        <v>-24.19</v>
      </c>
      <c r="D4831" s="4">
        <v>-12.77</v>
      </c>
      <c r="E4831" s="4">
        <v>-8.2782113984313094E-2</v>
      </c>
      <c r="F4831" s="3">
        <v>4829</v>
      </c>
      <c r="G4831" s="3">
        <v>4</v>
      </c>
      <c r="H4831" s="5">
        <v>5346.8359</v>
      </c>
      <c r="I4831" s="5">
        <v>-53213.164100000002</v>
      </c>
      <c r="J4831" s="5">
        <v>0</v>
      </c>
      <c r="K4831" s="5">
        <v>58560</v>
      </c>
      <c r="L4831" s="5">
        <v>35950</v>
      </c>
      <c r="M4831" s="5">
        <v>-4214320</v>
      </c>
      <c r="N4831" s="5">
        <v>-5549680</v>
      </c>
    </row>
    <row r="4832" spans="1:14" x14ac:dyDescent="0.25">
      <c r="A4832" s="3" t="s">
        <v>4843</v>
      </c>
      <c r="B4832" s="4">
        <v>117.55</v>
      </c>
      <c r="C4832" s="4">
        <v>0.1</v>
      </c>
      <c r="D4832" s="4">
        <v>0.06</v>
      </c>
      <c r="E4832" s="4">
        <v>-8.287252521070293E-2</v>
      </c>
      <c r="F4832" s="3">
        <v>4830</v>
      </c>
      <c r="G4832" s="3">
        <v>4</v>
      </c>
      <c r="H4832" s="5">
        <v>1536761262495.6899</v>
      </c>
      <c r="I4832" s="5">
        <v>1543221262495.6899</v>
      </c>
      <c r="J4832" s="5">
        <v>8213000000</v>
      </c>
      <c r="K4832" s="5">
        <v>1753000000</v>
      </c>
      <c r="L4832" s="5">
        <v>97690000000</v>
      </c>
      <c r="M4832" s="5">
        <v>13128000000</v>
      </c>
      <c r="N4832" s="5">
        <v>7130000000</v>
      </c>
    </row>
    <row r="4833" spans="1:14" x14ac:dyDescent="0.25">
      <c r="A4833" s="3" t="s">
        <v>4844</v>
      </c>
      <c r="B4833" s="4">
        <v>116.74</v>
      </c>
      <c r="C4833" s="4">
        <v>-0.08</v>
      </c>
      <c r="D4833" s="4">
        <v>-0.05</v>
      </c>
      <c r="E4833" s="4">
        <v>-8.2912503767852475E-2</v>
      </c>
      <c r="F4833" s="3">
        <v>4831</v>
      </c>
      <c r="G4833" s="3">
        <v>4</v>
      </c>
      <c r="H4833" s="5">
        <v>5077815404.3500004</v>
      </c>
      <c r="I4833" s="5">
        <v>5302607404.3500004</v>
      </c>
      <c r="J4833" s="5">
        <v>346126000</v>
      </c>
      <c r="K4833" s="5">
        <v>121334000</v>
      </c>
      <c r="L4833" s="5">
        <v>725006000</v>
      </c>
      <c r="M4833" s="5">
        <v>45422000</v>
      </c>
      <c r="N4833" s="5">
        <v>-73010000</v>
      </c>
    </row>
    <row r="4834" spans="1:14" x14ac:dyDescent="0.25">
      <c r="A4834" s="3" t="s">
        <v>4845</v>
      </c>
      <c r="B4834" s="4">
        <v>118.16</v>
      </c>
      <c r="C4834" s="4">
        <v>0.14000000000000001</v>
      </c>
      <c r="D4834" s="4">
        <v>0.01</v>
      </c>
      <c r="E4834" s="4">
        <v>-8.3144137463054366E-2</v>
      </c>
      <c r="F4834" s="3">
        <v>4832</v>
      </c>
      <c r="G4834" s="3">
        <v>4</v>
      </c>
      <c r="H4834" s="5">
        <v>1783904304.24</v>
      </c>
      <c r="I4834" s="5">
        <v>30060699304.240002</v>
      </c>
      <c r="J4834" s="5">
        <v>29300802000</v>
      </c>
      <c r="K4834" s="5">
        <v>1024007000</v>
      </c>
      <c r="L4834" s="5">
        <v>1602369000</v>
      </c>
      <c r="M4834" s="5">
        <v>254415000</v>
      </c>
      <c r="N4834" s="5">
        <v>207193000</v>
      </c>
    </row>
    <row r="4835" spans="1:14" x14ac:dyDescent="0.25">
      <c r="A4835" s="3" t="s">
        <v>4846</v>
      </c>
      <c r="B4835" s="4">
        <v>120</v>
      </c>
      <c r="C4835" s="4">
        <v>0.35</v>
      </c>
      <c r="D4835" s="4">
        <v>-0.31</v>
      </c>
      <c r="E4835" s="4">
        <v>-8.3737914414493186E-2</v>
      </c>
      <c r="F4835" s="3">
        <v>4833</v>
      </c>
      <c r="G4835" s="3">
        <v>4</v>
      </c>
      <c r="H4835" s="5">
        <v>25390935.539999999</v>
      </c>
      <c r="I4835" s="5">
        <v>84839935.539999992</v>
      </c>
      <c r="J4835" s="5">
        <v>68068000</v>
      </c>
      <c r="K4835" s="5">
        <v>8619000</v>
      </c>
      <c r="L4835" s="5">
        <v>59533000</v>
      </c>
      <c r="M4835" s="5">
        <v>707000</v>
      </c>
      <c r="N4835" s="5">
        <v>-19785000</v>
      </c>
    </row>
    <row r="4836" spans="1:14" x14ac:dyDescent="0.25">
      <c r="A4836" s="3" t="s">
        <v>4847</v>
      </c>
      <c r="B4836" s="4">
        <v>-3.06</v>
      </c>
      <c r="C4836" s="4">
        <v>1.0900000000000001</v>
      </c>
      <c r="D4836" s="4">
        <v>-408.22</v>
      </c>
      <c r="E4836" s="4">
        <v>-8.4122345310230079E-2</v>
      </c>
      <c r="F4836" s="3">
        <v>4834</v>
      </c>
      <c r="G4836" s="3">
        <v>4</v>
      </c>
      <c r="H4836" s="5">
        <v>827687.5</v>
      </c>
      <c r="I4836" s="5">
        <v>2236917.5</v>
      </c>
      <c r="J4836" s="5">
        <v>1409500</v>
      </c>
      <c r="K4836" s="5">
        <v>270</v>
      </c>
      <c r="L4836" s="5">
        <v>0</v>
      </c>
      <c r="M4836" s="5">
        <v>-731820</v>
      </c>
      <c r="N4836" s="5">
        <v>-1869630</v>
      </c>
    </row>
    <row r="4837" spans="1:14" x14ac:dyDescent="0.25">
      <c r="A4837" s="3" t="s">
        <v>4848</v>
      </c>
      <c r="B4837" s="4">
        <v>-6.59</v>
      </c>
      <c r="C4837" s="4">
        <v>0.31</v>
      </c>
      <c r="D4837" s="4">
        <v>-410.59</v>
      </c>
      <c r="E4837" s="4">
        <v>-8.464843634515834E-2</v>
      </c>
      <c r="F4837" s="3">
        <v>4835</v>
      </c>
      <c r="G4837" s="3">
        <v>4</v>
      </c>
      <c r="H4837" s="5">
        <v>1072302.1272</v>
      </c>
      <c r="I4837" s="5">
        <v>2267562.1272</v>
      </c>
      <c r="J4837" s="5">
        <v>1197450</v>
      </c>
      <c r="K4837" s="5">
        <v>2190</v>
      </c>
      <c r="L4837" s="5">
        <v>132980</v>
      </c>
      <c r="M4837" s="5">
        <v>-344260</v>
      </c>
      <c r="N4837" s="5">
        <v>-1868190</v>
      </c>
    </row>
    <row r="4838" spans="1:14" x14ac:dyDescent="0.25">
      <c r="A4838" s="3" t="s">
        <v>4849</v>
      </c>
      <c r="B4838" s="4">
        <v>120.24</v>
      </c>
      <c r="C4838" s="4">
        <v>0.06</v>
      </c>
      <c r="D4838" s="4">
        <v>0.01</v>
      </c>
      <c r="E4838" s="4">
        <v>-8.4662641104162134E-2</v>
      </c>
      <c r="F4838" s="3">
        <v>4836</v>
      </c>
      <c r="G4838" s="3">
        <v>4</v>
      </c>
      <c r="H4838" s="5">
        <v>236763622.08000001</v>
      </c>
      <c r="I4838" s="5">
        <v>5057788622.0799999</v>
      </c>
      <c r="J4838" s="5">
        <v>4824902000</v>
      </c>
      <c r="K4838" s="5">
        <v>3877000</v>
      </c>
      <c r="L4838" s="5">
        <v>116739000</v>
      </c>
      <c r="M4838" s="5">
        <v>42063000</v>
      </c>
      <c r="N4838" s="5">
        <v>29192000</v>
      </c>
    </row>
    <row r="4839" spans="1:14" x14ac:dyDescent="0.25">
      <c r="A4839" s="3" t="s">
        <v>4850</v>
      </c>
      <c r="B4839" s="4">
        <v>120.97</v>
      </c>
      <c r="C4839" s="4">
        <v>0.16</v>
      </c>
      <c r="D4839" s="4">
        <v>0.16</v>
      </c>
      <c r="E4839" s="4">
        <v>-8.4796581651241626E-2</v>
      </c>
      <c r="F4839" s="3">
        <v>4837</v>
      </c>
      <c r="G4839" s="3">
        <v>4</v>
      </c>
      <c r="H4839" s="5">
        <v>1655332074.3399999</v>
      </c>
      <c r="I4839" s="5">
        <v>1627700464.3399999</v>
      </c>
      <c r="J4839" s="5">
        <v>0</v>
      </c>
      <c r="K4839" s="5">
        <v>27631610</v>
      </c>
      <c r="L4839" s="5">
        <v>28400910</v>
      </c>
      <c r="M4839" s="5">
        <v>13454890</v>
      </c>
      <c r="N4839" s="5">
        <v>245455190</v>
      </c>
    </row>
    <row r="4840" spans="1:14" x14ac:dyDescent="0.25">
      <c r="A4840" s="3" t="s">
        <v>4851</v>
      </c>
      <c r="B4840" s="4">
        <v>-0.24</v>
      </c>
      <c r="C4840" s="4">
        <v>1.03</v>
      </c>
      <c r="D4840" s="4">
        <v>-406.55</v>
      </c>
      <c r="E4840" s="4">
        <v>-8.5718915520449177E-2</v>
      </c>
      <c r="F4840" s="3">
        <v>4838</v>
      </c>
      <c r="G4840" s="3">
        <v>4</v>
      </c>
      <c r="H4840" s="5">
        <v>622.64731800000004</v>
      </c>
      <c r="I4840" s="5">
        <v>58942.647318000003</v>
      </c>
      <c r="J4840" s="5">
        <v>58440</v>
      </c>
      <c r="K4840" s="5">
        <v>120</v>
      </c>
      <c r="L4840" s="5">
        <v>0</v>
      </c>
      <c r="M4840" s="5">
        <v>-249680</v>
      </c>
      <c r="N4840" s="5">
        <v>-479730</v>
      </c>
    </row>
    <row r="4841" spans="1:14" x14ac:dyDescent="0.25">
      <c r="A4841" s="3" t="s">
        <v>4852</v>
      </c>
      <c r="B4841" s="4">
        <v>123.14</v>
      </c>
      <c r="C4841" s="4">
        <v>0.02</v>
      </c>
      <c r="D4841" s="4">
        <v>0.01</v>
      </c>
      <c r="E4841" s="4">
        <v>-8.6573085184372442E-2</v>
      </c>
      <c r="F4841" s="3">
        <v>4839</v>
      </c>
      <c r="G4841" s="3">
        <v>4</v>
      </c>
      <c r="H4841" s="5">
        <v>101672370016</v>
      </c>
      <c r="I4841" s="5">
        <v>97653370016</v>
      </c>
      <c r="J4841" s="5">
        <v>0</v>
      </c>
      <c r="K4841" s="5">
        <v>4019000000</v>
      </c>
      <c r="L4841" s="5">
        <v>10722000000</v>
      </c>
      <c r="M4841" s="5">
        <v>793000000</v>
      </c>
      <c r="N4841" s="5">
        <v>123000000</v>
      </c>
    </row>
    <row r="4842" spans="1:14" x14ac:dyDescent="0.25">
      <c r="A4842" s="3" t="s">
        <v>4853</v>
      </c>
      <c r="B4842" s="4">
        <v>122.6</v>
      </c>
      <c r="C4842" s="4">
        <v>-0.2</v>
      </c>
      <c r="D4842" s="4">
        <v>-0.03</v>
      </c>
      <c r="E4842" s="4">
        <v>-8.6882243537358336E-2</v>
      </c>
      <c r="F4842" s="3">
        <v>4840</v>
      </c>
      <c r="G4842" s="3">
        <v>4</v>
      </c>
      <c r="H4842" s="5">
        <v>12568.500899999999</v>
      </c>
      <c r="I4842" s="5">
        <v>8260746568.5009003</v>
      </c>
      <c r="J4842" s="5">
        <v>8471926000</v>
      </c>
      <c r="K4842" s="5">
        <v>211192000</v>
      </c>
      <c r="L4842" s="5">
        <v>839922000</v>
      </c>
      <c r="M4842" s="5">
        <v>67380000</v>
      </c>
      <c r="N4842" s="5">
        <v>-367893000</v>
      </c>
    </row>
    <row r="4843" spans="1:14" x14ac:dyDescent="0.25">
      <c r="A4843" s="3" t="s">
        <v>4854</v>
      </c>
      <c r="B4843" s="4">
        <v>124.78</v>
      </c>
      <c r="C4843" s="4">
        <v>0.03</v>
      </c>
      <c r="D4843" s="4">
        <v>0</v>
      </c>
      <c r="E4843" s="4">
        <v>-8.7561150338256177E-2</v>
      </c>
      <c r="F4843" s="3">
        <v>4841</v>
      </c>
      <c r="G4843" s="3">
        <v>4</v>
      </c>
      <c r="H4843" s="5">
        <v>20132981638.560001</v>
      </c>
      <c r="I4843" s="5">
        <v>20606948638.560001</v>
      </c>
      <c r="J4843" s="5">
        <v>1281984000</v>
      </c>
      <c r="K4843" s="5">
        <v>808017000</v>
      </c>
      <c r="L4843" s="5">
        <v>3470756000</v>
      </c>
      <c r="M4843" s="5">
        <v>165144000</v>
      </c>
      <c r="N4843" s="5">
        <v>23483000</v>
      </c>
    </row>
    <row r="4844" spans="1:14" x14ac:dyDescent="0.25">
      <c r="A4844" s="3" t="s">
        <v>4855</v>
      </c>
      <c r="B4844" s="4">
        <v>125.29</v>
      </c>
      <c r="C4844" s="4">
        <v>0.03</v>
      </c>
      <c r="D4844" s="4">
        <v>-0.1</v>
      </c>
      <c r="E4844" s="4">
        <v>-8.7896090094582172E-2</v>
      </c>
      <c r="F4844" s="3">
        <v>4842</v>
      </c>
      <c r="G4844" s="3">
        <v>4</v>
      </c>
      <c r="H4844" s="5">
        <v>284.78162300000002</v>
      </c>
      <c r="I4844" s="5">
        <v>4599364.7816230003</v>
      </c>
      <c r="J4844" s="5">
        <v>4685470</v>
      </c>
      <c r="K4844" s="5">
        <v>86390</v>
      </c>
      <c r="L4844" s="5">
        <v>3792110</v>
      </c>
      <c r="M4844" s="5">
        <v>36710</v>
      </c>
      <c r="N4844" s="5">
        <v>-125390</v>
      </c>
    </row>
    <row r="4845" spans="1:14" x14ac:dyDescent="0.25">
      <c r="A4845" s="3" t="s">
        <v>4856</v>
      </c>
      <c r="B4845" s="4">
        <v>126.08</v>
      </c>
      <c r="C4845" s="4">
        <v>-0.33</v>
      </c>
      <c r="D4845" s="4">
        <v>0.01</v>
      </c>
      <c r="E4845" s="4">
        <v>-8.9403987904819238E-2</v>
      </c>
      <c r="F4845" s="3">
        <v>4843</v>
      </c>
      <c r="G4845" s="3">
        <v>4</v>
      </c>
      <c r="H4845" s="5">
        <v>99645000</v>
      </c>
      <c r="I4845" s="5">
        <v>125160660</v>
      </c>
      <c r="J4845" s="5">
        <v>25788560</v>
      </c>
      <c r="K4845" s="5">
        <v>272900</v>
      </c>
      <c r="L4845" s="5">
        <v>672662700</v>
      </c>
      <c r="M4845" s="5">
        <v>992700</v>
      </c>
      <c r="N4845" s="5">
        <v>953560</v>
      </c>
    </row>
    <row r="4846" spans="1:14" x14ac:dyDescent="0.25">
      <c r="A4846" s="3" t="s">
        <v>4857</v>
      </c>
      <c r="B4846" s="4">
        <v>128.5</v>
      </c>
      <c r="C4846" s="4">
        <v>0.01</v>
      </c>
      <c r="D4846" s="4">
        <v>0.01</v>
      </c>
      <c r="E4846" s="4">
        <v>-8.9919393045020404E-2</v>
      </c>
      <c r="F4846" s="3">
        <v>4844</v>
      </c>
      <c r="G4846" s="3">
        <v>4</v>
      </c>
      <c r="H4846" s="5">
        <v>1237610886.3199999</v>
      </c>
      <c r="I4846" s="5">
        <v>1151965886.3199999</v>
      </c>
      <c r="J4846" s="5">
        <v>0</v>
      </c>
      <c r="K4846" s="5">
        <v>85645000</v>
      </c>
      <c r="L4846" s="5">
        <v>555558000</v>
      </c>
      <c r="M4846" s="5">
        <v>8965000</v>
      </c>
      <c r="N4846" s="5">
        <v>2720000</v>
      </c>
    </row>
    <row r="4847" spans="1:14" x14ac:dyDescent="0.25">
      <c r="A4847" s="3" t="s">
        <v>4858</v>
      </c>
      <c r="B4847" s="4">
        <v>127.46</v>
      </c>
      <c r="C4847" s="4">
        <v>-0.36</v>
      </c>
      <c r="D4847" s="4">
        <v>-0.12</v>
      </c>
      <c r="E4847" s="4">
        <v>-9.0369856457566872E-2</v>
      </c>
      <c r="F4847" s="3">
        <v>4845</v>
      </c>
      <c r="G4847" s="3">
        <v>4</v>
      </c>
      <c r="H4847" s="5">
        <v>9254805603.75</v>
      </c>
      <c r="I4847" s="5">
        <v>9915057603.75</v>
      </c>
      <c r="J4847" s="5">
        <v>701804000</v>
      </c>
      <c r="K4847" s="5">
        <v>41552000</v>
      </c>
      <c r="L4847" s="5">
        <v>144193000</v>
      </c>
      <c r="M4847" s="5">
        <v>77791000</v>
      </c>
      <c r="N4847" s="5">
        <v>-231065000</v>
      </c>
    </row>
    <row r="4848" spans="1:14" x14ac:dyDescent="0.25">
      <c r="A4848" s="3" t="s">
        <v>4859</v>
      </c>
      <c r="B4848" s="4">
        <v>126.91</v>
      </c>
      <c r="C4848" s="4">
        <v>-0.54</v>
      </c>
      <c r="D4848" s="4">
        <v>-0.14000000000000001</v>
      </c>
      <c r="E4848" s="4">
        <v>-9.0553393123642856E-2</v>
      </c>
      <c r="F4848" s="3">
        <v>4846</v>
      </c>
      <c r="G4848" s="3">
        <v>4</v>
      </c>
      <c r="H4848" s="5">
        <v>991154632.64999998</v>
      </c>
      <c r="I4848" s="5">
        <v>958841632.64999998</v>
      </c>
      <c r="J4848" s="5">
        <v>50249000</v>
      </c>
      <c r="K4848" s="5">
        <v>82562000</v>
      </c>
      <c r="L4848" s="5">
        <v>225571000</v>
      </c>
      <c r="M4848" s="5">
        <v>7555000</v>
      </c>
      <c r="N4848" s="5">
        <v>-32877000</v>
      </c>
    </row>
    <row r="4849" spans="1:14" x14ac:dyDescent="0.25">
      <c r="A4849" s="3" t="s">
        <v>4860</v>
      </c>
      <c r="B4849" s="4">
        <v>130.51</v>
      </c>
      <c r="C4849" s="4">
        <v>0.02</v>
      </c>
      <c r="D4849" s="4">
        <v>0.01</v>
      </c>
      <c r="E4849" s="4">
        <v>-9.1134529783118506E-2</v>
      </c>
      <c r="F4849" s="3">
        <v>4847</v>
      </c>
      <c r="G4849" s="3">
        <v>4</v>
      </c>
      <c r="H4849" s="5">
        <v>1107775255.95</v>
      </c>
      <c r="I4849" s="5">
        <v>1017181255.95</v>
      </c>
      <c r="J4849" s="5">
        <v>0</v>
      </c>
      <c r="K4849" s="5">
        <v>90594000</v>
      </c>
      <c r="L4849" s="5">
        <v>179465000</v>
      </c>
      <c r="M4849" s="5">
        <v>7794000</v>
      </c>
      <c r="N4849" s="5">
        <v>4057000</v>
      </c>
    </row>
    <row r="4850" spans="1:14" x14ac:dyDescent="0.25">
      <c r="A4850" s="3" t="s">
        <v>4861</v>
      </c>
      <c r="B4850" s="4">
        <v>132.59</v>
      </c>
      <c r="C4850" s="4">
        <v>0.28000000000000003</v>
      </c>
      <c r="D4850" s="4">
        <v>0.19</v>
      </c>
      <c r="E4850" s="4">
        <v>-9.1635928307339617E-2</v>
      </c>
      <c r="F4850" s="3">
        <v>4848</v>
      </c>
      <c r="G4850" s="3">
        <v>4</v>
      </c>
      <c r="H4850" s="5">
        <v>559427795.63999999</v>
      </c>
      <c r="I4850" s="5">
        <v>575061795.63999999</v>
      </c>
      <c r="J4850" s="5">
        <v>28620000</v>
      </c>
      <c r="K4850" s="5">
        <v>12986000</v>
      </c>
      <c r="L4850" s="5">
        <v>69931000</v>
      </c>
      <c r="M4850" s="5">
        <v>4337000</v>
      </c>
      <c r="N4850" s="5">
        <v>78113000</v>
      </c>
    </row>
    <row r="4851" spans="1:14" x14ac:dyDescent="0.25">
      <c r="A4851" s="3" t="s">
        <v>4862</v>
      </c>
      <c r="B4851" s="4">
        <v>131.47999999999999</v>
      </c>
      <c r="C4851" s="4">
        <v>-0.06</v>
      </c>
      <c r="D4851" s="4">
        <v>-0.03</v>
      </c>
      <c r="E4851" s="4">
        <v>-9.1973747698160704E-2</v>
      </c>
      <c r="F4851" s="3">
        <v>4849</v>
      </c>
      <c r="G4851" s="3">
        <v>4</v>
      </c>
      <c r="H4851" s="5">
        <v>2323309082.0999999</v>
      </c>
      <c r="I4851" s="5">
        <v>2069148082.0999999</v>
      </c>
      <c r="J4851" s="5">
        <v>0</v>
      </c>
      <c r="K4851" s="5">
        <v>254161000</v>
      </c>
      <c r="L4851" s="5">
        <v>771315000</v>
      </c>
      <c r="M4851" s="5">
        <v>15737000</v>
      </c>
      <c r="N4851" s="5">
        <v>-20390000</v>
      </c>
    </row>
    <row r="4852" spans="1:14" x14ac:dyDescent="0.25">
      <c r="A4852" s="3" t="s">
        <v>4863</v>
      </c>
      <c r="B4852" s="4">
        <v>119.43</v>
      </c>
      <c r="C4852" s="4">
        <v>-2.69</v>
      </c>
      <c r="D4852" s="4">
        <v>-2.59</v>
      </c>
      <c r="E4852" s="4">
        <v>-9.2608604281826351E-2</v>
      </c>
      <c r="F4852" s="3">
        <v>4850</v>
      </c>
      <c r="G4852" s="3">
        <v>4</v>
      </c>
      <c r="H4852" s="5">
        <v>2349297.0137999998</v>
      </c>
      <c r="I4852" s="5">
        <v>900527.01379999984</v>
      </c>
      <c r="J4852" s="5">
        <v>0</v>
      </c>
      <c r="K4852" s="5">
        <v>1448770</v>
      </c>
      <c r="L4852" s="5">
        <v>909180</v>
      </c>
      <c r="M4852" s="5">
        <v>7540</v>
      </c>
      <c r="N4852" s="5">
        <v>-18543580</v>
      </c>
    </row>
    <row r="4853" spans="1:14" x14ac:dyDescent="0.25">
      <c r="A4853" s="3" t="s">
        <v>4864</v>
      </c>
      <c r="B4853" s="4">
        <v>134.87</v>
      </c>
      <c r="C4853" s="4">
        <v>0.08</v>
      </c>
      <c r="D4853" s="4">
        <v>0.03</v>
      </c>
      <c r="E4853" s="4">
        <v>-9.3655803771802507E-2</v>
      </c>
      <c r="F4853" s="3">
        <v>4851</v>
      </c>
      <c r="G4853" s="3">
        <v>4</v>
      </c>
      <c r="H4853" s="5">
        <v>31881035595.900002</v>
      </c>
      <c r="I4853" s="5">
        <v>31257839595.900002</v>
      </c>
      <c r="J4853" s="5">
        <v>100387000</v>
      </c>
      <c r="K4853" s="5">
        <v>723583000</v>
      </c>
      <c r="L4853" s="5">
        <v>3168164000</v>
      </c>
      <c r="M4853" s="5">
        <v>231759000</v>
      </c>
      <c r="N4853" s="5">
        <v>106739000</v>
      </c>
    </row>
    <row r="4854" spans="1:14" x14ac:dyDescent="0.25">
      <c r="A4854" s="3" t="s">
        <v>4865</v>
      </c>
      <c r="B4854" s="4">
        <v>138.58000000000001</v>
      </c>
      <c r="C4854" s="4">
        <v>0.8</v>
      </c>
      <c r="D4854" s="4">
        <v>0.35</v>
      </c>
      <c r="E4854" s="4">
        <v>-9.3809930529897098E-2</v>
      </c>
      <c r="F4854" s="3">
        <v>4852</v>
      </c>
      <c r="G4854" s="3">
        <v>4</v>
      </c>
      <c r="H4854" s="5">
        <v>206520030</v>
      </c>
      <c r="I4854" s="5">
        <v>206412820</v>
      </c>
      <c r="J4854" s="5">
        <v>0</v>
      </c>
      <c r="K4854" s="5">
        <v>107210</v>
      </c>
      <c r="L4854" s="5">
        <v>5613200</v>
      </c>
      <c r="M4854" s="5">
        <v>1489470</v>
      </c>
      <c r="N4854" s="5">
        <v>1264000</v>
      </c>
    </row>
    <row r="4855" spans="1:14" x14ac:dyDescent="0.25">
      <c r="A4855" s="3" t="s">
        <v>4866</v>
      </c>
      <c r="B4855" s="4">
        <v>137.1</v>
      </c>
      <c r="C4855" s="4">
        <v>0.05</v>
      </c>
      <c r="D4855" s="4">
        <v>0.05</v>
      </c>
      <c r="E4855" s="4">
        <v>-9.5118819410139152E-2</v>
      </c>
      <c r="F4855" s="3">
        <v>4853</v>
      </c>
      <c r="G4855" s="3">
        <v>4</v>
      </c>
      <c r="H4855" s="5">
        <v>13668078.6</v>
      </c>
      <c r="I4855" s="5">
        <v>9460078.5999999996</v>
      </c>
      <c r="J4855" s="5">
        <v>0</v>
      </c>
      <c r="K4855" s="5">
        <v>4208000</v>
      </c>
      <c r="L4855" s="5">
        <v>4141000</v>
      </c>
      <c r="M4855" s="5">
        <v>69000</v>
      </c>
      <c r="N4855" s="5">
        <v>902000</v>
      </c>
    </row>
    <row r="4856" spans="1:14" x14ac:dyDescent="0.25">
      <c r="A4856" s="3" t="s">
        <v>4867</v>
      </c>
      <c r="B4856" s="4">
        <v>137.24</v>
      </c>
      <c r="C4856" s="4">
        <v>-0.06</v>
      </c>
      <c r="D4856" s="4">
        <v>-0.02</v>
      </c>
      <c r="E4856" s="4">
        <v>-9.5536801153099829E-2</v>
      </c>
      <c r="F4856" s="3">
        <v>4854</v>
      </c>
      <c r="G4856" s="3">
        <v>4</v>
      </c>
      <c r="H4856" s="5">
        <v>2562820965.6300001</v>
      </c>
      <c r="I4856" s="5">
        <v>3179099965.6300001</v>
      </c>
      <c r="J4856" s="5">
        <v>726423000</v>
      </c>
      <c r="K4856" s="5">
        <v>110144000</v>
      </c>
      <c r="L4856" s="5">
        <v>662748000</v>
      </c>
      <c r="M4856" s="5">
        <v>23164000</v>
      </c>
      <c r="N4856" s="5">
        <v>-31268000</v>
      </c>
    </row>
    <row r="4857" spans="1:14" x14ac:dyDescent="0.25">
      <c r="A4857" s="3" t="s">
        <v>4868</v>
      </c>
      <c r="B4857" s="4">
        <v>121.5</v>
      </c>
      <c r="C4857" s="4">
        <v>-3.52</v>
      </c>
      <c r="D4857" s="4">
        <v>-0.56000000000000005</v>
      </c>
      <c r="E4857" s="4">
        <v>-9.5896346848087705E-2</v>
      </c>
      <c r="F4857" s="3">
        <v>4855</v>
      </c>
      <c r="G4857" s="3">
        <v>4</v>
      </c>
      <c r="H4857" s="5">
        <v>315.67527699999999</v>
      </c>
      <c r="I4857" s="5">
        <v>136807315.67527699</v>
      </c>
      <c r="J4857" s="5">
        <v>143494000</v>
      </c>
      <c r="K4857" s="5">
        <v>6687000</v>
      </c>
      <c r="L4857" s="5">
        <v>215309000</v>
      </c>
      <c r="M4857" s="5">
        <v>1126000</v>
      </c>
      <c r="N4857" s="5">
        <v>-152822000</v>
      </c>
    </row>
    <row r="4858" spans="1:14" x14ac:dyDescent="0.25">
      <c r="A4858" s="3" t="s">
        <v>4869</v>
      </c>
      <c r="B4858" s="4">
        <v>3.49</v>
      </c>
      <c r="C4858" s="4">
        <v>-29.36</v>
      </c>
      <c r="D4858" s="4">
        <v>0.25</v>
      </c>
      <c r="E4858" s="4">
        <v>-9.7362359789458175E-2</v>
      </c>
      <c r="F4858" s="3">
        <v>4856</v>
      </c>
      <c r="G4858" s="3">
        <v>4</v>
      </c>
      <c r="H4858" s="5">
        <v>84772849.079999998</v>
      </c>
      <c r="I4858" s="5">
        <v>67708849.079999998</v>
      </c>
      <c r="J4858" s="5">
        <v>0</v>
      </c>
      <c r="K4858" s="5">
        <v>17064000</v>
      </c>
      <c r="L4858" s="5">
        <v>83902000</v>
      </c>
      <c r="M4858" s="5">
        <v>19405000</v>
      </c>
      <c r="N4858" s="5">
        <v>13564000</v>
      </c>
    </row>
    <row r="4859" spans="1:14" x14ac:dyDescent="0.25">
      <c r="A4859" s="3" t="s">
        <v>4870</v>
      </c>
      <c r="B4859" s="4">
        <v>144.02000000000001</v>
      </c>
      <c r="C4859" s="4">
        <v>-0.03</v>
      </c>
      <c r="D4859" s="4">
        <v>-0.01</v>
      </c>
      <c r="E4859" s="4">
        <v>-9.9644472768097445E-2</v>
      </c>
      <c r="F4859" s="3">
        <v>4857</v>
      </c>
      <c r="G4859" s="3">
        <v>4</v>
      </c>
      <c r="H4859" s="5">
        <v>1826843740.75</v>
      </c>
      <c r="I4859" s="5">
        <v>1795435740.75</v>
      </c>
      <c r="J4859" s="5">
        <v>128887000</v>
      </c>
      <c r="K4859" s="5">
        <v>160295000</v>
      </c>
      <c r="L4859" s="5">
        <v>1285684000</v>
      </c>
      <c r="M4859" s="5">
        <v>12467000</v>
      </c>
      <c r="N4859" s="5">
        <v>-9633000</v>
      </c>
    </row>
    <row r="4860" spans="1:14" x14ac:dyDescent="0.25">
      <c r="A4860" s="3" t="s">
        <v>4871</v>
      </c>
      <c r="B4860" s="4">
        <v>145.99</v>
      </c>
      <c r="C4860" s="4">
        <v>0.13</v>
      </c>
      <c r="D4860" s="4">
        <v>0.01</v>
      </c>
      <c r="E4860" s="4">
        <v>-0.1003975905250354</v>
      </c>
      <c r="F4860" s="3">
        <v>4858</v>
      </c>
      <c r="G4860" s="3">
        <v>4</v>
      </c>
      <c r="H4860" s="5">
        <v>105924893915.25</v>
      </c>
      <c r="I4860" s="5">
        <v>140802824915.25</v>
      </c>
      <c r="J4860" s="5">
        <v>49756424000</v>
      </c>
      <c r="K4860" s="5">
        <v>14878493000</v>
      </c>
      <c r="L4860" s="5">
        <v>22995926000</v>
      </c>
      <c r="M4860" s="5">
        <v>964438000</v>
      </c>
      <c r="N4860" s="5">
        <v>3076245000</v>
      </c>
    </row>
    <row r="4861" spans="1:14" x14ac:dyDescent="0.25">
      <c r="A4861" s="3" t="s">
        <v>4872</v>
      </c>
      <c r="B4861" s="4">
        <v>149.06</v>
      </c>
      <c r="C4861" s="4">
        <v>0.11</v>
      </c>
      <c r="D4861" s="4">
        <v>7.0000000000000007E-2</v>
      </c>
      <c r="E4861" s="4">
        <v>-0.10234388972860201</v>
      </c>
      <c r="F4861" s="3">
        <v>4859</v>
      </c>
      <c r="G4861" s="3">
        <v>4</v>
      </c>
      <c r="H4861" s="5">
        <v>11914612258.139999</v>
      </c>
      <c r="I4861" s="5">
        <v>11128821258.139999</v>
      </c>
      <c r="J4861" s="5">
        <v>0</v>
      </c>
      <c r="K4861" s="5">
        <v>785791000</v>
      </c>
      <c r="L4861" s="5">
        <v>748024000</v>
      </c>
      <c r="M4861" s="5">
        <v>74661000</v>
      </c>
      <c r="N4861" s="5">
        <v>88574000</v>
      </c>
    </row>
    <row r="4862" spans="1:14" x14ac:dyDescent="0.25">
      <c r="A4862" s="3" t="s">
        <v>4873</v>
      </c>
      <c r="B4862" s="4">
        <v>150.55000000000001</v>
      </c>
      <c r="C4862" s="4">
        <v>0.32</v>
      </c>
      <c r="D4862" s="4">
        <v>0.23</v>
      </c>
      <c r="E4862" s="4">
        <v>-0.10262845120492289</v>
      </c>
      <c r="F4862" s="3">
        <v>4860</v>
      </c>
      <c r="G4862" s="3">
        <v>4</v>
      </c>
      <c r="H4862" s="5">
        <v>168467400</v>
      </c>
      <c r="I4862" s="5">
        <v>166839930</v>
      </c>
      <c r="J4862" s="5">
        <v>43480</v>
      </c>
      <c r="K4862" s="5">
        <v>1670950</v>
      </c>
      <c r="L4862" s="5">
        <v>7615310</v>
      </c>
      <c r="M4862" s="5">
        <v>1108180</v>
      </c>
      <c r="N4862" s="5">
        <v>778240</v>
      </c>
    </row>
    <row r="4863" spans="1:14" x14ac:dyDescent="0.25">
      <c r="A4863" s="3" t="s">
        <v>4874</v>
      </c>
      <c r="B4863" s="4">
        <v>151.06</v>
      </c>
      <c r="C4863" s="4">
        <v>0.42</v>
      </c>
      <c r="D4863" s="4">
        <v>0.36</v>
      </c>
      <c r="E4863" s="4">
        <v>-0.10263008727982161</v>
      </c>
      <c r="F4863" s="3">
        <v>4861</v>
      </c>
      <c r="G4863" s="3">
        <v>4</v>
      </c>
      <c r="H4863" s="5">
        <v>5062225754.2200003</v>
      </c>
      <c r="I4863" s="5">
        <v>4930789754.2200003</v>
      </c>
      <c r="J4863" s="5">
        <v>45914000</v>
      </c>
      <c r="K4863" s="5">
        <v>177350000</v>
      </c>
      <c r="L4863" s="5">
        <v>451803000</v>
      </c>
      <c r="M4863" s="5">
        <v>32642000</v>
      </c>
      <c r="N4863" s="5">
        <v>424378000</v>
      </c>
    </row>
    <row r="4864" spans="1:14" x14ac:dyDescent="0.25">
      <c r="A4864" s="3" t="s">
        <v>4875</v>
      </c>
      <c r="B4864" s="4">
        <v>149.13999999999999</v>
      </c>
      <c r="C4864" s="4">
        <v>-0.03</v>
      </c>
      <c r="D4864" s="4">
        <v>-0.02</v>
      </c>
      <c r="E4864" s="4">
        <v>-0.10281527511157861</v>
      </c>
      <c r="F4864" s="3">
        <v>4862</v>
      </c>
      <c r="G4864" s="3">
        <v>4</v>
      </c>
      <c r="H4864" s="5">
        <v>69709162.076800004</v>
      </c>
      <c r="I4864" s="5">
        <v>62489162.076800004</v>
      </c>
      <c r="J4864" s="5">
        <v>3010000</v>
      </c>
      <c r="K4864" s="5">
        <v>10230000</v>
      </c>
      <c r="L4864" s="5">
        <v>223645000</v>
      </c>
      <c r="M4864" s="5">
        <v>419000</v>
      </c>
      <c r="N4864" s="5">
        <v>-3381000</v>
      </c>
    </row>
    <row r="4865" spans="1:14" x14ac:dyDescent="0.25">
      <c r="A4865" s="3" t="s">
        <v>4876</v>
      </c>
      <c r="B4865" s="4">
        <v>149.6</v>
      </c>
      <c r="C4865" s="4">
        <v>0.03</v>
      </c>
      <c r="D4865" s="4">
        <v>0.01</v>
      </c>
      <c r="E4865" s="4">
        <v>-0.10292082985182489</v>
      </c>
      <c r="F4865" s="3">
        <v>4863</v>
      </c>
      <c r="G4865" s="3">
        <v>4</v>
      </c>
      <c r="H4865" s="5">
        <v>525874100.39999998</v>
      </c>
      <c r="I4865" s="5">
        <v>5319572100.3999996</v>
      </c>
      <c r="J4865" s="5">
        <v>4898631000</v>
      </c>
      <c r="K4865" s="5">
        <v>104933000</v>
      </c>
      <c r="L4865" s="5">
        <v>594136000</v>
      </c>
      <c r="M4865" s="5">
        <v>35558000</v>
      </c>
      <c r="N4865" s="5">
        <v>35591000</v>
      </c>
    </row>
    <row r="4866" spans="1:14" x14ac:dyDescent="0.25">
      <c r="A4866" s="3" t="s">
        <v>4877</v>
      </c>
      <c r="B4866" s="4">
        <v>152.04</v>
      </c>
      <c r="C4866" s="4">
        <v>0.3</v>
      </c>
      <c r="D4866" s="4">
        <v>0.12</v>
      </c>
      <c r="E4866" s="4">
        <v>-0.1036296493601689</v>
      </c>
      <c r="F4866" s="3">
        <v>4864</v>
      </c>
      <c r="G4866" s="3">
        <v>4</v>
      </c>
      <c r="H4866" s="5">
        <v>83462500</v>
      </c>
      <c r="I4866" s="5">
        <v>83573790</v>
      </c>
      <c r="J4866" s="5">
        <v>483210</v>
      </c>
      <c r="K4866" s="5">
        <v>371920</v>
      </c>
      <c r="L4866" s="5">
        <v>3325990</v>
      </c>
      <c r="M4866" s="5">
        <v>549700</v>
      </c>
      <c r="N4866" s="5">
        <v>401530</v>
      </c>
    </row>
    <row r="4867" spans="1:14" x14ac:dyDescent="0.25">
      <c r="A4867" s="3" t="s">
        <v>4878</v>
      </c>
      <c r="B4867" s="4">
        <v>151.54</v>
      </c>
      <c r="C4867" s="4">
        <v>0.05</v>
      </c>
      <c r="D4867" s="4">
        <v>0</v>
      </c>
      <c r="E4867" s="4">
        <v>-0.1040656775696065</v>
      </c>
      <c r="F4867" s="3">
        <v>4865</v>
      </c>
      <c r="G4867" s="3">
        <v>4</v>
      </c>
      <c r="H4867" s="5">
        <v>665453250</v>
      </c>
      <c r="I4867" s="5">
        <v>17153372250</v>
      </c>
      <c r="J4867" s="5">
        <v>16733084000</v>
      </c>
      <c r="K4867" s="5">
        <v>245165000</v>
      </c>
      <c r="L4867" s="5">
        <v>987301000</v>
      </c>
      <c r="M4867" s="5">
        <v>113191000</v>
      </c>
      <c r="N4867" s="5">
        <v>54004000</v>
      </c>
    </row>
    <row r="4868" spans="1:14" x14ac:dyDescent="0.25">
      <c r="A4868" s="3" t="s">
        <v>4879</v>
      </c>
      <c r="B4868" s="4">
        <v>154.91</v>
      </c>
      <c r="C4868" s="4">
        <v>0.06</v>
      </c>
      <c r="D4868" s="4">
        <v>0.01</v>
      </c>
      <c r="E4868" s="4">
        <v>-0.10612061725592969</v>
      </c>
      <c r="F4868" s="3">
        <v>4866</v>
      </c>
      <c r="G4868" s="3">
        <v>4</v>
      </c>
      <c r="H4868" s="5">
        <v>1118118619.2</v>
      </c>
      <c r="I4868" s="5">
        <v>5834331619.1999998</v>
      </c>
      <c r="J4868" s="5">
        <v>5025543000</v>
      </c>
      <c r="K4868" s="5">
        <v>309330000</v>
      </c>
      <c r="L4868" s="5">
        <v>290687000</v>
      </c>
      <c r="M4868" s="5">
        <v>37662000</v>
      </c>
      <c r="N4868" s="5">
        <v>37662000</v>
      </c>
    </row>
    <row r="4869" spans="1:14" x14ac:dyDescent="0.25">
      <c r="A4869" s="3" t="s">
        <v>4880</v>
      </c>
      <c r="B4869" s="4">
        <v>154.31</v>
      </c>
      <c r="C4869" s="4">
        <v>-7.0000000000000007E-2</v>
      </c>
      <c r="D4869" s="4">
        <v>-7.0000000000000007E-2</v>
      </c>
      <c r="E4869" s="4">
        <v>-0.106140314017913</v>
      </c>
      <c r="F4869" s="3">
        <v>4867</v>
      </c>
      <c r="G4869" s="3">
        <v>4</v>
      </c>
      <c r="H4869" s="5">
        <v>2816120</v>
      </c>
      <c r="I4869" s="5">
        <v>1731390</v>
      </c>
      <c r="J4869" s="5">
        <v>0</v>
      </c>
      <c r="K4869" s="5">
        <v>1084730</v>
      </c>
      <c r="L4869" s="5">
        <v>925200</v>
      </c>
      <c r="M4869" s="5">
        <v>11220</v>
      </c>
      <c r="N4869" s="5">
        <v>-398710</v>
      </c>
    </row>
    <row r="4870" spans="1:14" x14ac:dyDescent="0.25">
      <c r="A4870" s="3" t="s">
        <v>4881</v>
      </c>
      <c r="B4870" s="4">
        <v>165.29</v>
      </c>
      <c r="C4870" s="4">
        <v>0.12</v>
      </c>
      <c r="D4870" s="4">
        <v>0.09</v>
      </c>
      <c r="E4870" s="4">
        <v>-0.1123562189147892</v>
      </c>
      <c r="F4870" s="3">
        <v>4868</v>
      </c>
      <c r="G4870" s="3">
        <v>4</v>
      </c>
      <c r="H4870" s="5">
        <v>169683499999.81</v>
      </c>
      <c r="I4870" s="5">
        <v>167608499999.81</v>
      </c>
      <c r="J4870" s="5">
        <v>10000000</v>
      </c>
      <c r="K4870" s="5">
        <v>2085000000</v>
      </c>
      <c r="L4870" s="5">
        <v>4007000000</v>
      </c>
      <c r="M4870" s="5">
        <v>1014000000</v>
      </c>
      <c r="N4870" s="5">
        <v>792000000</v>
      </c>
    </row>
    <row r="4871" spans="1:14" x14ac:dyDescent="0.25">
      <c r="A4871" s="3" t="s">
        <v>4882</v>
      </c>
      <c r="B4871" s="4">
        <v>-1.63</v>
      </c>
      <c r="C4871" s="4">
        <v>-35.9</v>
      </c>
      <c r="D4871" s="4">
        <v>-2.91</v>
      </c>
      <c r="E4871" s="4">
        <v>-0.1136994778585019</v>
      </c>
      <c r="F4871" s="3">
        <v>4869</v>
      </c>
      <c r="G4871" s="3">
        <v>4</v>
      </c>
      <c r="H4871" s="5">
        <v>1262440.0074</v>
      </c>
      <c r="I4871" s="5">
        <v>1082550.0074</v>
      </c>
      <c r="J4871" s="5">
        <v>0</v>
      </c>
      <c r="K4871" s="5">
        <v>179890</v>
      </c>
      <c r="L4871" s="5">
        <v>0</v>
      </c>
      <c r="M4871" s="5">
        <v>-665630</v>
      </c>
      <c r="N4871" s="5">
        <v>-998480</v>
      </c>
    </row>
    <row r="4872" spans="1:14" x14ac:dyDescent="0.25">
      <c r="A4872" s="3" t="s">
        <v>4883</v>
      </c>
      <c r="B4872" s="4">
        <v>167.5</v>
      </c>
      <c r="C4872" s="4">
        <v>0.02</v>
      </c>
      <c r="D4872" s="4">
        <v>0.01</v>
      </c>
      <c r="E4872" s="4">
        <v>-0.11402840165660801</v>
      </c>
      <c r="F4872" s="3">
        <v>4870</v>
      </c>
      <c r="G4872" s="3">
        <v>4</v>
      </c>
      <c r="H4872" s="5">
        <v>29854077398.040001</v>
      </c>
      <c r="I4872" s="5">
        <v>26179977398.040001</v>
      </c>
      <c r="J4872" s="5">
        <v>1006900000</v>
      </c>
      <c r="K4872" s="5">
        <v>4681000000</v>
      </c>
      <c r="L4872" s="5">
        <v>2736200000</v>
      </c>
      <c r="M4872" s="5">
        <v>156300000</v>
      </c>
      <c r="N4872" s="5">
        <v>138700000</v>
      </c>
    </row>
    <row r="4873" spans="1:14" x14ac:dyDescent="0.25">
      <c r="A4873" s="3" t="s">
        <v>4884</v>
      </c>
      <c r="B4873" s="4">
        <v>-0.55000000000000004</v>
      </c>
      <c r="C4873" s="4">
        <v>-36.53</v>
      </c>
      <c r="D4873" s="4">
        <v>-0.71</v>
      </c>
      <c r="E4873" s="4">
        <v>-0.1157638234686458</v>
      </c>
      <c r="F4873" s="3">
        <v>4871</v>
      </c>
      <c r="G4873" s="3">
        <v>4</v>
      </c>
      <c r="H4873" s="5">
        <v>29159.3043</v>
      </c>
      <c r="I4873" s="5">
        <v>46900159.304300003</v>
      </c>
      <c r="J4873" s="5">
        <v>62495000</v>
      </c>
      <c r="K4873" s="5">
        <v>15624000</v>
      </c>
      <c r="L4873" s="5">
        <v>72680000</v>
      </c>
      <c r="M4873" s="5">
        <v>-85330000</v>
      </c>
      <c r="N4873" s="5">
        <v>-113946000</v>
      </c>
    </row>
    <row r="4874" spans="1:14" x14ac:dyDescent="0.25">
      <c r="A4874" s="3" t="s">
        <v>4885</v>
      </c>
      <c r="B4874" s="4">
        <v>176.69</v>
      </c>
      <c r="C4874" s="4">
        <v>0.28000000000000003</v>
      </c>
      <c r="D4874" s="4">
        <v>0.1</v>
      </c>
      <c r="E4874" s="4">
        <v>-0.1189476866706487</v>
      </c>
      <c r="F4874" s="3">
        <v>4872</v>
      </c>
      <c r="G4874" s="3">
        <v>4</v>
      </c>
      <c r="H4874" s="5">
        <v>3743638490.5799999</v>
      </c>
      <c r="I4874" s="5">
        <v>3630483490.5799999</v>
      </c>
      <c r="J4874" s="5">
        <v>37186000</v>
      </c>
      <c r="K4874" s="5">
        <v>150341000</v>
      </c>
      <c r="L4874" s="5">
        <v>1140072000</v>
      </c>
      <c r="M4874" s="5">
        <v>20547000</v>
      </c>
      <c r="N4874" s="5">
        <v>102123000</v>
      </c>
    </row>
    <row r="4875" spans="1:14" x14ac:dyDescent="0.25">
      <c r="A4875" s="3" t="s">
        <v>4886</v>
      </c>
      <c r="B4875" s="4">
        <v>175.69</v>
      </c>
      <c r="C4875" s="4">
        <v>0.05</v>
      </c>
      <c r="D4875" s="4">
        <v>0.04</v>
      </c>
      <c r="E4875" s="4">
        <v>-0.1190048932217385</v>
      </c>
      <c r="F4875" s="3">
        <v>4873</v>
      </c>
      <c r="G4875" s="3">
        <v>4</v>
      </c>
      <c r="H4875" s="5">
        <v>17511224994.900002</v>
      </c>
      <c r="I4875" s="5">
        <v>17500362994.900002</v>
      </c>
      <c r="J4875" s="5">
        <v>30000000</v>
      </c>
      <c r="K4875" s="5">
        <v>40862000</v>
      </c>
      <c r="L4875" s="5">
        <v>820627000</v>
      </c>
      <c r="M4875" s="5">
        <v>99608000</v>
      </c>
      <c r="N4875" s="5">
        <v>43619000</v>
      </c>
    </row>
    <row r="4876" spans="1:14" x14ac:dyDescent="0.25">
      <c r="A4876" s="3" t="s">
        <v>4887</v>
      </c>
      <c r="B4876" s="4">
        <v>-15.2</v>
      </c>
      <c r="C4876" s="4">
        <v>-41.03</v>
      </c>
      <c r="D4876" s="4">
        <v>-0.81</v>
      </c>
      <c r="E4876" s="4">
        <v>-0.11971805054470851</v>
      </c>
      <c r="F4876" s="3">
        <v>4874</v>
      </c>
      <c r="G4876" s="3">
        <v>4</v>
      </c>
      <c r="H4876" s="5">
        <v>78310200.840000004</v>
      </c>
      <c r="I4876" s="5">
        <v>79069200.840000004</v>
      </c>
      <c r="J4876" s="5">
        <v>13732000</v>
      </c>
      <c r="K4876" s="5">
        <v>12973000</v>
      </c>
      <c r="L4876" s="5">
        <v>10889000</v>
      </c>
      <c r="M4876" s="5">
        <v>-5203000</v>
      </c>
      <c r="N4876" s="5">
        <v>-15057000</v>
      </c>
    </row>
    <row r="4877" spans="1:14" x14ac:dyDescent="0.25">
      <c r="A4877" s="3" t="s">
        <v>4888</v>
      </c>
      <c r="B4877" s="4">
        <v>177.29</v>
      </c>
      <c r="C4877" s="4">
        <v>0.01</v>
      </c>
      <c r="D4877" s="4">
        <v>0.01</v>
      </c>
      <c r="E4877" s="4">
        <v>-0.1201165276410613</v>
      </c>
      <c r="F4877" s="3">
        <v>4875</v>
      </c>
      <c r="G4877" s="3">
        <v>4</v>
      </c>
      <c r="H4877" s="5">
        <v>13066382245</v>
      </c>
      <c r="I4877" s="5">
        <v>12977982245</v>
      </c>
      <c r="J4877" s="5">
        <v>240900000</v>
      </c>
      <c r="K4877" s="5">
        <v>329300000</v>
      </c>
      <c r="L4877" s="5">
        <v>1136300000</v>
      </c>
      <c r="M4877" s="5">
        <v>73200000</v>
      </c>
      <c r="N4877" s="5">
        <v>16300000</v>
      </c>
    </row>
    <row r="4878" spans="1:14" x14ac:dyDescent="0.25">
      <c r="A4878" s="3" t="s">
        <v>4889</v>
      </c>
      <c r="B4878" s="4">
        <v>179.2</v>
      </c>
      <c r="C4878" s="4">
        <v>-0.03</v>
      </c>
      <c r="D4878" s="4">
        <v>-0.01</v>
      </c>
      <c r="E4878" s="4">
        <v>-0.1214180984104159</v>
      </c>
      <c r="F4878" s="3">
        <v>4876</v>
      </c>
      <c r="G4878" s="3">
        <v>4</v>
      </c>
      <c r="H4878" s="5">
        <v>167906000</v>
      </c>
      <c r="I4878" s="5">
        <v>172062890</v>
      </c>
      <c r="J4878" s="5">
        <v>12289550</v>
      </c>
      <c r="K4878" s="5">
        <v>8132660</v>
      </c>
      <c r="L4878" s="5">
        <v>44863430</v>
      </c>
      <c r="M4878" s="5">
        <v>960180</v>
      </c>
      <c r="N4878" s="5">
        <v>-361020</v>
      </c>
    </row>
    <row r="4879" spans="1:14" x14ac:dyDescent="0.25">
      <c r="A4879" s="3" t="s">
        <v>4890</v>
      </c>
      <c r="B4879" s="4">
        <v>179.91</v>
      </c>
      <c r="C4879" s="4">
        <v>0.04</v>
      </c>
      <c r="D4879" s="4">
        <v>0.02</v>
      </c>
      <c r="E4879" s="4">
        <v>-0.1216494896860747</v>
      </c>
      <c r="F4879" s="3">
        <v>4877</v>
      </c>
      <c r="G4879" s="3">
        <v>4</v>
      </c>
      <c r="H4879" s="5">
        <v>1877119626</v>
      </c>
      <c r="I4879" s="5">
        <v>1803285626</v>
      </c>
      <c r="J4879" s="5">
        <v>686000</v>
      </c>
      <c r="K4879" s="5">
        <v>74520000</v>
      </c>
      <c r="L4879" s="5">
        <v>237224000</v>
      </c>
      <c r="M4879" s="5">
        <v>10023000</v>
      </c>
      <c r="N4879" s="5">
        <v>10362000</v>
      </c>
    </row>
    <row r="4880" spans="1:14" x14ac:dyDescent="0.25">
      <c r="A4880" s="3" t="s">
        <v>4891</v>
      </c>
      <c r="B4880" s="4">
        <v>185.1</v>
      </c>
      <c r="C4880" s="4">
        <v>-0.02</v>
      </c>
      <c r="D4880" s="4">
        <v>-0.01</v>
      </c>
      <c r="E4880" s="4">
        <v>-0.12504083616467709</v>
      </c>
      <c r="F4880" s="3">
        <v>4878</v>
      </c>
      <c r="G4880" s="3">
        <v>4</v>
      </c>
      <c r="H4880" s="5">
        <v>1758498824.4000001</v>
      </c>
      <c r="I4880" s="5">
        <v>2828929824.4000001</v>
      </c>
      <c r="J4880" s="5">
        <v>1184801000</v>
      </c>
      <c r="K4880" s="5">
        <v>114370000</v>
      </c>
      <c r="L4880" s="5">
        <v>1041938000</v>
      </c>
      <c r="M4880" s="5">
        <v>15283000</v>
      </c>
      <c r="N4880" s="5">
        <v>-12795000</v>
      </c>
    </row>
    <row r="4881" spans="1:14" x14ac:dyDescent="0.25">
      <c r="A4881" s="3" t="s">
        <v>4892</v>
      </c>
      <c r="B4881" s="4">
        <v>185.55</v>
      </c>
      <c r="C4881" s="4">
        <v>0.01</v>
      </c>
      <c r="D4881" s="4">
        <v>0</v>
      </c>
      <c r="E4881" s="4">
        <v>-0.1252307405734247</v>
      </c>
      <c r="F4881" s="3">
        <v>4879</v>
      </c>
      <c r="G4881" s="3">
        <v>4</v>
      </c>
      <c r="H4881" s="5">
        <v>155919952.19999999</v>
      </c>
      <c r="I4881" s="5">
        <v>330643952.19999999</v>
      </c>
      <c r="J4881" s="5">
        <v>194902000</v>
      </c>
      <c r="K4881" s="5">
        <v>20178000</v>
      </c>
      <c r="L4881" s="5">
        <v>54183000</v>
      </c>
      <c r="M4881" s="5">
        <v>1782000</v>
      </c>
      <c r="N4881" s="5">
        <v>1956000</v>
      </c>
    </row>
    <row r="4882" spans="1:14" x14ac:dyDescent="0.25">
      <c r="A4882" s="3" t="s">
        <v>4893</v>
      </c>
      <c r="B4882" s="4">
        <v>187.75</v>
      </c>
      <c r="C4882" s="4">
        <v>0.42</v>
      </c>
      <c r="D4882" s="4">
        <v>-0.6</v>
      </c>
      <c r="E4882" s="4">
        <v>-0.12552346953383939</v>
      </c>
      <c r="F4882" s="3">
        <v>4880</v>
      </c>
      <c r="G4882" s="3">
        <v>4</v>
      </c>
      <c r="H4882" s="5">
        <v>21533.761399999999</v>
      </c>
      <c r="I4882" s="5">
        <v>247449533.76140001</v>
      </c>
      <c r="J4882" s="5">
        <v>269562000</v>
      </c>
      <c r="K4882" s="5">
        <v>22134000</v>
      </c>
      <c r="L4882" s="5">
        <v>101173000</v>
      </c>
      <c r="M4882" s="5">
        <v>1318000</v>
      </c>
      <c r="N4882" s="5">
        <v>-151892000</v>
      </c>
    </row>
    <row r="4883" spans="1:14" x14ac:dyDescent="0.25">
      <c r="A4883" s="3" t="s">
        <v>4894</v>
      </c>
      <c r="B4883" s="4">
        <v>186.47</v>
      </c>
      <c r="C4883" s="4">
        <v>0.06</v>
      </c>
      <c r="D4883" s="4">
        <v>0.05</v>
      </c>
      <c r="E4883" s="4">
        <v>-0.12564603432959601</v>
      </c>
      <c r="F4883" s="3">
        <v>4881</v>
      </c>
      <c r="G4883" s="3">
        <v>4</v>
      </c>
      <c r="H4883" s="5">
        <v>1054299328.16</v>
      </c>
      <c r="I4883" s="5">
        <v>959097988.15999997</v>
      </c>
      <c r="J4883" s="5">
        <v>0</v>
      </c>
      <c r="K4883" s="5">
        <v>95201340</v>
      </c>
      <c r="L4883" s="5">
        <v>108050720</v>
      </c>
      <c r="M4883" s="5">
        <v>5143540</v>
      </c>
      <c r="N4883" s="5">
        <v>28305810</v>
      </c>
    </row>
    <row r="4884" spans="1:14" x14ac:dyDescent="0.25">
      <c r="A4884" s="3" t="s">
        <v>4895</v>
      </c>
      <c r="B4884" s="4">
        <v>189.26</v>
      </c>
      <c r="C4884" s="4">
        <v>0.1</v>
      </c>
      <c r="D4884" s="4">
        <v>0.01</v>
      </c>
      <c r="E4884" s="4">
        <v>-0.12726496439733281</v>
      </c>
      <c r="F4884" s="3">
        <v>4882</v>
      </c>
      <c r="G4884" s="3">
        <v>4</v>
      </c>
      <c r="H4884" s="5">
        <v>243705070.08000001</v>
      </c>
      <c r="I4884" s="5">
        <v>6454839070.0799999</v>
      </c>
      <c r="J4884" s="5">
        <v>6329796000</v>
      </c>
      <c r="K4884" s="5">
        <v>118662000</v>
      </c>
      <c r="L4884" s="5">
        <v>408495000</v>
      </c>
      <c r="M4884" s="5">
        <v>34105000</v>
      </c>
      <c r="N4884" s="5">
        <v>55737000</v>
      </c>
    </row>
    <row r="4885" spans="1:14" x14ac:dyDescent="0.25">
      <c r="A4885" s="3" t="s">
        <v>4896</v>
      </c>
      <c r="B4885" s="4">
        <v>190.06</v>
      </c>
      <c r="C4885" s="4">
        <v>0.17</v>
      </c>
      <c r="D4885" s="4">
        <v>0.15</v>
      </c>
      <c r="E4885" s="4">
        <v>-0.12753083923191269</v>
      </c>
      <c r="F4885" s="3">
        <v>4883</v>
      </c>
      <c r="G4885" s="3">
        <v>4</v>
      </c>
      <c r="H4885" s="5">
        <v>211740729227.07999</v>
      </c>
      <c r="I4885" s="5">
        <v>211160729227.07999</v>
      </c>
      <c r="J4885" s="5">
        <v>918000000</v>
      </c>
      <c r="K4885" s="5">
        <v>1498000000</v>
      </c>
      <c r="L4885" s="5">
        <v>8880000000</v>
      </c>
      <c r="M4885" s="5">
        <v>1111000000</v>
      </c>
      <c r="N4885" s="5">
        <v>2019000000</v>
      </c>
    </row>
    <row r="4886" spans="1:14" x14ac:dyDescent="0.25">
      <c r="A4886" s="3" t="s">
        <v>4897</v>
      </c>
      <c r="B4886" s="4">
        <v>189.96</v>
      </c>
      <c r="C4886" s="4">
        <v>0.01</v>
      </c>
      <c r="D4886" s="4">
        <v>0.01</v>
      </c>
      <c r="E4886" s="4">
        <v>-0.12795825125925839</v>
      </c>
      <c r="F4886" s="3">
        <v>4884</v>
      </c>
      <c r="G4886" s="3">
        <v>4</v>
      </c>
      <c r="H4886" s="5">
        <v>22748660000</v>
      </c>
      <c r="I4886" s="5">
        <v>21845660000</v>
      </c>
      <c r="J4886" s="5">
        <v>0</v>
      </c>
      <c r="K4886" s="5">
        <v>903000000</v>
      </c>
      <c r="L4886" s="5">
        <v>4960000000</v>
      </c>
      <c r="M4886" s="5">
        <v>115000000</v>
      </c>
      <c r="N4886" s="5">
        <v>19000000</v>
      </c>
    </row>
    <row r="4887" spans="1:14" x14ac:dyDescent="0.25">
      <c r="A4887" s="3" t="s">
        <v>4898</v>
      </c>
      <c r="B4887" s="4">
        <v>-1.33</v>
      </c>
      <c r="C4887" s="4">
        <v>0.96</v>
      </c>
      <c r="D4887" s="4">
        <v>-648.53</v>
      </c>
      <c r="E4887" s="4">
        <v>-0.13192513247105589</v>
      </c>
      <c r="F4887" s="3">
        <v>4885</v>
      </c>
      <c r="G4887" s="3">
        <v>4</v>
      </c>
      <c r="H4887" s="5">
        <v>91.899831000000006</v>
      </c>
      <c r="I4887" s="5">
        <v>1690481.899831</v>
      </c>
      <c r="J4887" s="5">
        <v>1700700</v>
      </c>
      <c r="K4887" s="5">
        <v>10310</v>
      </c>
      <c r="L4887" s="5">
        <v>82610</v>
      </c>
      <c r="M4887" s="5">
        <v>-1274460</v>
      </c>
      <c r="N4887" s="5">
        <v>-20415750</v>
      </c>
    </row>
    <row r="4888" spans="1:14" x14ac:dyDescent="0.25">
      <c r="A4888" s="3" t="s">
        <v>4899</v>
      </c>
      <c r="B4888" s="4">
        <v>7.88</v>
      </c>
      <c r="C4888" s="4">
        <v>-40.75</v>
      </c>
      <c r="D4888" s="4">
        <v>-0.25</v>
      </c>
      <c r="E4888" s="4">
        <v>-0.1330856908088181</v>
      </c>
      <c r="F4888" s="3">
        <v>4886</v>
      </c>
      <c r="G4888" s="3">
        <v>4</v>
      </c>
      <c r="H4888" s="5">
        <v>2084090.0379999999</v>
      </c>
      <c r="I4888" s="5">
        <v>609688090.03799999</v>
      </c>
      <c r="J4888" s="5">
        <v>671440000</v>
      </c>
      <c r="K4888" s="5">
        <v>63836000</v>
      </c>
      <c r="L4888" s="5">
        <v>827076000</v>
      </c>
      <c r="M4888" s="5">
        <v>77417000</v>
      </c>
      <c r="N4888" s="5">
        <v>-283254000</v>
      </c>
    </row>
    <row r="4889" spans="1:14" x14ac:dyDescent="0.25">
      <c r="A4889" s="3" t="s">
        <v>4900</v>
      </c>
      <c r="B4889" s="4">
        <v>199.69</v>
      </c>
      <c r="C4889" s="4">
        <v>0.2</v>
      </c>
      <c r="D4889" s="4">
        <v>0.01</v>
      </c>
      <c r="E4889" s="4">
        <v>-0.13343136986924001</v>
      </c>
      <c r="F4889" s="3">
        <v>4887</v>
      </c>
      <c r="G4889" s="3">
        <v>4</v>
      </c>
      <c r="H4889" s="5">
        <v>5872375000</v>
      </c>
      <c r="I4889" s="5">
        <v>5846546270</v>
      </c>
      <c r="J4889" s="5">
        <v>20770910</v>
      </c>
      <c r="K4889" s="5">
        <v>46599640</v>
      </c>
      <c r="L4889" s="5">
        <v>75223860</v>
      </c>
      <c r="M4889" s="5">
        <v>29277910</v>
      </c>
      <c r="N4889" s="5">
        <v>9399810</v>
      </c>
    </row>
    <row r="4890" spans="1:14" x14ac:dyDescent="0.25">
      <c r="A4890" s="3" t="s">
        <v>4901</v>
      </c>
      <c r="B4890" s="4">
        <v>-1.25</v>
      </c>
      <c r="C4890" s="4">
        <v>-42.72</v>
      </c>
      <c r="D4890" s="4">
        <v>-2.08</v>
      </c>
      <c r="E4890" s="4">
        <v>-0.13347999845291819</v>
      </c>
      <c r="F4890" s="3">
        <v>4888</v>
      </c>
      <c r="G4890" s="3">
        <v>4</v>
      </c>
      <c r="H4890" s="5">
        <v>8914833.9670000002</v>
      </c>
      <c r="I4890" s="5">
        <v>10367903.967</v>
      </c>
      <c r="J4890" s="5">
        <v>2551170</v>
      </c>
      <c r="K4890" s="5">
        <v>1098100</v>
      </c>
      <c r="L4890" s="5">
        <v>4350</v>
      </c>
      <c r="M4890" s="5">
        <v>-8314970</v>
      </c>
      <c r="N4890" s="5">
        <v>-8765230</v>
      </c>
    </row>
    <row r="4891" spans="1:14" x14ac:dyDescent="0.25">
      <c r="A4891" s="3" t="s">
        <v>4902</v>
      </c>
      <c r="B4891" s="4">
        <v>200.08</v>
      </c>
      <c r="C4891" s="4">
        <v>0</v>
      </c>
      <c r="D4891" s="4">
        <v>0</v>
      </c>
      <c r="E4891" s="4">
        <v>-0.1342525500582927</v>
      </c>
      <c r="F4891" s="3">
        <v>4889</v>
      </c>
      <c r="G4891" s="3">
        <v>4</v>
      </c>
      <c r="H4891" s="5">
        <v>37943183.240000002</v>
      </c>
      <c r="I4891" s="5">
        <v>296516183.24000001</v>
      </c>
      <c r="J4891" s="5">
        <v>373782000</v>
      </c>
      <c r="K4891" s="5">
        <v>115209000</v>
      </c>
      <c r="L4891" s="5">
        <v>50214000</v>
      </c>
      <c r="M4891" s="5">
        <v>1482000</v>
      </c>
      <c r="N4891" s="5">
        <v>32000</v>
      </c>
    </row>
    <row r="4892" spans="1:14" x14ac:dyDescent="0.25">
      <c r="A4892" s="3" t="s">
        <v>4903</v>
      </c>
      <c r="B4892" s="4">
        <v>109.45</v>
      </c>
      <c r="C4892" s="4">
        <v>-19.91</v>
      </c>
      <c r="D4892" s="4">
        <v>-0.65</v>
      </c>
      <c r="E4892" s="4">
        <v>-0.13581233711900351</v>
      </c>
      <c r="F4892" s="3">
        <v>4890</v>
      </c>
      <c r="G4892" s="3">
        <v>4</v>
      </c>
      <c r="H4892" s="5">
        <v>397.95860299999998</v>
      </c>
      <c r="I4892" s="5">
        <v>517362397.95860302</v>
      </c>
      <c r="J4892" s="5">
        <v>565572000</v>
      </c>
      <c r="K4892" s="5">
        <v>48210000</v>
      </c>
      <c r="L4892" s="5">
        <v>136029000</v>
      </c>
      <c r="M4892" s="5">
        <v>4727000</v>
      </c>
      <c r="N4892" s="5">
        <v>-424264000</v>
      </c>
    </row>
    <row r="4893" spans="1:14" x14ac:dyDescent="0.25">
      <c r="A4893" s="3" t="s">
        <v>4904</v>
      </c>
      <c r="B4893" s="4">
        <v>209.11</v>
      </c>
      <c r="C4893" s="4">
        <v>0.09</v>
      </c>
      <c r="D4893" s="4">
        <v>0</v>
      </c>
      <c r="E4893" s="4">
        <v>-0.13958136033962351</v>
      </c>
      <c r="F4893" s="3">
        <v>4891</v>
      </c>
      <c r="G4893" s="3">
        <v>4</v>
      </c>
      <c r="H4893" s="5">
        <v>269684357.25</v>
      </c>
      <c r="I4893" s="5">
        <v>671369887.25</v>
      </c>
      <c r="J4893" s="5">
        <v>407612190</v>
      </c>
      <c r="K4893" s="5">
        <v>5926660</v>
      </c>
      <c r="L4893" s="5">
        <v>47454990</v>
      </c>
      <c r="M4893" s="5">
        <v>3210590</v>
      </c>
      <c r="N4893" s="5">
        <v>4393470</v>
      </c>
    </row>
    <row r="4894" spans="1:14" x14ac:dyDescent="0.25">
      <c r="A4894" s="3" t="s">
        <v>4905</v>
      </c>
      <c r="B4894" s="4">
        <v>223.08</v>
      </c>
      <c r="C4894" s="4">
        <v>2.41</v>
      </c>
      <c r="D4894" s="4">
        <v>0.09</v>
      </c>
      <c r="E4894" s="4">
        <v>-0.1415070026318889</v>
      </c>
      <c r="F4894" s="3">
        <v>4892</v>
      </c>
      <c r="G4894" s="3">
        <v>4</v>
      </c>
      <c r="H4894" s="5">
        <v>612844732.5</v>
      </c>
      <c r="I4894" s="5">
        <v>842581732.5</v>
      </c>
      <c r="J4894" s="5">
        <v>257598000</v>
      </c>
      <c r="K4894" s="5">
        <v>27861000</v>
      </c>
      <c r="L4894" s="5">
        <v>22814000</v>
      </c>
      <c r="M4894" s="5">
        <v>3777000</v>
      </c>
      <c r="N4894" s="5">
        <v>44443000</v>
      </c>
    </row>
    <row r="4895" spans="1:14" x14ac:dyDescent="0.25">
      <c r="A4895" s="3" t="s">
        <v>4906</v>
      </c>
      <c r="B4895" s="4">
        <v>211.71</v>
      </c>
      <c r="C4895" s="4">
        <v>-0.1</v>
      </c>
      <c r="D4895" s="4">
        <v>-0.04</v>
      </c>
      <c r="E4895" s="4">
        <v>-0.14174724846044839</v>
      </c>
      <c r="F4895" s="3">
        <v>4893</v>
      </c>
      <c r="G4895" s="3">
        <v>4</v>
      </c>
      <c r="H4895" s="5">
        <v>1714572970.1099999</v>
      </c>
      <c r="I4895" s="5">
        <v>1859406970.1099999</v>
      </c>
      <c r="J4895" s="5">
        <v>369514000</v>
      </c>
      <c r="K4895" s="5">
        <v>224680000</v>
      </c>
      <c r="L4895" s="5">
        <v>627399000</v>
      </c>
      <c r="M4895" s="5">
        <v>8783000</v>
      </c>
      <c r="N4895" s="5">
        <v>-68455000</v>
      </c>
    </row>
    <row r="4896" spans="1:14" x14ac:dyDescent="0.25">
      <c r="A4896" s="3" t="s">
        <v>4907</v>
      </c>
      <c r="B4896" s="4">
        <v>215.65</v>
      </c>
      <c r="C4896" s="4">
        <v>0.18</v>
      </c>
      <c r="D4896" s="4">
        <v>0</v>
      </c>
      <c r="E4896" s="4">
        <v>-0.14336905840238201</v>
      </c>
      <c r="F4896" s="3">
        <v>4894</v>
      </c>
      <c r="G4896" s="3">
        <v>4</v>
      </c>
      <c r="H4896" s="5">
        <v>12958999874.73</v>
      </c>
      <c r="I4896" s="5">
        <v>4202202999874.73</v>
      </c>
      <c r="J4896" s="5">
        <v>4228097000000</v>
      </c>
      <c r="K4896" s="5">
        <v>38853000000</v>
      </c>
      <c r="L4896" s="5">
        <v>150292000000</v>
      </c>
      <c r="M4896" s="5">
        <v>19486000000</v>
      </c>
      <c r="N4896" s="5">
        <v>16978000000</v>
      </c>
    </row>
    <row r="4897" spans="1:14" x14ac:dyDescent="0.25">
      <c r="A4897" s="3" t="s">
        <v>4908</v>
      </c>
      <c r="B4897" s="4">
        <v>216.43</v>
      </c>
      <c r="C4897" s="4">
        <v>-0.01</v>
      </c>
      <c r="D4897" s="4">
        <v>-0.01</v>
      </c>
      <c r="E4897" s="4">
        <v>-0.14440272400660631</v>
      </c>
      <c r="F4897" s="3">
        <v>4895</v>
      </c>
      <c r="G4897" s="3">
        <v>4</v>
      </c>
      <c r="H4897" s="5">
        <v>9.0173100000000002</v>
      </c>
      <c r="I4897" s="5">
        <v>-502540990.98268998</v>
      </c>
      <c r="J4897" s="5">
        <v>0</v>
      </c>
      <c r="K4897" s="5">
        <v>502541000</v>
      </c>
      <c r="L4897" s="5">
        <v>0</v>
      </c>
      <c r="M4897" s="5">
        <v>-2322000</v>
      </c>
      <c r="N4897" s="5">
        <v>-6648000</v>
      </c>
    </row>
    <row r="4898" spans="1:14" x14ac:dyDescent="0.25">
      <c r="A4898" s="3" t="s">
        <v>4909</v>
      </c>
      <c r="B4898" s="4">
        <v>216.82</v>
      </c>
      <c r="C4898" s="4">
        <v>0.02</v>
      </c>
      <c r="D4898" s="4">
        <v>0.01</v>
      </c>
      <c r="E4898" s="4">
        <v>-0.14455356415459389</v>
      </c>
      <c r="F4898" s="3">
        <v>4896</v>
      </c>
      <c r="G4898" s="3">
        <v>4</v>
      </c>
      <c r="H4898" s="5">
        <v>16504905322.5</v>
      </c>
      <c r="I4898" s="5">
        <v>18906905322.5</v>
      </c>
      <c r="J4898" s="5">
        <v>2573200000</v>
      </c>
      <c r="K4898" s="5">
        <v>171200000</v>
      </c>
      <c r="L4898" s="5">
        <v>1645000000</v>
      </c>
      <c r="M4898" s="5">
        <v>87200000</v>
      </c>
      <c r="N4898" s="5">
        <v>25900000</v>
      </c>
    </row>
    <row r="4899" spans="1:14" x14ac:dyDescent="0.25">
      <c r="A4899" s="3" t="s">
        <v>4910</v>
      </c>
      <c r="B4899" s="4">
        <v>-6.21</v>
      </c>
      <c r="C4899" s="4">
        <v>-47.8</v>
      </c>
      <c r="D4899" s="4">
        <v>-0.3</v>
      </c>
      <c r="E4899" s="4">
        <v>-0.14474473805971641</v>
      </c>
      <c r="F4899" s="3">
        <v>4897</v>
      </c>
      <c r="G4899" s="3">
        <v>4</v>
      </c>
      <c r="H4899" s="5">
        <v>4419458.5728000002</v>
      </c>
      <c r="I4899" s="5">
        <v>19262668.572799999</v>
      </c>
      <c r="J4899" s="5">
        <v>15812890</v>
      </c>
      <c r="K4899" s="5">
        <v>969680</v>
      </c>
      <c r="L4899" s="5">
        <v>18136880</v>
      </c>
      <c r="M4899" s="5">
        <v>-3100250</v>
      </c>
      <c r="N4899" s="5">
        <v>-7082260</v>
      </c>
    </row>
    <row r="4900" spans="1:14" x14ac:dyDescent="0.25">
      <c r="A4900" s="3" t="s">
        <v>4911</v>
      </c>
      <c r="B4900" s="4">
        <v>-44.35</v>
      </c>
      <c r="C4900" s="4">
        <v>0.66</v>
      </c>
      <c r="D4900" s="4">
        <v>-849.75</v>
      </c>
      <c r="E4900" s="4">
        <v>-0.14498185056523549</v>
      </c>
      <c r="F4900" s="3">
        <v>4898</v>
      </c>
      <c r="G4900" s="3">
        <v>4</v>
      </c>
      <c r="H4900" s="5">
        <v>3015054.5279999999</v>
      </c>
      <c r="I4900" s="5">
        <v>3014974.5279999999</v>
      </c>
      <c r="J4900" s="5">
        <v>0</v>
      </c>
      <c r="K4900" s="5">
        <v>80</v>
      </c>
      <c r="L4900" s="5">
        <v>0</v>
      </c>
      <c r="M4900" s="5">
        <v>-67980</v>
      </c>
      <c r="N4900" s="5">
        <v>-67980</v>
      </c>
    </row>
    <row r="4901" spans="1:14" x14ac:dyDescent="0.25">
      <c r="A4901" s="3" t="s">
        <v>4912</v>
      </c>
      <c r="B4901" s="4">
        <v>217.7</v>
      </c>
      <c r="C4901" s="4">
        <v>-0.11</v>
      </c>
      <c r="D4901" s="4">
        <v>-0.06</v>
      </c>
      <c r="E4901" s="4">
        <v>-0.14548733433316721</v>
      </c>
      <c r="F4901" s="3">
        <v>4899</v>
      </c>
      <c r="G4901" s="3">
        <v>4</v>
      </c>
      <c r="H4901" s="5">
        <v>3026314818.2399998</v>
      </c>
      <c r="I4901" s="5">
        <v>2735579818.2399998</v>
      </c>
      <c r="J4901" s="5">
        <v>0</v>
      </c>
      <c r="K4901" s="5">
        <v>290735000</v>
      </c>
      <c r="L4901" s="5">
        <v>330482000</v>
      </c>
      <c r="M4901" s="5">
        <v>12566000</v>
      </c>
      <c r="N4901" s="5">
        <v>-29090000</v>
      </c>
    </row>
    <row r="4902" spans="1:14" x14ac:dyDescent="0.25">
      <c r="A4902" s="3" t="s">
        <v>4913</v>
      </c>
      <c r="B4902" s="4">
        <v>0.26</v>
      </c>
      <c r="C4902" s="4">
        <v>-46.66</v>
      </c>
      <c r="D4902" s="4">
        <v>-0.9</v>
      </c>
      <c r="E4902" s="4">
        <v>-0.14557102454072759</v>
      </c>
      <c r="F4902" s="3">
        <v>4900</v>
      </c>
      <c r="G4902" s="3">
        <v>4</v>
      </c>
      <c r="H4902" s="5">
        <v>61244.051800000001</v>
      </c>
      <c r="I4902" s="5">
        <v>-716865.94819999998</v>
      </c>
      <c r="J4902" s="5">
        <v>69610</v>
      </c>
      <c r="K4902" s="5">
        <v>847720</v>
      </c>
      <c r="L4902" s="5">
        <v>0</v>
      </c>
      <c r="M4902" s="5">
        <v>-2786070</v>
      </c>
      <c r="N4902" s="5">
        <v>-2747950</v>
      </c>
    </row>
    <row r="4903" spans="1:14" x14ac:dyDescent="0.25">
      <c r="A4903" s="3" t="s">
        <v>4914</v>
      </c>
      <c r="B4903" s="4">
        <v>214.82</v>
      </c>
      <c r="C4903" s="4">
        <v>-1.33</v>
      </c>
      <c r="D4903" s="4">
        <v>-0.13</v>
      </c>
      <c r="E4903" s="4">
        <v>-0.14724336633421539</v>
      </c>
      <c r="F4903" s="3">
        <v>4901</v>
      </c>
      <c r="G4903" s="3">
        <v>4</v>
      </c>
      <c r="H4903" s="5">
        <v>461775276.77999997</v>
      </c>
      <c r="I4903" s="5">
        <v>36734775276.779999</v>
      </c>
      <c r="J4903" s="5">
        <v>44857000000</v>
      </c>
      <c r="K4903" s="5">
        <v>8584000000</v>
      </c>
      <c r="L4903" s="5">
        <v>383330000000</v>
      </c>
      <c r="M4903" s="5">
        <v>171000000</v>
      </c>
      <c r="N4903" s="5">
        <v>-14350000000</v>
      </c>
    </row>
    <row r="4904" spans="1:14" x14ac:dyDescent="0.25">
      <c r="A4904" s="3" t="s">
        <v>4915</v>
      </c>
      <c r="B4904" s="4">
        <v>221.56</v>
      </c>
      <c r="C4904" s="4">
        <v>-0.21</v>
      </c>
      <c r="D4904" s="4">
        <v>-0.01</v>
      </c>
      <c r="E4904" s="4">
        <v>-0.1481556586694962</v>
      </c>
      <c r="F4904" s="3">
        <v>4902</v>
      </c>
      <c r="G4904" s="3">
        <v>4</v>
      </c>
      <c r="H4904" s="5">
        <v>462512531.94999999</v>
      </c>
      <c r="I4904" s="5">
        <v>495175531.94999999</v>
      </c>
      <c r="J4904" s="5">
        <v>95512000</v>
      </c>
      <c r="K4904" s="5">
        <v>62849000</v>
      </c>
      <c r="L4904" s="5">
        <v>1759484000</v>
      </c>
      <c r="M4904" s="5">
        <v>2235000</v>
      </c>
      <c r="N4904" s="5">
        <v>-3973000</v>
      </c>
    </row>
    <row r="4905" spans="1:14" x14ac:dyDescent="0.25">
      <c r="A4905" s="3" t="s">
        <v>4916</v>
      </c>
      <c r="B4905" s="4">
        <v>231.76</v>
      </c>
      <c r="C4905" s="4">
        <v>-0.09</v>
      </c>
      <c r="D4905" s="4">
        <v>-0.05</v>
      </c>
      <c r="E4905" s="4">
        <v>-0.15412964130265169</v>
      </c>
      <c r="F4905" s="3">
        <v>4903</v>
      </c>
      <c r="G4905" s="3">
        <v>4</v>
      </c>
      <c r="H4905" s="5">
        <v>1349514764.4300001</v>
      </c>
      <c r="I4905" s="5">
        <v>1523614764.4300001</v>
      </c>
      <c r="J4905" s="5">
        <v>541112000</v>
      </c>
      <c r="K4905" s="5">
        <v>367012000</v>
      </c>
      <c r="L4905" s="5">
        <v>660566000</v>
      </c>
      <c r="M4905" s="5">
        <v>6574000</v>
      </c>
      <c r="N4905" s="5">
        <v>-78726000</v>
      </c>
    </row>
    <row r="4906" spans="1:14" x14ac:dyDescent="0.25">
      <c r="A4906" s="3" t="s">
        <v>4917</v>
      </c>
      <c r="B4906" s="4">
        <v>234.91</v>
      </c>
      <c r="C4906" s="4">
        <v>0</v>
      </c>
      <c r="D4906" s="4">
        <v>-0.04</v>
      </c>
      <c r="E4906" s="4">
        <v>-0.15581726960752351</v>
      </c>
      <c r="F4906" s="3">
        <v>4904</v>
      </c>
      <c r="G4906" s="3">
        <v>4</v>
      </c>
      <c r="H4906" s="5">
        <v>41123.971899999997</v>
      </c>
      <c r="I4906" s="5">
        <v>11569423.971899999</v>
      </c>
      <c r="J4906" s="5">
        <v>11921000</v>
      </c>
      <c r="K4906" s="5">
        <v>392700</v>
      </c>
      <c r="L4906" s="5">
        <v>359380</v>
      </c>
      <c r="M4906" s="5">
        <v>49250</v>
      </c>
      <c r="N4906" s="5">
        <v>-33760</v>
      </c>
    </row>
    <row r="4907" spans="1:14" x14ac:dyDescent="0.25">
      <c r="A4907" s="3" t="s">
        <v>4918</v>
      </c>
      <c r="B4907" s="4">
        <v>238.07</v>
      </c>
      <c r="C4907" s="4">
        <v>0.03</v>
      </c>
      <c r="D4907" s="4">
        <v>0.02</v>
      </c>
      <c r="E4907" s="4">
        <v>-0.15767480362729161</v>
      </c>
      <c r="F4907" s="3">
        <v>4905</v>
      </c>
      <c r="G4907" s="3">
        <v>4</v>
      </c>
      <c r="H4907" s="5">
        <v>9858470266.8999996</v>
      </c>
      <c r="I4907" s="5">
        <v>5118470266.8999996</v>
      </c>
      <c r="J4907" s="5">
        <v>16900000</v>
      </c>
      <c r="K4907" s="5">
        <v>4756900000</v>
      </c>
      <c r="L4907" s="5">
        <v>3823000000</v>
      </c>
      <c r="M4907" s="5">
        <v>21500000</v>
      </c>
      <c r="N4907" s="5">
        <v>131300000</v>
      </c>
    </row>
    <row r="4908" spans="1:14" x14ac:dyDescent="0.25">
      <c r="A4908" s="3" t="s">
        <v>4919</v>
      </c>
      <c r="B4908" s="4">
        <v>240.8</v>
      </c>
      <c r="C4908" s="4">
        <v>0.2</v>
      </c>
      <c r="D4908" s="4">
        <v>0.14000000000000001</v>
      </c>
      <c r="E4908" s="4">
        <v>-0.1588501171444178</v>
      </c>
      <c r="F4908" s="3">
        <v>4906</v>
      </c>
      <c r="G4908" s="3">
        <v>4</v>
      </c>
      <c r="H4908" s="5">
        <v>267300881.12</v>
      </c>
      <c r="I4908" s="5">
        <v>372280881.12</v>
      </c>
      <c r="J4908" s="5">
        <v>105000000</v>
      </c>
      <c r="K4908" s="5">
        <v>20000</v>
      </c>
      <c r="L4908" s="5">
        <v>10131000</v>
      </c>
      <c r="M4908" s="5">
        <v>1546000</v>
      </c>
      <c r="N4908" s="5">
        <v>47891000</v>
      </c>
    </row>
    <row r="4909" spans="1:14" x14ac:dyDescent="0.25">
      <c r="A4909" s="3" t="s">
        <v>4920</v>
      </c>
      <c r="B4909" s="4">
        <v>243.41</v>
      </c>
      <c r="C4909" s="4">
        <v>-0.42</v>
      </c>
      <c r="D4909" s="4">
        <v>-0.05</v>
      </c>
      <c r="E4909" s="4">
        <v>-0.16229355497122411</v>
      </c>
      <c r="F4909" s="3">
        <v>4907</v>
      </c>
      <c r="G4909" s="3">
        <v>4</v>
      </c>
      <c r="H4909" s="5">
        <v>733251303.36000001</v>
      </c>
      <c r="I4909" s="5">
        <v>669382303.36000001</v>
      </c>
      <c r="J4909" s="5">
        <v>0</v>
      </c>
      <c r="K4909" s="5">
        <v>63869000</v>
      </c>
      <c r="L4909" s="5">
        <v>249913000</v>
      </c>
      <c r="M4909" s="5">
        <v>2750000</v>
      </c>
      <c r="N4909" s="5">
        <v>-11457000</v>
      </c>
    </row>
    <row r="4910" spans="1:14" x14ac:dyDescent="0.25">
      <c r="A4910" s="3" t="s">
        <v>4921</v>
      </c>
      <c r="B4910" s="4">
        <v>245.34</v>
      </c>
      <c r="C4910" s="4">
        <v>-0.06</v>
      </c>
      <c r="D4910" s="4">
        <v>-0.04</v>
      </c>
      <c r="E4910" s="4">
        <v>-0.16244597279166201</v>
      </c>
      <c r="F4910" s="3">
        <v>4908</v>
      </c>
      <c r="G4910" s="3">
        <v>4</v>
      </c>
      <c r="H4910" s="5">
        <v>10999113369.92</v>
      </c>
      <c r="I4910" s="5">
        <v>11902287369.92</v>
      </c>
      <c r="J4910" s="5">
        <v>1024467000</v>
      </c>
      <c r="K4910" s="5">
        <v>121293000</v>
      </c>
      <c r="L4910" s="5">
        <v>861611000</v>
      </c>
      <c r="M4910" s="5">
        <v>48514000</v>
      </c>
      <c r="N4910" s="5">
        <v>-315830000</v>
      </c>
    </row>
    <row r="4911" spans="1:14" x14ac:dyDescent="0.25">
      <c r="A4911" s="3" t="s">
        <v>4922</v>
      </c>
      <c r="B4911" s="4">
        <v>-1.73</v>
      </c>
      <c r="C4911" s="4">
        <v>0.54</v>
      </c>
      <c r="D4911" s="4">
        <v>-803.32</v>
      </c>
      <c r="E4911" s="4">
        <v>-0.1627504981309934</v>
      </c>
      <c r="F4911" s="3">
        <v>4909</v>
      </c>
      <c r="G4911" s="3">
        <v>4</v>
      </c>
      <c r="H4911" s="5">
        <v>221535.2052</v>
      </c>
      <c r="I4911" s="5">
        <v>1382055.2052</v>
      </c>
      <c r="J4911" s="5">
        <v>1160520</v>
      </c>
      <c r="K4911" s="5">
        <v>0</v>
      </c>
      <c r="L4911" s="5">
        <v>0</v>
      </c>
      <c r="M4911" s="5">
        <v>-798090</v>
      </c>
      <c r="N4911" s="5">
        <v>-1285310</v>
      </c>
    </row>
    <row r="4912" spans="1:14" x14ac:dyDescent="0.25">
      <c r="A4912" s="3" t="s">
        <v>4923</v>
      </c>
      <c r="B4912" s="4">
        <v>-2.09</v>
      </c>
      <c r="C4912" s="4">
        <v>0.31</v>
      </c>
      <c r="D4912" s="4">
        <v>-805.4</v>
      </c>
      <c r="E4912" s="4">
        <v>-0.16359347721535231</v>
      </c>
      <c r="F4912" s="3">
        <v>4910</v>
      </c>
      <c r="G4912" s="3">
        <v>4</v>
      </c>
      <c r="H4912" s="5">
        <v>1018.32</v>
      </c>
      <c r="I4912" s="5">
        <v>81188.320000000007</v>
      </c>
      <c r="J4912" s="5">
        <v>80220</v>
      </c>
      <c r="K4912" s="5">
        <v>50</v>
      </c>
      <c r="L4912" s="5">
        <v>0</v>
      </c>
      <c r="M4912" s="5">
        <v>-38830</v>
      </c>
      <c r="N4912" s="5">
        <v>-40270</v>
      </c>
    </row>
    <row r="4913" spans="1:14" x14ac:dyDescent="0.25">
      <c r="A4913" s="3" t="s">
        <v>4924</v>
      </c>
      <c r="B4913" s="4">
        <v>248.91</v>
      </c>
      <c r="C4913" s="4">
        <v>0.03</v>
      </c>
      <c r="D4913" s="4">
        <v>-2.94</v>
      </c>
      <c r="E4913" s="4">
        <v>-0.16495489446986519</v>
      </c>
      <c r="F4913" s="3">
        <v>4911</v>
      </c>
      <c r="G4913" s="3">
        <v>4</v>
      </c>
      <c r="H4913" s="5">
        <v>1104626.034</v>
      </c>
      <c r="I4913" s="5">
        <v>1159916.034</v>
      </c>
      <c r="J4913" s="5">
        <v>60020</v>
      </c>
      <c r="K4913" s="5">
        <v>4730</v>
      </c>
      <c r="L4913" s="5">
        <v>13250</v>
      </c>
      <c r="M4913" s="5">
        <v>4660</v>
      </c>
      <c r="N4913" s="5">
        <v>-21240</v>
      </c>
    </row>
    <row r="4914" spans="1:14" x14ac:dyDescent="0.25">
      <c r="A4914" s="3" t="s">
        <v>4925</v>
      </c>
      <c r="B4914" s="4">
        <v>264.16000000000003</v>
      </c>
      <c r="C4914" s="4">
        <v>0.17</v>
      </c>
      <c r="D4914" s="4">
        <v>0.02</v>
      </c>
      <c r="E4914" s="4">
        <v>-0.17341793079276421</v>
      </c>
      <c r="F4914" s="3">
        <v>4912</v>
      </c>
      <c r="G4914" s="3">
        <v>4</v>
      </c>
      <c r="H4914" s="5">
        <v>484.0394</v>
      </c>
      <c r="I4914" s="5">
        <v>82961484.039399996</v>
      </c>
      <c r="J4914" s="5">
        <v>85965930</v>
      </c>
      <c r="K4914" s="5">
        <v>3004930</v>
      </c>
      <c r="L4914" s="5">
        <v>467060770</v>
      </c>
      <c r="M4914" s="5">
        <v>314060</v>
      </c>
      <c r="N4914" s="5">
        <v>3983660</v>
      </c>
    </row>
    <row r="4915" spans="1:14" x14ac:dyDescent="0.25">
      <c r="A4915" s="3" t="s">
        <v>4926</v>
      </c>
      <c r="B4915" s="4">
        <v>266.25</v>
      </c>
      <c r="C4915" s="4">
        <v>-0.22</v>
      </c>
      <c r="D4915" s="4">
        <v>-7.0000000000000007E-2</v>
      </c>
      <c r="E4915" s="4">
        <v>-0.17585568669621479</v>
      </c>
      <c r="F4915" s="3">
        <v>4913</v>
      </c>
      <c r="G4915" s="3">
        <v>4</v>
      </c>
      <c r="H4915" s="5">
        <v>403456365.42000002</v>
      </c>
      <c r="I4915" s="5">
        <v>900445365.42000008</v>
      </c>
      <c r="J4915" s="5">
        <v>523140000</v>
      </c>
      <c r="K4915" s="5">
        <v>26151000</v>
      </c>
      <c r="L4915" s="5">
        <v>850726000</v>
      </c>
      <c r="M4915" s="5">
        <v>3382000</v>
      </c>
      <c r="N4915" s="5">
        <v>-80298000</v>
      </c>
    </row>
    <row r="4916" spans="1:14" x14ac:dyDescent="0.25">
      <c r="A4916" s="3" t="s">
        <v>4927</v>
      </c>
      <c r="B4916" s="4">
        <v>279.56</v>
      </c>
      <c r="C4916" s="4">
        <v>0.05</v>
      </c>
      <c r="D4916" s="4">
        <v>0.03</v>
      </c>
      <c r="E4916" s="4">
        <v>-0.1832941018238595</v>
      </c>
      <c r="F4916" s="3">
        <v>4914</v>
      </c>
      <c r="G4916" s="3">
        <v>4</v>
      </c>
      <c r="H4916" s="5">
        <v>18722860616.459999</v>
      </c>
      <c r="I4916" s="5">
        <v>18699526616.459999</v>
      </c>
      <c r="J4916" s="5">
        <v>674568000</v>
      </c>
      <c r="K4916" s="5">
        <v>697902000</v>
      </c>
      <c r="L4916" s="5">
        <v>1202459000</v>
      </c>
      <c r="M4916" s="5">
        <v>66889000</v>
      </c>
      <c r="N4916" s="5">
        <v>69804000</v>
      </c>
    </row>
    <row r="4917" spans="1:14" x14ac:dyDescent="0.25">
      <c r="A4917" s="3" t="s">
        <v>4928</v>
      </c>
      <c r="B4917" s="4">
        <v>287.75</v>
      </c>
      <c r="C4917" s="4">
        <v>0.96</v>
      </c>
      <c r="D4917" s="4">
        <v>0.41</v>
      </c>
      <c r="E4917" s="4">
        <v>-0.185660440041505</v>
      </c>
      <c r="F4917" s="3">
        <v>4915</v>
      </c>
      <c r="G4917" s="3">
        <v>4</v>
      </c>
      <c r="H4917" s="5">
        <v>298898000</v>
      </c>
      <c r="I4917" s="5">
        <v>297456980</v>
      </c>
      <c r="J4917" s="5">
        <v>0</v>
      </c>
      <c r="K4917" s="5">
        <v>1441020</v>
      </c>
      <c r="L4917" s="5">
        <v>2525910</v>
      </c>
      <c r="M4917" s="5">
        <v>1033730</v>
      </c>
      <c r="N4917" s="5">
        <v>852500</v>
      </c>
    </row>
    <row r="4918" spans="1:14" x14ac:dyDescent="0.25">
      <c r="A4918" s="3" t="s">
        <v>4929</v>
      </c>
      <c r="B4918" s="4">
        <v>-9.35</v>
      </c>
      <c r="C4918" s="4">
        <v>0.33</v>
      </c>
      <c r="D4918" s="4">
        <v>-964.33</v>
      </c>
      <c r="E4918" s="4">
        <v>-0.18970034606154601</v>
      </c>
      <c r="F4918" s="3">
        <v>4916</v>
      </c>
      <c r="G4918" s="3">
        <v>4</v>
      </c>
      <c r="H4918" s="5">
        <v>1499.6610000000001</v>
      </c>
      <c r="I4918" s="5">
        <v>702689.66099999996</v>
      </c>
      <c r="J4918" s="5">
        <v>701680</v>
      </c>
      <c r="K4918" s="5">
        <v>490</v>
      </c>
      <c r="L4918" s="5">
        <v>0</v>
      </c>
      <c r="M4918" s="5">
        <v>-75130</v>
      </c>
      <c r="N4918" s="5">
        <v>-472520</v>
      </c>
    </row>
    <row r="4919" spans="1:14" x14ac:dyDescent="0.25">
      <c r="A4919" s="3" t="s">
        <v>4930</v>
      </c>
      <c r="B4919" s="4">
        <v>295.24</v>
      </c>
      <c r="C4919" s="4">
        <v>0.08</v>
      </c>
      <c r="D4919" s="4">
        <v>-0.02</v>
      </c>
      <c r="E4919" s="4">
        <v>-0.19292174066872109</v>
      </c>
      <c r="F4919" s="3">
        <v>4917</v>
      </c>
      <c r="G4919" s="3">
        <v>4</v>
      </c>
      <c r="H4919" s="5">
        <v>5175659633.8400002</v>
      </c>
      <c r="I4919" s="5">
        <v>5322042633.8400002</v>
      </c>
      <c r="J4919" s="5">
        <v>291000000</v>
      </c>
      <c r="K4919" s="5">
        <v>144617000</v>
      </c>
      <c r="L4919" s="5">
        <v>1039220000</v>
      </c>
      <c r="M4919" s="5">
        <v>18026000</v>
      </c>
      <c r="N4919" s="5">
        <v>-22438000</v>
      </c>
    </row>
    <row r="4920" spans="1:14" x14ac:dyDescent="0.25">
      <c r="A4920" s="3" t="s">
        <v>4931</v>
      </c>
      <c r="B4920" s="4">
        <v>300.66000000000003</v>
      </c>
      <c r="C4920" s="4">
        <v>0.09</v>
      </c>
      <c r="D4920" s="4">
        <v>0.03</v>
      </c>
      <c r="E4920" s="4">
        <v>-0.19623775141663499</v>
      </c>
      <c r="F4920" s="3">
        <v>4918</v>
      </c>
      <c r="G4920" s="3">
        <v>4</v>
      </c>
      <c r="H4920" s="5">
        <v>3585845138.5999999</v>
      </c>
      <c r="I4920" s="5">
        <v>7855618138.6000004</v>
      </c>
      <c r="J4920" s="5">
        <v>4399531000</v>
      </c>
      <c r="K4920" s="5">
        <v>129758000</v>
      </c>
      <c r="L4920" s="5">
        <v>383595000</v>
      </c>
      <c r="M4920" s="5">
        <v>26128000</v>
      </c>
      <c r="N4920" s="5">
        <v>200037000</v>
      </c>
    </row>
    <row r="4921" spans="1:14" x14ac:dyDescent="0.25">
      <c r="A4921" s="3" t="s">
        <v>4932</v>
      </c>
      <c r="B4921" s="4">
        <v>301.45</v>
      </c>
      <c r="C4921" s="4">
        <v>0.08</v>
      </c>
      <c r="D4921" s="4">
        <v>0.01</v>
      </c>
      <c r="E4921" s="4">
        <v>-0.19675945032687359</v>
      </c>
      <c r="F4921" s="3">
        <v>4919</v>
      </c>
      <c r="G4921" s="3">
        <v>4</v>
      </c>
      <c r="H4921" s="5">
        <v>547699808.12</v>
      </c>
      <c r="I4921" s="5">
        <v>5368254808.1199999</v>
      </c>
      <c r="J4921" s="5">
        <v>4893958000</v>
      </c>
      <c r="K4921" s="5">
        <v>73403000</v>
      </c>
      <c r="L4921" s="5">
        <v>286546000</v>
      </c>
      <c r="M4921" s="5">
        <v>17808000</v>
      </c>
      <c r="N4921" s="5">
        <v>59882000</v>
      </c>
    </row>
    <row r="4922" spans="1:14" x14ac:dyDescent="0.25">
      <c r="A4922" s="3" t="s">
        <v>4933</v>
      </c>
      <c r="B4922" s="4">
        <v>300.82</v>
      </c>
      <c r="C4922" s="4">
        <v>-0.19</v>
      </c>
      <c r="D4922" s="4">
        <v>-0.12</v>
      </c>
      <c r="E4922" s="4">
        <v>-0.19717473510285571</v>
      </c>
      <c r="F4922" s="3">
        <v>4920</v>
      </c>
      <c r="G4922" s="3">
        <v>4</v>
      </c>
      <c r="H4922" s="5">
        <v>490690142.04000002</v>
      </c>
      <c r="I4922" s="5">
        <v>440997142.04000002</v>
      </c>
      <c r="J4922" s="5">
        <v>6200000</v>
      </c>
      <c r="K4922" s="5">
        <v>55893000</v>
      </c>
      <c r="L4922" s="5">
        <v>292498000</v>
      </c>
      <c r="M4922" s="5">
        <v>1466000</v>
      </c>
      <c r="N4922" s="5">
        <v>-33993000</v>
      </c>
    </row>
    <row r="4923" spans="1:14" x14ac:dyDescent="0.25">
      <c r="A4923" s="3" t="s">
        <v>4934</v>
      </c>
      <c r="B4923" s="4">
        <v>310.95</v>
      </c>
      <c r="C4923" s="4">
        <v>0.03</v>
      </c>
      <c r="D4923" s="4">
        <v>0</v>
      </c>
      <c r="E4923" s="4">
        <v>-0.20278559280074701</v>
      </c>
      <c r="F4923" s="3">
        <v>4921</v>
      </c>
      <c r="G4923" s="3">
        <v>4</v>
      </c>
      <c r="H4923" s="5">
        <v>8161345440.4799995</v>
      </c>
      <c r="I4923" s="5">
        <v>8482692440.4799995</v>
      </c>
      <c r="J4923" s="5">
        <v>1080666000</v>
      </c>
      <c r="K4923" s="5">
        <v>759319000</v>
      </c>
      <c r="L4923" s="5">
        <v>5786016000</v>
      </c>
      <c r="M4923" s="5">
        <v>27280000</v>
      </c>
      <c r="N4923" s="5">
        <v>22784000</v>
      </c>
    </row>
    <row r="4924" spans="1:14" x14ac:dyDescent="0.25">
      <c r="A4924" s="3" t="s">
        <v>4935</v>
      </c>
      <c r="B4924" s="4">
        <v>317.32</v>
      </c>
      <c r="C4924" s="4">
        <v>-0.11</v>
      </c>
      <c r="D4924" s="4">
        <v>-0.04</v>
      </c>
      <c r="E4924" s="4">
        <v>-0.20714034343429771</v>
      </c>
      <c r="F4924" s="3">
        <v>4922</v>
      </c>
      <c r="G4924" s="3">
        <v>4</v>
      </c>
      <c r="H4924" s="5">
        <v>16429258.890000001</v>
      </c>
      <c r="I4924" s="5">
        <v>16180398.890000001</v>
      </c>
      <c r="J4924" s="5">
        <v>38570</v>
      </c>
      <c r="K4924" s="5">
        <v>287430</v>
      </c>
      <c r="L4924" s="5">
        <v>1371630</v>
      </c>
      <c r="M4924" s="5">
        <v>50990</v>
      </c>
      <c r="N4924" s="5">
        <v>-20700</v>
      </c>
    </row>
    <row r="4925" spans="1:14" x14ac:dyDescent="0.25">
      <c r="A4925" s="3" t="s">
        <v>4936</v>
      </c>
      <c r="B4925" s="4">
        <v>318.63</v>
      </c>
      <c r="C4925" s="4">
        <v>-0.1</v>
      </c>
      <c r="D4925" s="4">
        <v>-0.05</v>
      </c>
      <c r="E4925" s="4">
        <v>-0.207924164800178</v>
      </c>
      <c r="F4925" s="3">
        <v>4923</v>
      </c>
      <c r="G4925" s="3">
        <v>4</v>
      </c>
      <c r="H4925" s="5">
        <v>1078339116.8199999</v>
      </c>
      <c r="I4925" s="5">
        <v>1098320116.8199999</v>
      </c>
      <c r="J4925" s="5">
        <v>47535000</v>
      </c>
      <c r="K4925" s="5">
        <v>27554000</v>
      </c>
      <c r="L4925" s="5">
        <v>187338000</v>
      </c>
      <c r="M4925" s="5">
        <v>3447000</v>
      </c>
      <c r="N4925" s="5">
        <v>-9964000</v>
      </c>
    </row>
    <row r="4926" spans="1:14" x14ac:dyDescent="0.25">
      <c r="A4926" s="3" t="s">
        <v>4937</v>
      </c>
      <c r="B4926" s="4">
        <v>-221.18</v>
      </c>
      <c r="C4926" s="4">
        <v>0.28000000000000003</v>
      </c>
      <c r="D4926" s="4">
        <v>-1792.04</v>
      </c>
      <c r="E4926" s="4">
        <v>-0.21840632866216481</v>
      </c>
      <c r="F4926" s="3">
        <v>4924</v>
      </c>
      <c r="G4926" s="3">
        <v>4</v>
      </c>
      <c r="H4926" s="5">
        <v>113714272.84</v>
      </c>
      <c r="I4926" s="5">
        <v>115098482.84</v>
      </c>
      <c r="J4926" s="5">
        <v>1384210</v>
      </c>
      <c r="K4926" s="5">
        <v>0</v>
      </c>
      <c r="L4926" s="5">
        <v>0</v>
      </c>
      <c r="M4926" s="5">
        <v>-520380</v>
      </c>
      <c r="N4926" s="5">
        <v>-949780</v>
      </c>
    </row>
    <row r="4927" spans="1:14" x14ac:dyDescent="0.25">
      <c r="A4927" s="3" t="s">
        <v>4938</v>
      </c>
      <c r="B4927" s="4">
        <v>339.32</v>
      </c>
      <c r="C4927" s="4">
        <v>0.03</v>
      </c>
      <c r="D4927" s="4">
        <v>0.03</v>
      </c>
      <c r="E4927" s="4">
        <v>-0.22033858228362321</v>
      </c>
      <c r="F4927" s="3">
        <v>4925</v>
      </c>
      <c r="G4927" s="3">
        <v>4</v>
      </c>
      <c r="H4927" s="5">
        <v>143786963.80000001</v>
      </c>
      <c r="I4927" s="5">
        <v>143638133.80000001</v>
      </c>
      <c r="J4927" s="5">
        <v>0</v>
      </c>
      <c r="K4927" s="5">
        <v>148830</v>
      </c>
      <c r="L4927" s="5">
        <v>12518070</v>
      </c>
      <c r="M4927" s="5">
        <v>423310</v>
      </c>
      <c r="N4927" s="5">
        <v>274860</v>
      </c>
    </row>
    <row r="4928" spans="1:14" x14ac:dyDescent="0.25">
      <c r="A4928" s="3" t="s">
        <v>4939</v>
      </c>
      <c r="B4928" s="4">
        <v>339.9</v>
      </c>
      <c r="C4928" s="4">
        <v>0.05</v>
      </c>
      <c r="D4928" s="4">
        <v>0.03</v>
      </c>
      <c r="E4928" s="4">
        <v>-0.2206397690000248</v>
      </c>
      <c r="F4928" s="3">
        <v>4926</v>
      </c>
      <c r="G4928" s="3">
        <v>4</v>
      </c>
      <c r="H4928" s="5">
        <v>1207855064.5999999</v>
      </c>
      <c r="I4928" s="5">
        <v>1335826064.5999999</v>
      </c>
      <c r="J4928" s="5">
        <v>223854000</v>
      </c>
      <c r="K4928" s="5">
        <v>95883000</v>
      </c>
      <c r="L4928" s="5">
        <v>277246000</v>
      </c>
      <c r="M4928" s="5">
        <v>3930000</v>
      </c>
      <c r="N4928" s="5">
        <v>27309000</v>
      </c>
    </row>
    <row r="4929" spans="1:14" x14ac:dyDescent="0.25">
      <c r="A4929" s="3" t="s">
        <v>4940</v>
      </c>
      <c r="B4929" s="4">
        <v>339.92</v>
      </c>
      <c r="C4929" s="4">
        <v>-0.02</v>
      </c>
      <c r="D4929" s="4">
        <v>-0.02</v>
      </c>
      <c r="E4929" s="4">
        <v>-0.22086404779340771</v>
      </c>
      <c r="F4929" s="3">
        <v>4927</v>
      </c>
      <c r="G4929" s="3">
        <v>4</v>
      </c>
      <c r="H4929" s="5">
        <v>17514991119.799999</v>
      </c>
      <c r="I4929" s="5">
        <v>16995991119.799999</v>
      </c>
      <c r="J4929" s="5">
        <v>563000000</v>
      </c>
      <c r="K4929" s="5">
        <v>1082000000</v>
      </c>
      <c r="L4929" s="5">
        <v>2236000000</v>
      </c>
      <c r="M4929" s="5">
        <v>50000000</v>
      </c>
      <c r="N4929" s="5">
        <v>-112000000</v>
      </c>
    </row>
    <row r="4930" spans="1:14" x14ac:dyDescent="0.25">
      <c r="A4930" s="3" t="s">
        <v>4941</v>
      </c>
      <c r="B4930" s="4">
        <v>-4.17</v>
      </c>
      <c r="C4930" s="4">
        <v>33.29</v>
      </c>
      <c r="D4930" s="4">
        <v>-1630.84</v>
      </c>
      <c r="E4930" s="4">
        <v>-0.2262445763103221</v>
      </c>
      <c r="F4930" s="3">
        <v>4928</v>
      </c>
      <c r="G4930" s="3">
        <v>4</v>
      </c>
      <c r="H4930" s="5">
        <v>5783731.5360000003</v>
      </c>
      <c r="I4930" s="5">
        <v>5782881.5360000003</v>
      </c>
      <c r="J4930" s="5">
        <v>0</v>
      </c>
      <c r="K4930" s="5">
        <v>850</v>
      </c>
      <c r="L4930" s="5">
        <v>0</v>
      </c>
      <c r="M4930" s="5">
        <v>-1386210</v>
      </c>
      <c r="N4930" s="5">
        <v>-1386210</v>
      </c>
    </row>
    <row r="4931" spans="1:14" x14ac:dyDescent="0.25">
      <c r="A4931" s="3" t="s">
        <v>4942</v>
      </c>
      <c r="B4931" s="4">
        <v>24.52</v>
      </c>
      <c r="C4931" s="4">
        <v>-69.89</v>
      </c>
      <c r="D4931" s="4">
        <v>0.26</v>
      </c>
      <c r="E4931" s="4">
        <v>-0.2274821195734327</v>
      </c>
      <c r="F4931" s="3">
        <v>4929</v>
      </c>
      <c r="G4931" s="3">
        <v>4</v>
      </c>
      <c r="H4931" s="5">
        <v>694283334.25999999</v>
      </c>
      <c r="I4931" s="5">
        <v>656231334.25999999</v>
      </c>
      <c r="J4931" s="5">
        <v>0</v>
      </c>
      <c r="K4931" s="5">
        <v>38052000</v>
      </c>
      <c r="L4931" s="5">
        <v>138103000</v>
      </c>
      <c r="M4931" s="5">
        <v>26763000</v>
      </c>
      <c r="N4931" s="5">
        <v>31869000</v>
      </c>
    </row>
    <row r="4932" spans="1:14" x14ac:dyDescent="0.25">
      <c r="A4932" s="3" t="s">
        <v>4943</v>
      </c>
      <c r="B4932" s="4">
        <v>360.97</v>
      </c>
      <c r="C4932" s="4">
        <v>0.16</v>
      </c>
      <c r="D4932" s="4">
        <v>0.08</v>
      </c>
      <c r="E4932" s="4">
        <v>-0.23335295059372041</v>
      </c>
      <c r="F4932" s="3">
        <v>4930</v>
      </c>
      <c r="G4932" s="3">
        <v>4</v>
      </c>
      <c r="H4932" s="5">
        <v>50205944513.199997</v>
      </c>
      <c r="I4932" s="5">
        <v>50431389513.199997</v>
      </c>
      <c r="J4932" s="5">
        <v>680289000</v>
      </c>
      <c r="K4932" s="5">
        <v>454844000</v>
      </c>
      <c r="L4932" s="5">
        <v>2082526000</v>
      </c>
      <c r="M4932" s="5">
        <v>139710000</v>
      </c>
      <c r="N4932" s="5">
        <v>377034000</v>
      </c>
    </row>
    <row r="4933" spans="1:14" x14ac:dyDescent="0.25">
      <c r="A4933" s="3" t="s">
        <v>4944</v>
      </c>
      <c r="B4933" s="4">
        <v>366.88</v>
      </c>
      <c r="C4933" s="4">
        <v>0.18</v>
      </c>
      <c r="D4933" s="4">
        <v>-0.14000000000000001</v>
      </c>
      <c r="E4933" s="4">
        <v>-0.2369954225313694</v>
      </c>
      <c r="F4933" s="3">
        <v>4931</v>
      </c>
      <c r="G4933" s="3">
        <v>4</v>
      </c>
      <c r="H4933" s="5">
        <v>13145898849.66</v>
      </c>
      <c r="I4933" s="5">
        <v>15408898849.66</v>
      </c>
      <c r="J4933" s="5">
        <v>3118000000</v>
      </c>
      <c r="K4933" s="5">
        <v>855000000</v>
      </c>
      <c r="L4933" s="5">
        <v>11851000000</v>
      </c>
      <c r="M4933" s="5">
        <v>42000000</v>
      </c>
      <c r="N4933" s="5">
        <v>-492000000</v>
      </c>
    </row>
    <row r="4934" spans="1:14" x14ac:dyDescent="0.25">
      <c r="A4934" s="3" t="s">
        <v>4945</v>
      </c>
      <c r="B4934" s="4">
        <v>373.34</v>
      </c>
      <c r="C4934" s="4">
        <v>-0.5</v>
      </c>
      <c r="D4934" s="4">
        <v>-0.21</v>
      </c>
      <c r="E4934" s="4">
        <v>-0.24297191787470701</v>
      </c>
      <c r="F4934" s="3">
        <v>4932</v>
      </c>
      <c r="G4934" s="3">
        <v>4</v>
      </c>
      <c r="H4934" s="5">
        <v>1724376788.3</v>
      </c>
      <c r="I4934" s="5">
        <v>1962623788.3</v>
      </c>
      <c r="J4934" s="5">
        <v>311254000</v>
      </c>
      <c r="K4934" s="5">
        <v>73007000</v>
      </c>
      <c r="L4934" s="5">
        <v>379801000</v>
      </c>
      <c r="M4934" s="5">
        <v>5257000</v>
      </c>
      <c r="N4934" s="5">
        <v>-195457000</v>
      </c>
    </row>
    <row r="4935" spans="1:14" x14ac:dyDescent="0.25">
      <c r="A4935" s="3" t="s">
        <v>4946</v>
      </c>
      <c r="B4935" s="4">
        <v>379.06</v>
      </c>
      <c r="C4935" s="4">
        <v>-3.1</v>
      </c>
      <c r="D4935" s="4">
        <v>0.86</v>
      </c>
      <c r="E4935" s="4">
        <v>-0.25381807551340119</v>
      </c>
      <c r="F4935" s="3">
        <v>4933</v>
      </c>
      <c r="G4935" s="3">
        <v>4</v>
      </c>
      <c r="H4935" s="5">
        <v>310784407.5</v>
      </c>
      <c r="I4935" s="5">
        <v>310460667.5</v>
      </c>
      <c r="J4935" s="5">
        <v>0</v>
      </c>
      <c r="K4935" s="5">
        <v>323740</v>
      </c>
      <c r="L4935" s="5">
        <v>2213790</v>
      </c>
      <c r="M4935" s="5">
        <v>819020</v>
      </c>
      <c r="N4935" s="5">
        <v>778380</v>
      </c>
    </row>
    <row r="4936" spans="1:14" x14ac:dyDescent="0.25">
      <c r="A4936" s="3" t="s">
        <v>4947</v>
      </c>
      <c r="B4936" s="4">
        <v>-19.77</v>
      </c>
      <c r="C4936" s="4">
        <v>-89.51</v>
      </c>
      <c r="D4936" s="4">
        <v>-1.7</v>
      </c>
      <c r="E4936" s="4">
        <v>-0.2571374737126344</v>
      </c>
      <c r="F4936" s="3">
        <v>4934</v>
      </c>
      <c r="G4936" s="3">
        <v>4</v>
      </c>
      <c r="H4936" s="5">
        <v>3219241.2215999998</v>
      </c>
      <c r="I4936" s="5">
        <v>3473921.2215999998</v>
      </c>
      <c r="J4936" s="5">
        <v>271770</v>
      </c>
      <c r="K4936" s="5">
        <v>17090</v>
      </c>
      <c r="L4936" s="5">
        <v>127090</v>
      </c>
      <c r="M4936" s="5">
        <v>-175710</v>
      </c>
      <c r="N4936" s="5">
        <v>-572850</v>
      </c>
    </row>
    <row r="4937" spans="1:14" x14ac:dyDescent="0.25">
      <c r="A4937" s="3" t="s">
        <v>4948</v>
      </c>
      <c r="B4937" s="4">
        <v>-6.9</v>
      </c>
      <c r="C4937" s="4">
        <v>0.49</v>
      </c>
      <c r="D4937" s="4">
        <v>-1356.93</v>
      </c>
      <c r="E4937" s="4">
        <v>-0.26648798717797889</v>
      </c>
      <c r="F4937" s="3">
        <v>4935</v>
      </c>
      <c r="G4937" s="3">
        <v>4</v>
      </c>
      <c r="H4937" s="5">
        <v>2667896.56</v>
      </c>
      <c r="I4937" s="5">
        <v>2964226.56</v>
      </c>
      <c r="J4937" s="5">
        <v>296620</v>
      </c>
      <c r="K4937" s="5">
        <v>290</v>
      </c>
      <c r="L4937" s="5">
        <v>0</v>
      </c>
      <c r="M4937" s="5">
        <v>-429310</v>
      </c>
      <c r="N4937" s="5">
        <v>-393510</v>
      </c>
    </row>
    <row r="4938" spans="1:14" x14ac:dyDescent="0.25">
      <c r="A4938" s="3" t="s">
        <v>4949</v>
      </c>
      <c r="B4938" s="4">
        <v>444.35</v>
      </c>
      <c r="C4938" s="4">
        <v>-0.05</v>
      </c>
      <c r="D4938" s="4">
        <v>-0.01</v>
      </c>
      <c r="E4938" s="4">
        <v>-0.2855826746824533</v>
      </c>
      <c r="F4938" s="3">
        <v>4936</v>
      </c>
      <c r="G4938" s="3">
        <v>4</v>
      </c>
      <c r="H4938" s="5">
        <v>33444985864.549999</v>
      </c>
      <c r="I4938" s="5">
        <v>34030193864.549999</v>
      </c>
      <c r="J4938" s="5">
        <v>1388059000</v>
      </c>
      <c r="K4938" s="5">
        <v>802851000</v>
      </c>
      <c r="L4938" s="5">
        <v>1473856000</v>
      </c>
      <c r="M4938" s="5">
        <v>76584000</v>
      </c>
      <c r="N4938" s="5">
        <v>-29227000</v>
      </c>
    </row>
    <row r="4939" spans="1:14" x14ac:dyDescent="0.25">
      <c r="A4939" s="3" t="s">
        <v>4950</v>
      </c>
      <c r="B4939" s="4">
        <v>443.02</v>
      </c>
      <c r="C4939" s="4">
        <v>-0.43</v>
      </c>
      <c r="D4939" s="4">
        <v>-0.17</v>
      </c>
      <c r="E4939" s="4">
        <v>-0.28588833181653139</v>
      </c>
      <c r="F4939" s="3">
        <v>4937</v>
      </c>
      <c r="G4939" s="3">
        <v>4</v>
      </c>
      <c r="H4939" s="5">
        <v>13192886479.74</v>
      </c>
      <c r="I4939" s="5">
        <v>15778765479.74</v>
      </c>
      <c r="J4939" s="5">
        <v>2591220000</v>
      </c>
      <c r="K4939" s="5">
        <v>5341000</v>
      </c>
      <c r="L4939" s="5">
        <v>2758867000</v>
      </c>
      <c r="M4939" s="5">
        <v>35616000</v>
      </c>
      <c r="N4939" s="5">
        <v>-1028857000</v>
      </c>
    </row>
    <row r="4940" spans="1:14" x14ac:dyDescent="0.25">
      <c r="A4940" s="3" t="s">
        <v>4951</v>
      </c>
      <c r="B4940" s="4">
        <v>450.51</v>
      </c>
      <c r="C4940" s="4">
        <v>0.11</v>
      </c>
      <c r="D4940" s="4">
        <v>0.06</v>
      </c>
      <c r="E4940" s="4">
        <v>-0.2889194244935791</v>
      </c>
      <c r="F4940" s="3">
        <v>4938</v>
      </c>
      <c r="G4940" s="3">
        <v>4</v>
      </c>
      <c r="H4940" s="5">
        <v>28697663.879999999</v>
      </c>
      <c r="I4940" s="5">
        <v>27539403.879999999</v>
      </c>
      <c r="J4940" s="5">
        <v>0</v>
      </c>
      <c r="K4940" s="5">
        <v>1158260</v>
      </c>
      <c r="L4940" s="5">
        <v>2561750</v>
      </c>
      <c r="M4940" s="5">
        <v>61130</v>
      </c>
      <c r="N4940" s="5">
        <v>99090</v>
      </c>
    </row>
    <row r="4941" spans="1:14" x14ac:dyDescent="0.25">
      <c r="A4941" s="3" t="s">
        <v>4952</v>
      </c>
      <c r="B4941" s="4">
        <v>451.68</v>
      </c>
      <c r="C4941" s="4">
        <v>0</v>
      </c>
      <c r="D4941" s="4">
        <v>0</v>
      </c>
      <c r="E4941" s="4">
        <v>-0.28997296539676132</v>
      </c>
      <c r="F4941" s="3">
        <v>4939</v>
      </c>
      <c r="G4941" s="3">
        <v>4</v>
      </c>
      <c r="H4941" s="5">
        <v>15359788811.530001</v>
      </c>
      <c r="I4941" s="5">
        <v>15808788811.530001</v>
      </c>
      <c r="J4941" s="5">
        <v>858000000</v>
      </c>
      <c r="K4941" s="5">
        <v>409000000</v>
      </c>
      <c r="L4941" s="5">
        <v>2610000000</v>
      </c>
      <c r="M4941" s="5">
        <v>35000000</v>
      </c>
      <c r="N4941" s="5">
        <v>28000000</v>
      </c>
    </row>
    <row r="4942" spans="1:14" x14ac:dyDescent="0.25">
      <c r="A4942" s="3" t="s">
        <v>4953</v>
      </c>
      <c r="B4942" s="4">
        <v>453.44</v>
      </c>
      <c r="C4942" s="4">
        <v>7.0000000000000007E-2</v>
      </c>
      <c r="D4942" s="4">
        <v>0.01</v>
      </c>
      <c r="E4942" s="4">
        <v>-0.29085808132376822</v>
      </c>
      <c r="F4942" s="3">
        <v>4940</v>
      </c>
      <c r="G4942" s="3">
        <v>4</v>
      </c>
      <c r="H4942" s="5">
        <v>187383180.53999999</v>
      </c>
      <c r="I4942" s="5">
        <v>3306932180.54</v>
      </c>
      <c r="J4942" s="5">
        <v>3131262000</v>
      </c>
      <c r="K4942" s="5">
        <v>11713000</v>
      </c>
      <c r="L4942" s="5">
        <v>372506000</v>
      </c>
      <c r="M4942" s="5">
        <v>7293000</v>
      </c>
      <c r="N4942" s="5">
        <v>19203000</v>
      </c>
    </row>
    <row r="4943" spans="1:14" x14ac:dyDescent="0.25">
      <c r="A4943" s="3" t="s">
        <v>4954</v>
      </c>
      <c r="B4943" s="4">
        <v>457.87</v>
      </c>
      <c r="C4943" s="4">
        <v>0</v>
      </c>
      <c r="D4943" s="4">
        <v>0</v>
      </c>
      <c r="E4943" s="4">
        <v>-0.29380408372325217</v>
      </c>
      <c r="F4943" s="3">
        <v>4941</v>
      </c>
      <c r="G4943" s="3">
        <v>4</v>
      </c>
      <c r="H4943" s="5">
        <v>67414400</v>
      </c>
      <c r="I4943" s="5">
        <v>65003390</v>
      </c>
      <c r="J4943" s="5">
        <v>2503550</v>
      </c>
      <c r="K4943" s="5">
        <v>4914560</v>
      </c>
      <c r="L4943" s="5">
        <v>68634070</v>
      </c>
      <c r="M4943" s="5">
        <v>141970</v>
      </c>
      <c r="N4943" s="5">
        <v>69850</v>
      </c>
    </row>
    <row r="4944" spans="1:14" x14ac:dyDescent="0.25">
      <c r="A4944" s="3" t="s">
        <v>4955</v>
      </c>
      <c r="B4944" s="4">
        <v>-6.26</v>
      </c>
      <c r="C4944" s="4">
        <v>0.28999999999999998</v>
      </c>
      <c r="D4944" s="4">
        <v>-1500.05</v>
      </c>
      <c r="E4944" s="4">
        <v>-0.29507019686014502</v>
      </c>
      <c r="F4944" s="3">
        <v>4942</v>
      </c>
      <c r="G4944" s="3">
        <v>4</v>
      </c>
      <c r="H4944" s="5">
        <v>3198152.2272000001</v>
      </c>
      <c r="I4944" s="5">
        <v>6868672.2271999996</v>
      </c>
      <c r="J4944" s="5">
        <v>3673220</v>
      </c>
      <c r="K4944" s="5">
        <v>2700</v>
      </c>
      <c r="L4944" s="5">
        <v>0</v>
      </c>
      <c r="M4944" s="5">
        <v>-1098040</v>
      </c>
      <c r="N4944" s="5">
        <v>-4050140</v>
      </c>
    </row>
    <row r="4945" spans="1:14" x14ac:dyDescent="0.25">
      <c r="A4945" s="3" t="s">
        <v>4956</v>
      </c>
      <c r="B4945" s="4">
        <v>466.83</v>
      </c>
      <c r="C4945" s="4">
        <v>0.03</v>
      </c>
      <c r="D4945" s="4">
        <v>0.02</v>
      </c>
      <c r="E4945" s="4">
        <v>-0.29925907315363509</v>
      </c>
      <c r="F4945" s="3">
        <v>4943</v>
      </c>
      <c r="G4945" s="3">
        <v>4</v>
      </c>
      <c r="H4945" s="5">
        <v>2683462222.9200001</v>
      </c>
      <c r="I4945" s="5">
        <v>2603968222.9200001</v>
      </c>
      <c r="J4945" s="5">
        <v>0</v>
      </c>
      <c r="K4945" s="5">
        <v>79494000</v>
      </c>
      <c r="L4945" s="5">
        <v>222818000</v>
      </c>
      <c r="M4945" s="5">
        <v>5578000</v>
      </c>
      <c r="N4945" s="5">
        <v>6033000</v>
      </c>
    </row>
    <row r="4946" spans="1:14" x14ac:dyDescent="0.25">
      <c r="A4946" s="3" t="s">
        <v>4957</v>
      </c>
      <c r="B4946" s="4">
        <v>-0.66</v>
      </c>
      <c r="C4946" s="4">
        <v>-100.85</v>
      </c>
      <c r="D4946" s="4">
        <v>-2.77</v>
      </c>
      <c r="E4946" s="4">
        <v>-0.30193680199793782</v>
      </c>
      <c r="F4946" s="3">
        <v>4944</v>
      </c>
      <c r="G4946" s="3">
        <v>4</v>
      </c>
      <c r="H4946" s="5">
        <v>1248.9629</v>
      </c>
      <c r="I4946" s="5">
        <v>71651768.962899998</v>
      </c>
      <c r="J4946" s="5">
        <v>71723830</v>
      </c>
      <c r="K4946" s="5">
        <v>73310</v>
      </c>
      <c r="L4946" s="5">
        <v>32366660</v>
      </c>
      <c r="M4946" s="5">
        <v>-108975620</v>
      </c>
      <c r="N4946" s="5">
        <v>-214982810</v>
      </c>
    </row>
    <row r="4947" spans="1:14" x14ac:dyDescent="0.25">
      <c r="A4947" s="3" t="s">
        <v>4958</v>
      </c>
      <c r="B4947" s="4">
        <v>478.03</v>
      </c>
      <c r="C4947" s="4">
        <v>0.14000000000000001</v>
      </c>
      <c r="D4947" s="4">
        <v>0.13</v>
      </c>
      <c r="E4947" s="4">
        <v>-0.30585193456485033</v>
      </c>
      <c r="F4947" s="3">
        <v>4945</v>
      </c>
      <c r="G4947" s="3">
        <v>4</v>
      </c>
      <c r="H4947" s="5">
        <v>965606400</v>
      </c>
      <c r="I4947" s="5">
        <v>953845540</v>
      </c>
      <c r="J4947" s="5">
        <v>0</v>
      </c>
      <c r="K4947" s="5">
        <v>11760860</v>
      </c>
      <c r="L4947" s="5">
        <v>8185150</v>
      </c>
      <c r="M4947" s="5">
        <v>1995370</v>
      </c>
      <c r="N4947" s="5">
        <v>2372840</v>
      </c>
    </row>
    <row r="4948" spans="1:14" x14ac:dyDescent="0.25">
      <c r="A4948" s="3" t="s">
        <v>4959</v>
      </c>
      <c r="B4948" s="4">
        <v>-4.8600000000000003</v>
      </c>
      <c r="C4948" s="4">
        <v>-104</v>
      </c>
      <c r="D4948" s="4">
        <v>-3.95</v>
      </c>
      <c r="E4948" s="4">
        <v>-0.30866644695086531</v>
      </c>
      <c r="F4948" s="3">
        <v>4946</v>
      </c>
      <c r="G4948" s="3">
        <v>4</v>
      </c>
      <c r="H4948" s="5">
        <v>13127775.300000001</v>
      </c>
      <c r="I4948" s="5">
        <v>13242155.300000001</v>
      </c>
      <c r="J4948" s="5">
        <v>406830</v>
      </c>
      <c r="K4948" s="5">
        <v>292450</v>
      </c>
      <c r="L4948" s="5">
        <v>1398130</v>
      </c>
      <c r="M4948" s="5">
        <v>-2722410</v>
      </c>
      <c r="N4948" s="5">
        <v>-4832030</v>
      </c>
    </row>
    <row r="4949" spans="1:14" x14ac:dyDescent="0.25">
      <c r="A4949" s="3" t="s">
        <v>4960</v>
      </c>
      <c r="B4949" s="4">
        <v>488.77</v>
      </c>
      <c r="C4949" s="4">
        <v>0</v>
      </c>
      <c r="D4949" s="4">
        <v>0</v>
      </c>
      <c r="E4949" s="4">
        <v>-0.31292872932722149</v>
      </c>
      <c r="F4949" s="3">
        <v>4947</v>
      </c>
      <c r="G4949" s="3">
        <v>4</v>
      </c>
      <c r="H4949" s="5">
        <v>24487015148.099998</v>
      </c>
      <c r="I4949" s="5">
        <v>24432532148.099998</v>
      </c>
      <c r="J4949" s="5">
        <v>458184000</v>
      </c>
      <c r="K4949" s="5">
        <v>512667000</v>
      </c>
      <c r="L4949" s="5">
        <v>2627543000</v>
      </c>
      <c r="M4949" s="5">
        <v>49988000</v>
      </c>
      <c r="N4949" s="5">
        <v>4628000</v>
      </c>
    </row>
    <row r="4950" spans="1:14" x14ac:dyDescent="0.25">
      <c r="A4950" s="3" t="s">
        <v>4961</v>
      </c>
      <c r="B4950" s="4">
        <v>495.86</v>
      </c>
      <c r="C4950" s="4">
        <v>0.08</v>
      </c>
      <c r="D4950" s="4">
        <v>0.06</v>
      </c>
      <c r="E4950" s="4">
        <v>-0.31707415315086868</v>
      </c>
      <c r="F4950" s="3">
        <v>4948</v>
      </c>
      <c r="G4950" s="3">
        <v>4</v>
      </c>
      <c r="H4950" s="5">
        <v>29955917230.200001</v>
      </c>
      <c r="I4950" s="5">
        <v>29719589230.200001</v>
      </c>
      <c r="J4950" s="5">
        <v>0</v>
      </c>
      <c r="K4950" s="5">
        <v>236328000</v>
      </c>
      <c r="L4950" s="5">
        <v>436775000</v>
      </c>
      <c r="M4950" s="5">
        <v>59935000</v>
      </c>
      <c r="N4950" s="5">
        <v>52183000</v>
      </c>
    </row>
    <row r="4951" spans="1:14" x14ac:dyDescent="0.25">
      <c r="A4951" s="3" t="s">
        <v>4962</v>
      </c>
      <c r="B4951" s="4">
        <v>497.17</v>
      </c>
      <c r="C4951" s="4">
        <v>0.1</v>
      </c>
      <c r="D4951" s="4">
        <v>0.1</v>
      </c>
      <c r="E4951" s="4">
        <v>-0.3178194357768469</v>
      </c>
      <c r="F4951" s="3">
        <v>4949</v>
      </c>
      <c r="G4951" s="3">
        <v>4</v>
      </c>
      <c r="H4951" s="5">
        <v>43916220</v>
      </c>
      <c r="I4951" s="5">
        <v>43253700</v>
      </c>
      <c r="J4951" s="5">
        <v>0</v>
      </c>
      <c r="K4951" s="5">
        <v>662520</v>
      </c>
      <c r="L4951" s="5">
        <v>1844970</v>
      </c>
      <c r="M4951" s="5">
        <v>87000</v>
      </c>
      <c r="N4951" s="5">
        <v>87000</v>
      </c>
    </row>
    <row r="4952" spans="1:14" x14ac:dyDescent="0.25">
      <c r="A4952" s="3" t="s">
        <v>4963</v>
      </c>
      <c r="B4952" s="4">
        <v>497.5</v>
      </c>
      <c r="C4952" s="4">
        <v>0.05</v>
      </c>
      <c r="D4952" s="4">
        <v>0</v>
      </c>
      <c r="E4952" s="4">
        <v>-0.31818743786569792</v>
      </c>
      <c r="F4952" s="3">
        <v>4950</v>
      </c>
      <c r="G4952" s="3">
        <v>4</v>
      </c>
      <c r="H4952" s="5">
        <v>1159354722.45</v>
      </c>
      <c r="I4952" s="5">
        <v>48755354722.449997</v>
      </c>
      <c r="J4952" s="5">
        <v>48318000000</v>
      </c>
      <c r="K4952" s="5">
        <v>722000000</v>
      </c>
      <c r="L4952" s="5">
        <v>807000000</v>
      </c>
      <c r="M4952" s="5">
        <v>98000000</v>
      </c>
      <c r="N4952" s="5">
        <v>131000000</v>
      </c>
    </row>
    <row r="4953" spans="1:14" x14ac:dyDescent="0.25">
      <c r="A4953" s="3" t="s">
        <v>4964</v>
      </c>
      <c r="B4953" s="4">
        <v>498.07</v>
      </c>
      <c r="C4953" s="4">
        <v>7.0000000000000007E-2</v>
      </c>
      <c r="D4953" s="4">
        <v>0.03</v>
      </c>
      <c r="E4953" s="4">
        <v>-0.31847664829666977</v>
      </c>
      <c r="F4953" s="3">
        <v>4951</v>
      </c>
      <c r="G4953" s="3">
        <v>4</v>
      </c>
      <c r="H4953" s="5">
        <v>54048519627.480003</v>
      </c>
      <c r="I4953" s="5">
        <v>54414841627.480003</v>
      </c>
      <c r="J4953" s="5">
        <v>1613305000</v>
      </c>
      <c r="K4953" s="5">
        <v>1246983000</v>
      </c>
      <c r="L4953" s="5">
        <v>2684275000</v>
      </c>
      <c r="M4953" s="5">
        <v>109251000</v>
      </c>
      <c r="N4953" s="5">
        <v>183746000</v>
      </c>
    </row>
    <row r="4954" spans="1:14" x14ac:dyDescent="0.25">
      <c r="A4954" s="3" t="s">
        <v>4965</v>
      </c>
      <c r="B4954" s="4">
        <v>508.96</v>
      </c>
      <c r="C4954" s="4">
        <v>0.06</v>
      </c>
      <c r="D4954" s="4">
        <v>0.01</v>
      </c>
      <c r="E4954" s="4">
        <v>-0.32524944496095659</v>
      </c>
      <c r="F4954" s="3">
        <v>4952</v>
      </c>
      <c r="G4954" s="3">
        <v>4</v>
      </c>
      <c r="H4954" s="5">
        <v>6781051973.6999998</v>
      </c>
      <c r="I4954" s="5">
        <v>23745885973.700001</v>
      </c>
      <c r="J4954" s="5">
        <v>17342665000</v>
      </c>
      <c r="K4954" s="5">
        <v>377831000</v>
      </c>
      <c r="L4954" s="5">
        <v>1988284000</v>
      </c>
      <c r="M4954" s="5">
        <v>46656000</v>
      </c>
      <c r="N4954" s="5">
        <v>359933000</v>
      </c>
    </row>
    <row r="4955" spans="1:14" x14ac:dyDescent="0.25">
      <c r="A4955" s="3" t="s">
        <v>4966</v>
      </c>
      <c r="B4955" s="4">
        <v>565.34</v>
      </c>
      <c r="C4955" s="4">
        <v>0.03</v>
      </c>
      <c r="D4955" s="4">
        <v>0.02</v>
      </c>
      <c r="E4955" s="4">
        <v>-0.36022893847554521</v>
      </c>
      <c r="F4955" s="3">
        <v>4953</v>
      </c>
      <c r="G4955" s="3">
        <v>4</v>
      </c>
      <c r="H4955" s="5">
        <v>9909737540.2600002</v>
      </c>
      <c r="I4955" s="5">
        <v>8498135540.2600002</v>
      </c>
      <c r="J4955" s="5">
        <v>0</v>
      </c>
      <c r="K4955" s="5">
        <v>1411602000</v>
      </c>
      <c r="L4955" s="5">
        <v>971995000</v>
      </c>
      <c r="M4955" s="5">
        <v>15032000</v>
      </c>
      <c r="N4955" s="5">
        <v>32372000</v>
      </c>
    </row>
    <row r="4956" spans="1:14" x14ac:dyDescent="0.25">
      <c r="A4956" s="3" t="s">
        <v>4967</v>
      </c>
      <c r="B4956" s="4">
        <v>604.65</v>
      </c>
      <c r="C4956" s="4">
        <v>0.01</v>
      </c>
      <c r="D4956" s="4">
        <v>0</v>
      </c>
      <c r="E4956" s="4">
        <v>-0.38462035133794048</v>
      </c>
      <c r="F4956" s="3">
        <v>4954</v>
      </c>
      <c r="G4956" s="3">
        <v>4</v>
      </c>
      <c r="H4956" s="5">
        <v>4669624008.96</v>
      </c>
      <c r="I4956" s="5">
        <v>5345748008.96</v>
      </c>
      <c r="J4956" s="5">
        <v>1714470000</v>
      </c>
      <c r="K4956" s="5">
        <v>1038346000</v>
      </c>
      <c r="L4956" s="5">
        <v>1462570000</v>
      </c>
      <c r="M4956" s="5">
        <v>8841000</v>
      </c>
      <c r="N4956" s="5">
        <v>23799000</v>
      </c>
    </row>
    <row r="4957" spans="1:14" x14ac:dyDescent="0.25">
      <c r="A4957" s="3" t="s">
        <v>4968</v>
      </c>
      <c r="B4957" s="4">
        <v>657.47</v>
      </c>
      <c r="C4957" s="4">
        <v>-0.15</v>
      </c>
      <c r="D4957" s="4">
        <v>-7.0000000000000007E-2</v>
      </c>
      <c r="E4957" s="4">
        <v>-0.41778753672817748</v>
      </c>
      <c r="F4957" s="3">
        <v>4955</v>
      </c>
      <c r="G4957" s="3">
        <v>4</v>
      </c>
      <c r="H4957" s="5">
        <v>120409528.84</v>
      </c>
      <c r="I4957" s="5">
        <v>119659528.84</v>
      </c>
      <c r="J4957" s="5">
        <v>21130000</v>
      </c>
      <c r="K4957" s="5">
        <v>21880000</v>
      </c>
      <c r="L4957" s="5">
        <v>20112000</v>
      </c>
      <c r="M4957" s="5">
        <v>182000</v>
      </c>
      <c r="N4957" s="5">
        <v>-3841000</v>
      </c>
    </row>
    <row r="4958" spans="1:14" x14ac:dyDescent="0.25">
      <c r="A4958" s="3" t="s">
        <v>4969</v>
      </c>
      <c r="B4958" s="4">
        <v>678.66</v>
      </c>
      <c r="C4958" s="4">
        <v>0.27</v>
      </c>
      <c r="D4958" s="4">
        <v>0.08</v>
      </c>
      <c r="E4958" s="4">
        <v>-0.42965999670701471</v>
      </c>
      <c r="F4958" s="3">
        <v>4956</v>
      </c>
      <c r="G4958" s="3">
        <v>4</v>
      </c>
      <c r="H4958" s="5">
        <v>5425966677.7200003</v>
      </c>
      <c r="I4958" s="5">
        <v>5663406677.7200003</v>
      </c>
      <c r="J4958" s="5">
        <v>283493000</v>
      </c>
      <c r="K4958" s="5">
        <v>46053000</v>
      </c>
      <c r="L4958" s="5">
        <v>366087000</v>
      </c>
      <c r="M4958" s="5">
        <v>8345000</v>
      </c>
      <c r="N4958" s="5">
        <v>40838000</v>
      </c>
    </row>
    <row r="4959" spans="1:14" x14ac:dyDescent="0.25">
      <c r="A4959" s="3" t="s">
        <v>4970</v>
      </c>
      <c r="B4959" s="4">
        <v>-2.11</v>
      </c>
      <c r="C4959" s="4">
        <v>0.19</v>
      </c>
      <c r="D4959" s="4">
        <v>-2441.75</v>
      </c>
      <c r="E4959" s="4">
        <v>-0.47958408609830422</v>
      </c>
      <c r="F4959" s="3">
        <v>4957</v>
      </c>
      <c r="G4959" s="3">
        <v>4</v>
      </c>
      <c r="H4959" s="5">
        <v>133.11975000000001</v>
      </c>
      <c r="I4959" s="5">
        <v>373353.11975000001</v>
      </c>
      <c r="J4959" s="5">
        <v>373300</v>
      </c>
      <c r="K4959" s="5">
        <v>80</v>
      </c>
      <c r="L4959" s="5">
        <v>0</v>
      </c>
      <c r="M4959" s="5">
        <v>-176990</v>
      </c>
      <c r="N4959" s="5">
        <v>-195340</v>
      </c>
    </row>
    <row r="4960" spans="1:14" x14ac:dyDescent="0.25">
      <c r="A4960" s="3" t="s">
        <v>4971</v>
      </c>
      <c r="B4960" s="4">
        <v>810.25</v>
      </c>
      <c r="C4960" s="4">
        <v>-0.06</v>
      </c>
      <c r="D4960" s="4">
        <v>-0.05</v>
      </c>
      <c r="E4960" s="4">
        <v>-0.51208232085184147</v>
      </c>
      <c r="F4960" s="3">
        <v>4958</v>
      </c>
      <c r="G4960" s="3">
        <v>4</v>
      </c>
      <c r="H4960" s="5">
        <v>1320748156.05</v>
      </c>
      <c r="I4960" s="5">
        <v>1241302156.05</v>
      </c>
      <c r="J4960" s="5">
        <v>15940000</v>
      </c>
      <c r="K4960" s="5">
        <v>95386000</v>
      </c>
      <c r="L4960" s="5">
        <v>82254000</v>
      </c>
      <c r="M4960" s="5">
        <v>1532000</v>
      </c>
      <c r="N4960" s="5">
        <v>-20184000</v>
      </c>
    </row>
    <row r="4961" spans="1:14" x14ac:dyDescent="0.25">
      <c r="A4961" s="3" t="s">
        <v>4972</v>
      </c>
      <c r="B4961" s="4">
        <v>-18.399999999999999</v>
      </c>
      <c r="C4961" s="4">
        <v>5.72</v>
      </c>
      <c r="D4961" s="4">
        <v>-3328.98</v>
      </c>
      <c r="E4961" s="4">
        <v>-0.62467273037482285</v>
      </c>
      <c r="F4961" s="3">
        <v>4959</v>
      </c>
      <c r="G4961" s="3">
        <v>4</v>
      </c>
      <c r="H4961" s="5">
        <v>8545807.2160999998</v>
      </c>
      <c r="I4961" s="5">
        <v>8596497.2160999998</v>
      </c>
      <c r="J4961" s="5">
        <v>50690</v>
      </c>
      <c r="K4961" s="5">
        <v>0</v>
      </c>
      <c r="L4961" s="5">
        <v>0</v>
      </c>
      <c r="M4961" s="5">
        <v>-467250</v>
      </c>
      <c r="N4961" s="5">
        <v>-7856390</v>
      </c>
    </row>
    <row r="4962" spans="1:14" x14ac:dyDescent="0.25">
      <c r="A4962" s="3" t="s">
        <v>4973</v>
      </c>
      <c r="B4962" s="4">
        <v>-2.98</v>
      </c>
      <c r="C4962" s="4">
        <v>0.99</v>
      </c>
      <c r="D4962" s="4">
        <v>-3774.84</v>
      </c>
      <c r="E4962" s="4">
        <v>-0.73389074066223148</v>
      </c>
      <c r="F4962" s="3">
        <v>4960</v>
      </c>
      <c r="G4962" s="3">
        <v>4</v>
      </c>
      <c r="H4962" s="5">
        <v>15352981.479499999</v>
      </c>
      <c r="I4962" s="5">
        <v>18294101.479499999</v>
      </c>
      <c r="J4962" s="5">
        <v>2942880</v>
      </c>
      <c r="K4962" s="5">
        <v>1760</v>
      </c>
      <c r="L4962" s="5">
        <v>44810</v>
      </c>
      <c r="M4962" s="5">
        <v>-6140710</v>
      </c>
      <c r="N4962" s="5">
        <v>-6643710</v>
      </c>
    </row>
    <row r="4963" spans="1:14" x14ac:dyDescent="0.25">
      <c r="A4963" s="3" t="s">
        <v>4974</v>
      </c>
      <c r="B4963" s="4">
        <v>1189.77</v>
      </c>
      <c r="C4963" s="4">
        <v>0.09</v>
      </c>
      <c r="D4963" s="4">
        <v>-0.26</v>
      </c>
      <c r="E4963" s="4">
        <v>-0.74658216092023544</v>
      </c>
      <c r="F4963" s="3">
        <v>4961</v>
      </c>
      <c r="G4963" s="3">
        <v>4</v>
      </c>
      <c r="H4963" s="5">
        <v>297971.60940000002</v>
      </c>
      <c r="I4963" s="5">
        <v>820941.60939999996</v>
      </c>
      <c r="J4963" s="5">
        <v>522970</v>
      </c>
      <c r="K4963" s="5">
        <v>0</v>
      </c>
      <c r="L4963" s="5">
        <v>15130</v>
      </c>
      <c r="M4963" s="5">
        <v>690</v>
      </c>
      <c r="N4963" s="5">
        <v>-48530</v>
      </c>
    </row>
    <row r="4964" spans="1:14" x14ac:dyDescent="0.25">
      <c r="A4964" s="3" t="s">
        <v>4975</v>
      </c>
      <c r="B4964" s="4">
        <v>-5.56</v>
      </c>
      <c r="C4964" s="4">
        <v>-261.88</v>
      </c>
      <c r="D4964" s="4">
        <v>-2.93</v>
      </c>
      <c r="E4964" s="4">
        <v>-0.76420870938542684</v>
      </c>
      <c r="F4964" s="3">
        <v>4962</v>
      </c>
      <c r="G4964" s="3">
        <v>4</v>
      </c>
      <c r="H4964" s="5">
        <v>148075474</v>
      </c>
      <c r="I4964" s="5">
        <v>139838844</v>
      </c>
      <c r="J4964" s="5">
        <v>404990</v>
      </c>
      <c r="K4964" s="5">
        <v>8641620</v>
      </c>
      <c r="L4964" s="5">
        <v>0</v>
      </c>
      <c r="M4964" s="5">
        <v>-25160730</v>
      </c>
      <c r="N4964" s="5">
        <v>-27285330</v>
      </c>
    </row>
    <row r="4965" spans="1:14" x14ac:dyDescent="0.25">
      <c r="A4965" s="3" t="s">
        <v>4976</v>
      </c>
      <c r="B4965" s="4">
        <v>1296.75</v>
      </c>
      <c r="C4965" s="4">
        <v>0.09</v>
      </c>
      <c r="D4965" s="4">
        <v>7.0000000000000007E-2</v>
      </c>
      <c r="E4965" s="4">
        <v>-0.81273062559051235</v>
      </c>
      <c r="F4965" s="3">
        <v>4963</v>
      </c>
      <c r="G4965" s="3">
        <v>4</v>
      </c>
      <c r="H4965" s="5">
        <v>445574301405.90002</v>
      </c>
      <c r="I4965" s="5">
        <v>443475777405.90002</v>
      </c>
      <c r="J4965" s="5">
        <v>0</v>
      </c>
      <c r="K4965" s="5">
        <v>2098524000</v>
      </c>
      <c r="L4965" s="5">
        <v>2865507000</v>
      </c>
      <c r="M4965" s="5">
        <v>341990000</v>
      </c>
      <c r="N4965" s="5">
        <v>462190000</v>
      </c>
    </row>
    <row r="4966" spans="1:14" x14ac:dyDescent="0.25">
      <c r="A4966" s="3" t="s">
        <v>4977</v>
      </c>
      <c r="B4966" s="4">
        <v>1355.15</v>
      </c>
      <c r="C4966" s="4">
        <v>-0.01</v>
      </c>
      <c r="D4966" s="4">
        <v>0</v>
      </c>
      <c r="E4966" s="4">
        <v>-0.84917802611763182</v>
      </c>
      <c r="F4966" s="3">
        <v>4964</v>
      </c>
      <c r="G4966" s="3">
        <v>4</v>
      </c>
      <c r="H4966" s="5">
        <v>134045178479.60001</v>
      </c>
      <c r="I4966" s="5">
        <v>130465866479.60001</v>
      </c>
      <c r="J4966" s="5">
        <v>743983000</v>
      </c>
      <c r="K4966" s="5">
        <v>4323295000</v>
      </c>
      <c r="L4966" s="5">
        <v>3953624000</v>
      </c>
      <c r="M4966" s="5">
        <v>96274000</v>
      </c>
      <c r="N4966" s="5">
        <v>-19271000</v>
      </c>
    </row>
    <row r="4967" spans="1:14" x14ac:dyDescent="0.25">
      <c r="A4967" s="3" t="s">
        <v>4978</v>
      </c>
      <c r="B4967" s="4">
        <v>-0.15</v>
      </c>
      <c r="C4967" s="4">
        <v>0.24</v>
      </c>
      <c r="D4967" s="4">
        <v>-4379</v>
      </c>
      <c r="E4967" s="4">
        <v>-0.8543533761071832</v>
      </c>
      <c r="F4967" s="3">
        <v>4965</v>
      </c>
      <c r="G4967" s="3">
        <v>4</v>
      </c>
      <c r="H4967" s="5">
        <v>6481.6866</v>
      </c>
      <c r="I4967" s="5">
        <v>6471.6866</v>
      </c>
      <c r="J4967" s="5">
        <v>0</v>
      </c>
      <c r="K4967" s="5">
        <v>10</v>
      </c>
      <c r="L4967" s="5">
        <v>0</v>
      </c>
      <c r="M4967" s="5">
        <v>-43790</v>
      </c>
      <c r="N4967" s="5">
        <v>-43790</v>
      </c>
    </row>
    <row r="4968" spans="1:14" x14ac:dyDescent="0.25">
      <c r="A4968" s="3" t="s">
        <v>4979</v>
      </c>
      <c r="B4968" s="4">
        <v>1410.74</v>
      </c>
      <c r="C4968" s="4">
        <v>0.6</v>
      </c>
      <c r="D4968" s="4">
        <v>-0.05</v>
      </c>
      <c r="E4968" s="4">
        <v>-0.88183095569269077</v>
      </c>
      <c r="F4968" s="3">
        <v>4966</v>
      </c>
      <c r="G4968" s="3">
        <v>4</v>
      </c>
      <c r="H4968" s="5">
        <v>334471200</v>
      </c>
      <c r="I4968" s="5">
        <v>338775920</v>
      </c>
      <c r="J4968" s="5">
        <v>4342000</v>
      </c>
      <c r="K4968" s="5">
        <v>37280</v>
      </c>
      <c r="L4968" s="5">
        <v>1253480</v>
      </c>
      <c r="M4968" s="5">
        <v>240140</v>
      </c>
      <c r="N4968" s="5">
        <v>-226260</v>
      </c>
    </row>
    <row r="4969" spans="1:14" x14ac:dyDescent="0.25">
      <c r="A4969" s="3" t="s">
        <v>4980</v>
      </c>
      <c r="B4969" s="4">
        <v>1635.76</v>
      </c>
      <c r="C4969" s="4">
        <v>-0.61</v>
      </c>
      <c r="D4969" s="4">
        <v>-0.23</v>
      </c>
      <c r="E4969" s="4">
        <v>-1.0246313112154719</v>
      </c>
      <c r="F4969" s="3">
        <v>4967</v>
      </c>
      <c r="G4969" s="3">
        <v>4</v>
      </c>
      <c r="H4969" s="5">
        <v>666023591.70000005</v>
      </c>
      <c r="I4969" s="5">
        <v>760630591.70000005</v>
      </c>
      <c r="J4969" s="5">
        <v>107663000</v>
      </c>
      <c r="K4969" s="5">
        <v>13056000</v>
      </c>
      <c r="L4969" s="5">
        <v>102093000</v>
      </c>
      <c r="M4969" s="5">
        <v>465000</v>
      </c>
      <c r="N4969" s="5">
        <v>-57218000</v>
      </c>
    </row>
    <row r="4970" spans="1:14" x14ac:dyDescent="0.25">
      <c r="A4970" s="3" t="s">
        <v>4981</v>
      </c>
      <c r="B4970" s="4">
        <v>1643.38</v>
      </c>
      <c r="C4970" s="4">
        <v>-0.06</v>
      </c>
      <c r="D4970" s="4">
        <v>-0.03</v>
      </c>
      <c r="E4970" s="4">
        <v>-1.0277197570393</v>
      </c>
      <c r="F4970" s="3">
        <v>4968</v>
      </c>
      <c r="G4970" s="3">
        <v>4</v>
      </c>
      <c r="H4970" s="5">
        <v>16743783</v>
      </c>
      <c r="I4970" s="5">
        <v>17008993</v>
      </c>
      <c r="J4970" s="5">
        <v>2265940</v>
      </c>
      <c r="K4970" s="5">
        <v>2000730</v>
      </c>
      <c r="L4970" s="5">
        <v>10289680</v>
      </c>
      <c r="M4970" s="5">
        <v>10350</v>
      </c>
      <c r="N4970" s="5">
        <v>-439340</v>
      </c>
    </row>
    <row r="4971" spans="1:14" x14ac:dyDescent="0.25">
      <c r="A4971" s="3" t="s">
        <v>4982</v>
      </c>
      <c r="B4971" s="4">
        <v>-20.38</v>
      </c>
      <c r="C4971" s="4">
        <v>0.36</v>
      </c>
      <c r="D4971" s="4">
        <v>-5539.48</v>
      </c>
      <c r="E4971" s="4">
        <v>-1.065345565964223</v>
      </c>
      <c r="F4971" s="3">
        <v>4969</v>
      </c>
      <c r="G4971" s="3">
        <v>4</v>
      </c>
      <c r="H4971" s="5">
        <v>95353.205100000006</v>
      </c>
      <c r="I4971" s="5">
        <v>8705023.2050999999</v>
      </c>
      <c r="J4971" s="5">
        <v>8610710</v>
      </c>
      <c r="K4971" s="5">
        <v>1040</v>
      </c>
      <c r="L4971" s="5">
        <v>0</v>
      </c>
      <c r="M4971" s="5">
        <v>-427130</v>
      </c>
      <c r="N4971" s="5">
        <v>-5761060</v>
      </c>
    </row>
    <row r="4972" spans="1:14" x14ac:dyDescent="0.25">
      <c r="A4972" s="3" t="s">
        <v>4983</v>
      </c>
      <c r="B4972" s="4">
        <v>-248</v>
      </c>
      <c r="C4972" s="4">
        <v>4.1100000000000003</v>
      </c>
      <c r="D4972" s="4">
        <v>-6810</v>
      </c>
      <c r="E4972" s="4">
        <v>-1.1587184479821999</v>
      </c>
      <c r="F4972" s="3">
        <v>4970</v>
      </c>
      <c r="G4972" s="3">
        <v>4</v>
      </c>
      <c r="H4972" s="5">
        <v>33744992.799999997</v>
      </c>
      <c r="I4972" s="5">
        <v>33777372.799999997</v>
      </c>
      <c r="J4972" s="5">
        <v>32400</v>
      </c>
      <c r="K4972" s="5">
        <v>20</v>
      </c>
      <c r="L4972" s="5">
        <v>0</v>
      </c>
      <c r="M4972" s="5">
        <v>-136200</v>
      </c>
      <c r="N4972" s="5">
        <v>-136200</v>
      </c>
    </row>
    <row r="4973" spans="1:14" x14ac:dyDescent="0.25">
      <c r="A4973" s="3" t="s">
        <v>4984</v>
      </c>
      <c r="B4973" s="4">
        <v>0.01</v>
      </c>
      <c r="C4973" s="4">
        <v>-410.46</v>
      </c>
      <c r="D4973" s="4">
        <v>-3.41</v>
      </c>
      <c r="E4973" s="4">
        <v>-1.197049903255236</v>
      </c>
      <c r="F4973" s="3">
        <v>4971</v>
      </c>
      <c r="G4973" s="3">
        <v>4</v>
      </c>
      <c r="H4973" s="5">
        <v>178.7577</v>
      </c>
      <c r="I4973" s="5">
        <v>-65821.242299999998</v>
      </c>
      <c r="J4973" s="5">
        <v>0</v>
      </c>
      <c r="K4973" s="5">
        <v>66000</v>
      </c>
      <c r="L4973" s="5">
        <v>3639000</v>
      </c>
      <c r="M4973" s="5">
        <v>-6034000</v>
      </c>
      <c r="N4973" s="5">
        <v>-5336000</v>
      </c>
    </row>
    <row r="4974" spans="1:14" x14ac:dyDescent="0.25">
      <c r="A4974" s="3" t="s">
        <v>4985</v>
      </c>
      <c r="B4974" s="4">
        <v>-30.36</v>
      </c>
      <c r="C4974" s="4">
        <v>20.83</v>
      </c>
      <c r="D4974" s="4">
        <v>-8263.9599999999991</v>
      </c>
      <c r="E4974" s="4">
        <v>-1.5255829581082629</v>
      </c>
      <c r="F4974" s="3">
        <v>4972</v>
      </c>
      <c r="G4974" s="3">
        <v>4</v>
      </c>
      <c r="H4974" s="5">
        <v>62725894.946699999</v>
      </c>
      <c r="I4974" s="5">
        <v>62725644.946699999</v>
      </c>
      <c r="J4974" s="5">
        <v>0</v>
      </c>
      <c r="K4974" s="5">
        <v>250</v>
      </c>
      <c r="L4974" s="5">
        <v>0</v>
      </c>
      <c r="M4974" s="5">
        <v>-2065990</v>
      </c>
      <c r="N4974" s="5">
        <v>-2065990</v>
      </c>
    </row>
    <row r="4975" spans="1:14" x14ac:dyDescent="0.25">
      <c r="A4975" s="3" t="s">
        <v>4986</v>
      </c>
      <c r="B4975" s="4">
        <v>2750.69</v>
      </c>
      <c r="C4975" s="4">
        <v>0.18</v>
      </c>
      <c r="D4975" s="4">
        <v>-0.02</v>
      </c>
      <c r="E4975" s="4">
        <v>-1.7123613174874579</v>
      </c>
      <c r="F4975" s="3">
        <v>4973</v>
      </c>
      <c r="G4975" s="3">
        <v>4</v>
      </c>
      <c r="H4975" s="5">
        <v>12714100</v>
      </c>
      <c r="I4975" s="5">
        <v>22583180</v>
      </c>
      <c r="J4975" s="5">
        <v>10000000</v>
      </c>
      <c r="K4975" s="5">
        <v>130920</v>
      </c>
      <c r="L4975" s="5">
        <v>87622400</v>
      </c>
      <c r="M4975" s="5">
        <v>8210</v>
      </c>
      <c r="N4975" s="5">
        <v>-1284170</v>
      </c>
    </row>
    <row r="4976" spans="1:14" x14ac:dyDescent="0.25">
      <c r="A4976" s="3" t="s">
        <v>4987</v>
      </c>
      <c r="B4976" s="4">
        <v>-0.81</v>
      </c>
      <c r="C4976" s="4">
        <v>0.28999999999999998</v>
      </c>
      <c r="D4976" s="4">
        <v>-10047.4</v>
      </c>
      <c r="E4976" s="4">
        <v>-1.94724984568953</v>
      </c>
      <c r="F4976" s="3">
        <v>4974</v>
      </c>
      <c r="G4976" s="3">
        <v>4</v>
      </c>
      <c r="H4976" s="5">
        <v>8453.7175999999999</v>
      </c>
      <c r="I4976" s="5">
        <v>720733.71759999997</v>
      </c>
      <c r="J4976" s="5">
        <v>712380</v>
      </c>
      <c r="K4976" s="5">
        <v>100</v>
      </c>
      <c r="L4976" s="5">
        <v>0</v>
      </c>
      <c r="M4976" s="5">
        <v>-886770</v>
      </c>
      <c r="N4976" s="5">
        <v>-1004740</v>
      </c>
    </row>
    <row r="4977" spans="1:14" x14ac:dyDescent="0.25">
      <c r="A4977" s="3" t="s">
        <v>4988</v>
      </c>
      <c r="B4977" s="4">
        <v>3456.15</v>
      </c>
      <c r="C4977" s="4">
        <v>-0.1</v>
      </c>
      <c r="D4977" s="4">
        <v>-0.04</v>
      </c>
      <c r="E4977" s="4">
        <v>-2.1497979016430442</v>
      </c>
      <c r="F4977" s="3">
        <v>4975</v>
      </c>
      <c r="G4977" s="3">
        <v>4</v>
      </c>
      <c r="H4977" s="5">
        <v>4687953844.8000002</v>
      </c>
      <c r="I4977" s="5">
        <v>5032160844.8000002</v>
      </c>
      <c r="J4977" s="5">
        <v>381239000</v>
      </c>
      <c r="K4977" s="5">
        <v>37032000</v>
      </c>
      <c r="L4977" s="5">
        <v>109954000</v>
      </c>
      <c r="M4977" s="5">
        <v>1456000</v>
      </c>
      <c r="N4977" s="5">
        <v>-41767000</v>
      </c>
    </row>
    <row r="4978" spans="1:14" x14ac:dyDescent="0.25">
      <c r="A4978" s="3" t="s">
        <v>4989</v>
      </c>
      <c r="B4978" s="4">
        <v>3541.19</v>
      </c>
      <c r="C4978" s="4">
        <v>-0.02</v>
      </c>
      <c r="D4978" s="4">
        <v>0.02</v>
      </c>
      <c r="E4978" s="4">
        <v>-2.2021881838754092</v>
      </c>
      <c r="F4978" s="3">
        <v>4976</v>
      </c>
      <c r="G4978" s="3">
        <v>4</v>
      </c>
      <c r="H4978" s="5">
        <v>174412512</v>
      </c>
      <c r="I4978" s="5">
        <v>173837062</v>
      </c>
      <c r="J4978" s="5">
        <v>0</v>
      </c>
      <c r="K4978" s="5">
        <v>575450</v>
      </c>
      <c r="L4978" s="5">
        <v>2307660</v>
      </c>
      <c r="M4978" s="5">
        <v>49090</v>
      </c>
      <c r="N4978" s="5">
        <v>79110</v>
      </c>
    </row>
    <row r="4979" spans="1:14" x14ac:dyDescent="0.25">
      <c r="A4979" s="3" t="s">
        <v>4990</v>
      </c>
      <c r="B4979" s="4">
        <v>3969.97</v>
      </c>
      <c r="C4979" s="4">
        <v>-0.01</v>
      </c>
      <c r="D4979" s="4">
        <v>-0.01</v>
      </c>
      <c r="E4979" s="4">
        <v>-2.4675458392274141</v>
      </c>
      <c r="F4979" s="3">
        <v>4977</v>
      </c>
      <c r="G4979" s="3">
        <v>4</v>
      </c>
      <c r="H4979" s="5">
        <v>7400467764.9300003</v>
      </c>
      <c r="I4979" s="5">
        <v>7241229764.9300003</v>
      </c>
      <c r="J4979" s="5">
        <v>0</v>
      </c>
      <c r="K4979" s="5">
        <v>159238000</v>
      </c>
      <c r="L4979" s="5">
        <v>371484000</v>
      </c>
      <c r="M4979" s="5">
        <v>1824000</v>
      </c>
      <c r="N4979" s="5">
        <v>-4555000</v>
      </c>
    </row>
    <row r="4980" spans="1:14" x14ac:dyDescent="0.25">
      <c r="A4980" s="3" t="s">
        <v>4991</v>
      </c>
      <c r="B4980" s="4">
        <v>4105.43</v>
      </c>
      <c r="C4980" s="4">
        <v>-0.17</v>
      </c>
      <c r="D4980" s="4">
        <v>-0.04</v>
      </c>
      <c r="E4980" s="4">
        <v>-2.55185290439199</v>
      </c>
      <c r="F4980" s="3">
        <v>4978</v>
      </c>
      <c r="G4980" s="3">
        <v>4</v>
      </c>
      <c r="H4980" s="5">
        <v>78596355.439999998</v>
      </c>
      <c r="I4980" s="5">
        <v>78331595.439999998</v>
      </c>
      <c r="J4980" s="5">
        <v>192380</v>
      </c>
      <c r="K4980" s="5">
        <v>457140</v>
      </c>
      <c r="L4980" s="5">
        <v>3298360</v>
      </c>
      <c r="M4980" s="5">
        <v>19080</v>
      </c>
      <c r="N4980" s="5">
        <v>-183700</v>
      </c>
    </row>
    <row r="4981" spans="1:14" x14ac:dyDescent="0.25">
      <c r="A4981" s="3" t="s">
        <v>4992</v>
      </c>
      <c r="B4981" s="4">
        <v>4223.3999999999996</v>
      </c>
      <c r="C4981" s="4">
        <v>0.11</v>
      </c>
      <c r="D4981" s="4">
        <v>-5.03</v>
      </c>
      <c r="E4981" s="4">
        <v>-2.625020527266182</v>
      </c>
      <c r="F4981" s="3">
        <v>4979</v>
      </c>
      <c r="G4981" s="3">
        <v>4</v>
      </c>
      <c r="H4981" s="5">
        <v>17830451.399999999</v>
      </c>
      <c r="I4981" s="5">
        <v>18414011.399999999</v>
      </c>
      <c r="J4981" s="5">
        <v>583650</v>
      </c>
      <c r="K4981" s="5">
        <v>90</v>
      </c>
      <c r="L4981" s="5">
        <v>0</v>
      </c>
      <c r="M4981" s="5">
        <v>4360</v>
      </c>
      <c r="N4981" s="5">
        <v>-76780</v>
      </c>
    </row>
    <row r="4982" spans="1:14" x14ac:dyDescent="0.25">
      <c r="A4982" s="3" t="s">
        <v>4993</v>
      </c>
      <c r="B4982" s="4">
        <v>4296.63</v>
      </c>
      <c r="C4982" s="4">
        <v>-0.3</v>
      </c>
      <c r="D4982" s="4">
        <v>-0.09</v>
      </c>
      <c r="E4982" s="4">
        <v>-2.670575779344186</v>
      </c>
      <c r="F4982" s="3">
        <v>4980</v>
      </c>
      <c r="G4982" s="3">
        <v>4</v>
      </c>
      <c r="H4982" s="5">
        <v>6299954073.6000004</v>
      </c>
      <c r="I4982" s="5">
        <v>6513685073.6000004</v>
      </c>
      <c r="J4982" s="5">
        <v>487796000</v>
      </c>
      <c r="K4982" s="5">
        <v>274065000</v>
      </c>
      <c r="L4982" s="5">
        <v>140051000</v>
      </c>
      <c r="M4982" s="5">
        <v>1516000</v>
      </c>
      <c r="N4982" s="5">
        <v>-72418000</v>
      </c>
    </row>
    <row r="4983" spans="1:14" x14ac:dyDescent="0.25">
      <c r="A4983" s="3" t="s">
        <v>4994</v>
      </c>
      <c r="B4983" s="4">
        <v>0.01</v>
      </c>
      <c r="C4983" s="4">
        <v>-927.48</v>
      </c>
      <c r="D4983" s="4">
        <v>-78.81</v>
      </c>
      <c r="E4983" s="4">
        <v>-2.7054520335111358</v>
      </c>
      <c r="F4983" s="3">
        <v>4981</v>
      </c>
      <c r="G4983" s="3">
        <v>4</v>
      </c>
      <c r="H4983" s="5">
        <v>31.153901000000001</v>
      </c>
      <c r="I4983" s="5">
        <v>-36728.846099000002</v>
      </c>
      <c r="J4983" s="5">
        <v>0</v>
      </c>
      <c r="K4983" s="5">
        <v>36760</v>
      </c>
      <c r="L4983" s="5">
        <v>17497690</v>
      </c>
      <c r="M4983" s="5">
        <v>-3577720</v>
      </c>
      <c r="N4983" s="5">
        <v>-226628860</v>
      </c>
    </row>
    <row r="4984" spans="1:14" x14ac:dyDescent="0.25">
      <c r="A4984" s="3" t="s">
        <v>4995</v>
      </c>
      <c r="B4984" s="4">
        <v>4770.45</v>
      </c>
      <c r="C4984" s="4">
        <v>0.19</v>
      </c>
      <c r="D4984" s="4">
        <v>-0.18</v>
      </c>
      <c r="E4984" s="4">
        <v>-2.9624342981785978</v>
      </c>
      <c r="F4984" s="3">
        <v>4982</v>
      </c>
      <c r="G4984" s="3">
        <v>4</v>
      </c>
      <c r="H4984" s="5">
        <v>1509497110.1099999</v>
      </c>
      <c r="I4984" s="5">
        <v>2237341110.1100001</v>
      </c>
      <c r="J4984" s="5">
        <v>832557000</v>
      </c>
      <c r="K4984" s="5">
        <v>104713000</v>
      </c>
      <c r="L4984" s="5">
        <v>450712000</v>
      </c>
      <c r="M4984" s="5">
        <v>469000</v>
      </c>
      <c r="N4984" s="5">
        <v>-88881000</v>
      </c>
    </row>
    <row r="4985" spans="1:14" x14ac:dyDescent="0.25">
      <c r="A4985" s="3" t="s">
        <v>4996</v>
      </c>
      <c r="B4985" s="4">
        <v>5181.8599999999997</v>
      </c>
      <c r="C4985" s="4">
        <v>0.35</v>
      </c>
      <c r="D4985" s="4">
        <v>0.16</v>
      </c>
      <c r="E4985" s="4">
        <v>-3.216536525146195</v>
      </c>
      <c r="F4985" s="3">
        <v>4983</v>
      </c>
      <c r="G4985" s="3">
        <v>4</v>
      </c>
      <c r="H4985" s="5">
        <v>1199949756.05</v>
      </c>
      <c r="I4985" s="5">
        <v>1199652416.05</v>
      </c>
      <c r="J4985" s="5">
        <v>0</v>
      </c>
      <c r="K4985" s="5">
        <v>297340</v>
      </c>
      <c r="L4985" s="5">
        <v>950020</v>
      </c>
      <c r="M4985" s="5">
        <v>231510</v>
      </c>
      <c r="N4985" s="5">
        <v>113130</v>
      </c>
    </row>
    <row r="4986" spans="1:14" x14ac:dyDescent="0.25">
      <c r="A4986" s="3" t="s">
        <v>4997</v>
      </c>
      <c r="B4986" s="4">
        <v>8014.29</v>
      </c>
      <c r="C4986" s="4">
        <v>-0.21</v>
      </c>
      <c r="D4986" s="4">
        <v>-0.12</v>
      </c>
      <c r="E4986" s="4">
        <v>-4.9712577691404816</v>
      </c>
      <c r="F4986" s="3">
        <v>4984</v>
      </c>
      <c r="G4986" s="3">
        <v>4</v>
      </c>
      <c r="H4986" s="5">
        <v>3956171233.3000002</v>
      </c>
      <c r="I4986" s="5">
        <v>3943032233.3000002</v>
      </c>
      <c r="J4986" s="5">
        <v>72073000</v>
      </c>
      <c r="K4986" s="5">
        <v>85212000</v>
      </c>
      <c r="L4986" s="5">
        <v>305450000</v>
      </c>
      <c r="M4986" s="5">
        <v>492000</v>
      </c>
      <c r="N4986" s="5">
        <v>-52286000</v>
      </c>
    </row>
    <row r="4987" spans="1:14" x14ac:dyDescent="0.25">
      <c r="A4987" s="3" t="s">
        <v>4998</v>
      </c>
      <c r="B4987" s="4">
        <v>-0.32</v>
      </c>
      <c r="C4987" s="4">
        <v>-2361.56</v>
      </c>
      <c r="D4987" s="4">
        <v>-1.29</v>
      </c>
      <c r="E4987" s="4">
        <v>-6.833868370423696</v>
      </c>
      <c r="F4987" s="3">
        <v>4985</v>
      </c>
      <c r="G4987" s="3">
        <v>4</v>
      </c>
      <c r="H4987" s="5">
        <v>55740.2745</v>
      </c>
      <c r="I4987" s="5">
        <v>720080.27450000006</v>
      </c>
      <c r="J4987" s="5">
        <v>685430</v>
      </c>
      <c r="K4987" s="5">
        <v>21090</v>
      </c>
      <c r="L4987" s="5">
        <v>2476190</v>
      </c>
      <c r="M4987" s="5">
        <v>-2277260</v>
      </c>
      <c r="N4987" s="5">
        <v>-3660420</v>
      </c>
    </row>
    <row r="4988" spans="1:14" x14ac:dyDescent="0.25">
      <c r="A4988" s="3" t="s">
        <v>4999</v>
      </c>
      <c r="B4988" s="4">
        <v>11396.04</v>
      </c>
      <c r="C4988" s="4">
        <v>-7.0000000000000007E-2</v>
      </c>
      <c r="D4988" s="4">
        <v>-0.05</v>
      </c>
      <c r="E4988" s="4">
        <v>-7.0638743920654026</v>
      </c>
      <c r="F4988" s="3">
        <v>4986</v>
      </c>
      <c r="G4988" s="3">
        <v>4</v>
      </c>
      <c r="H4988" s="5">
        <v>9762724654.3400002</v>
      </c>
      <c r="I4988" s="5">
        <v>9800598654.3400002</v>
      </c>
      <c r="J4988" s="5">
        <v>43459000</v>
      </c>
      <c r="K4988" s="5">
        <v>5585000</v>
      </c>
      <c r="L4988" s="5">
        <v>151270000</v>
      </c>
      <c r="M4988" s="5">
        <v>860000</v>
      </c>
      <c r="N4988" s="5">
        <v>-44635000</v>
      </c>
    </row>
  </sheetData>
  <conditionalFormatting sqref="A3:N4988">
    <cfRule type="expression" dxfId="0" priority="3">
      <formula>$A1=SelectedInstrument</formula>
    </cfRule>
  </conditionalFormatting>
  <conditionalFormatting sqref="F3:F498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4988">
    <cfRule type="dataBar" priority="2">
      <dataBar>
        <cfvo type="num" val="0"/>
        <cfvo type="max"/>
        <color rgb="FF4472C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showGridLines="0" workbookViewId="0">
      <pane ySplit="22" topLeftCell="A23" activePane="bottomLeft" state="frozen"/>
      <selection pane="bottomLeft" activeCell="A9" sqref="A9"/>
    </sheetView>
  </sheetViews>
  <sheetFormatPr defaultColWidth="15.85546875" defaultRowHeight="15" x14ac:dyDescent="0.25"/>
  <cols>
    <col min="1" max="1" width="27.85546875" bestFit="1" customWidth="1"/>
    <col min="2" max="2" width="12.28515625" bestFit="1" customWidth="1"/>
    <col min="3" max="3" width="8.7109375" bestFit="1" customWidth="1"/>
    <col min="4" max="4" width="6.7109375" bestFit="1" customWidth="1"/>
    <col min="5" max="5" width="12.7109375" bestFit="1" customWidth="1"/>
    <col min="6" max="6" width="5.28515625" bestFit="1" customWidth="1"/>
    <col min="7" max="7" width="6.5703125" bestFit="1" customWidth="1"/>
    <col min="8" max="9" width="19" bestFit="1" customWidth="1"/>
    <col min="10" max="12" width="18" bestFit="1" customWidth="1"/>
    <col min="13" max="13" width="15" bestFit="1" customWidth="1"/>
    <col min="14" max="14" width="17" bestFit="1" customWidth="1"/>
  </cols>
  <sheetData>
    <row r="1" spans="1:14" ht="17.25" x14ac:dyDescent="0.3">
      <c r="A1" s="1" t="s">
        <v>5000</v>
      </c>
    </row>
    <row r="4" spans="1:14" x14ac:dyDescent="0.25">
      <c r="A4" s="7" t="s">
        <v>5002</v>
      </c>
      <c r="B4">
        <v>4986</v>
      </c>
    </row>
    <row r="5" spans="1:14" x14ac:dyDescent="0.25">
      <c r="A5" s="7" t="s">
        <v>5003</v>
      </c>
      <c r="B5" s="23">
        <v>68.83</v>
      </c>
    </row>
    <row r="6" spans="1:14" x14ac:dyDescent="0.25">
      <c r="A6" s="7" t="s">
        <v>5004</v>
      </c>
      <c r="B6" s="23">
        <v>4.5199999999999996</v>
      </c>
    </row>
    <row r="8" spans="1:14" x14ac:dyDescent="0.25">
      <c r="A8" s="8" t="s">
        <v>5005</v>
      </c>
    </row>
    <row r="9" spans="1:14" x14ac:dyDescent="0.2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</row>
    <row r="10" spans="1:14" x14ac:dyDescent="0.25">
      <c r="A10" s="3" t="s">
        <v>14</v>
      </c>
      <c r="B10" s="22">
        <v>-31506.52</v>
      </c>
      <c r="C10" s="3">
        <v>0.95</v>
      </c>
      <c r="D10" s="3">
        <v>-4.25</v>
      </c>
      <c r="E10" s="3">
        <v>19.491539441808222</v>
      </c>
      <c r="F10" s="3">
        <v>1</v>
      </c>
      <c r="G10" s="3">
        <v>1</v>
      </c>
      <c r="H10" s="22">
        <v>68054363.650000006</v>
      </c>
      <c r="I10" s="22">
        <v>68054083.650000006</v>
      </c>
      <c r="J10" s="22">
        <v>0</v>
      </c>
      <c r="K10" s="22">
        <v>280</v>
      </c>
      <c r="L10" s="22">
        <v>0</v>
      </c>
      <c r="M10" s="22">
        <v>-2160</v>
      </c>
      <c r="N10" s="22">
        <v>-3060</v>
      </c>
    </row>
    <row r="11" spans="1:14" x14ac:dyDescent="0.25">
      <c r="A11" s="3" t="s">
        <v>15</v>
      </c>
      <c r="B11" s="22">
        <v>-21813.43</v>
      </c>
      <c r="C11" s="3">
        <v>-0.02</v>
      </c>
      <c r="D11" s="3">
        <v>-0.01</v>
      </c>
      <c r="E11" s="3">
        <v>13.49030188416824</v>
      </c>
      <c r="F11" s="3">
        <v>2</v>
      </c>
      <c r="G11" s="3">
        <v>1</v>
      </c>
      <c r="H11" s="22">
        <v>51273636569.699997</v>
      </c>
      <c r="I11" s="22">
        <v>50585340569.699997</v>
      </c>
      <c r="J11" s="22">
        <v>1700727000</v>
      </c>
      <c r="K11" s="22">
        <v>2389023000</v>
      </c>
      <c r="L11" s="22">
        <v>2673115000</v>
      </c>
      <c r="M11" s="22">
        <v>-2319000</v>
      </c>
      <c r="N11" s="22">
        <v>-41478000</v>
      </c>
    </row>
    <row r="12" spans="1:14" x14ac:dyDescent="0.25">
      <c r="A12" s="3" t="s">
        <v>16</v>
      </c>
      <c r="B12" s="22">
        <v>-20000.98</v>
      </c>
      <c r="C12" s="3">
        <v>-0.45</v>
      </c>
      <c r="D12" s="3">
        <v>-0.06</v>
      </c>
      <c r="E12" s="3">
        <v>12.367287227366919</v>
      </c>
      <c r="F12" s="3">
        <v>3</v>
      </c>
      <c r="G12" s="3">
        <v>1</v>
      </c>
      <c r="H12" s="22">
        <v>154207531.25</v>
      </c>
      <c r="I12" s="22">
        <v>154207531.25</v>
      </c>
      <c r="J12" s="22">
        <v>0</v>
      </c>
      <c r="K12" s="22">
        <v>0</v>
      </c>
      <c r="L12" s="22">
        <v>0</v>
      </c>
      <c r="M12" s="22">
        <v>-7710</v>
      </c>
      <c r="N12" s="22">
        <v>-7710</v>
      </c>
    </row>
    <row r="13" spans="1:14" x14ac:dyDescent="0.25">
      <c r="A13" s="3" t="s">
        <v>17</v>
      </c>
      <c r="B13" s="22">
        <v>-12025.77</v>
      </c>
      <c r="C13" s="3">
        <v>1</v>
      </c>
      <c r="D13" s="3">
        <v>-0.64</v>
      </c>
      <c r="E13" s="3">
        <v>7.4353434001036227</v>
      </c>
      <c r="F13" s="3">
        <v>4</v>
      </c>
      <c r="G13" s="3">
        <v>1</v>
      </c>
      <c r="H13" s="22">
        <v>274416670</v>
      </c>
      <c r="I13" s="22">
        <v>274428060</v>
      </c>
      <c r="J13" s="22">
        <v>11390</v>
      </c>
      <c r="K13" s="22">
        <v>0</v>
      </c>
      <c r="L13" s="22">
        <v>0</v>
      </c>
      <c r="M13" s="22">
        <v>-22820</v>
      </c>
      <c r="N13" s="22">
        <v>-22820</v>
      </c>
    </row>
    <row r="14" spans="1:14" x14ac:dyDescent="0.25">
      <c r="A14" s="3" t="s">
        <v>18</v>
      </c>
      <c r="B14" s="22">
        <v>-11530.93</v>
      </c>
      <c r="C14" s="3">
        <v>4.1100000000000003</v>
      </c>
      <c r="D14" s="3">
        <v>-1.86</v>
      </c>
      <c r="E14" s="3">
        <v>7.1378273159284831</v>
      </c>
      <c r="F14" s="3">
        <v>5</v>
      </c>
      <c r="G14" s="3">
        <v>1</v>
      </c>
      <c r="H14" s="22">
        <v>445450000</v>
      </c>
      <c r="I14" s="22">
        <v>445439660</v>
      </c>
      <c r="J14" s="22">
        <v>0</v>
      </c>
      <c r="K14" s="22">
        <v>10340</v>
      </c>
      <c r="L14" s="22">
        <v>25700</v>
      </c>
      <c r="M14" s="22">
        <v>-38630</v>
      </c>
      <c r="N14" s="22">
        <v>-39220</v>
      </c>
    </row>
    <row r="15" spans="1:14" x14ac:dyDescent="0.25">
      <c r="A15" s="3" t="s">
        <v>19</v>
      </c>
      <c r="B15" s="22">
        <v>-11439.7</v>
      </c>
      <c r="C15" s="3">
        <v>-0.69</v>
      </c>
      <c r="D15" s="3">
        <v>-0.02</v>
      </c>
      <c r="E15" s="3">
        <v>7.0678492018773671</v>
      </c>
      <c r="F15" s="3">
        <v>6</v>
      </c>
      <c r="G15" s="3">
        <v>1</v>
      </c>
      <c r="H15" s="22">
        <v>116152782</v>
      </c>
      <c r="I15" s="22">
        <v>116341782</v>
      </c>
      <c r="J15" s="22">
        <v>500000</v>
      </c>
      <c r="K15" s="22">
        <v>311000</v>
      </c>
      <c r="L15" s="22">
        <v>0</v>
      </c>
      <c r="M15" s="22">
        <v>-10170</v>
      </c>
      <c r="N15" s="22">
        <v>-10170</v>
      </c>
    </row>
    <row r="16" spans="1:14" x14ac:dyDescent="0.25">
      <c r="A16" s="3" t="s">
        <v>20</v>
      </c>
      <c r="B16" s="22">
        <v>-9616.94</v>
      </c>
      <c r="C16" s="3">
        <v>-0.23</v>
      </c>
      <c r="D16" s="3">
        <v>-0.08</v>
      </c>
      <c r="E16" s="3">
        <v>5.9410230760000804</v>
      </c>
      <c r="F16" s="3">
        <v>7</v>
      </c>
      <c r="G16" s="3">
        <v>1</v>
      </c>
      <c r="H16" s="22">
        <v>319496142.75999999</v>
      </c>
      <c r="I16" s="22">
        <v>605867142.75999999</v>
      </c>
      <c r="J16" s="22">
        <v>336229000</v>
      </c>
      <c r="K16" s="22">
        <v>49858000</v>
      </c>
      <c r="L16" s="22">
        <v>1195401000</v>
      </c>
      <c r="M16" s="22">
        <v>-63000</v>
      </c>
      <c r="N16" s="22">
        <v>-98255000</v>
      </c>
    </row>
    <row r="17" spans="1:14" x14ac:dyDescent="0.25">
      <c r="A17" s="3" t="s">
        <v>21</v>
      </c>
      <c r="B17" s="22">
        <v>-8401.4599999999991</v>
      </c>
      <c r="C17" s="3">
        <v>-0.81</v>
      </c>
      <c r="D17" s="3">
        <v>-0.45</v>
      </c>
      <c r="E17" s="3">
        <v>5.1869902987415024</v>
      </c>
      <c r="F17" s="3">
        <v>8</v>
      </c>
      <c r="G17" s="3">
        <v>1</v>
      </c>
      <c r="H17" s="22">
        <v>11794026770.139999</v>
      </c>
      <c r="I17" s="22">
        <v>11795152500.139999</v>
      </c>
      <c r="J17" s="22">
        <v>1625000</v>
      </c>
      <c r="K17" s="22">
        <v>499270</v>
      </c>
      <c r="L17" s="22">
        <v>3310350</v>
      </c>
      <c r="M17" s="22">
        <v>-1403940</v>
      </c>
      <c r="N17" s="22">
        <v>-3292500</v>
      </c>
    </row>
    <row r="18" spans="1:14" x14ac:dyDescent="0.25">
      <c r="A18" s="3" t="s">
        <v>22</v>
      </c>
      <c r="B18" s="22">
        <v>-7906.72</v>
      </c>
      <c r="C18" s="3">
        <v>1.37</v>
      </c>
      <c r="D18" s="3">
        <v>-8.27</v>
      </c>
      <c r="E18" s="3">
        <v>4.8855758436298364</v>
      </c>
      <c r="F18" s="3">
        <v>9</v>
      </c>
      <c r="G18" s="3">
        <v>1</v>
      </c>
      <c r="H18" s="22">
        <v>147697550</v>
      </c>
      <c r="I18" s="22">
        <v>147697550</v>
      </c>
      <c r="J18" s="22">
        <v>0</v>
      </c>
      <c r="K18" s="22">
        <v>0</v>
      </c>
      <c r="L18" s="22">
        <v>0</v>
      </c>
      <c r="M18" s="22">
        <v>-18680</v>
      </c>
      <c r="N18" s="22">
        <v>-18680</v>
      </c>
    </row>
    <row r="19" spans="1:14" x14ac:dyDescent="0.25">
      <c r="A19" s="3" t="s">
        <v>23</v>
      </c>
      <c r="B19" s="22">
        <v>-7402.72</v>
      </c>
      <c r="C19" s="3">
        <v>2.27</v>
      </c>
      <c r="D19" s="3">
        <v>-0.18</v>
      </c>
      <c r="E19" s="3">
        <v>4.5778008836296351</v>
      </c>
      <c r="F19" s="3">
        <v>10</v>
      </c>
      <c r="G19" s="3">
        <v>1</v>
      </c>
      <c r="H19" s="22">
        <v>331200000</v>
      </c>
      <c r="I19" s="22">
        <v>331197770</v>
      </c>
      <c r="J19" s="22">
        <v>0</v>
      </c>
      <c r="K19" s="22">
        <v>2230</v>
      </c>
      <c r="L19" s="22">
        <v>0</v>
      </c>
      <c r="M19" s="22">
        <v>-44740</v>
      </c>
      <c r="N19" s="22">
        <v>-44740</v>
      </c>
    </row>
    <row r="21" spans="1:14" x14ac:dyDescent="0.25">
      <c r="A21" s="9" t="s">
        <v>5006</v>
      </c>
    </row>
    <row r="22" spans="1:14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</row>
    <row r="23" spans="1:14" x14ac:dyDescent="0.25">
      <c r="A23" s="3" t="s">
        <v>4999</v>
      </c>
      <c r="B23" s="22">
        <v>11396.04</v>
      </c>
      <c r="C23" s="3">
        <v>-7.0000000000000007E-2</v>
      </c>
      <c r="D23" s="3">
        <v>-0.05</v>
      </c>
      <c r="E23" s="3">
        <v>-7.0638743920654026</v>
      </c>
      <c r="F23" s="3">
        <v>4986</v>
      </c>
      <c r="G23" s="3">
        <v>4</v>
      </c>
      <c r="H23" s="22">
        <v>9762724654.3400002</v>
      </c>
      <c r="I23" s="22">
        <v>9800598654.3400002</v>
      </c>
      <c r="J23" s="22">
        <v>43459000</v>
      </c>
      <c r="K23" s="22">
        <v>5585000</v>
      </c>
      <c r="L23" s="22">
        <v>151270000</v>
      </c>
      <c r="M23" s="22">
        <v>860000</v>
      </c>
      <c r="N23" s="22">
        <v>-44635000</v>
      </c>
    </row>
    <row r="24" spans="1:14" x14ac:dyDescent="0.25">
      <c r="A24" s="3" t="s">
        <v>4998</v>
      </c>
      <c r="B24" s="22">
        <v>-0.32</v>
      </c>
      <c r="C24" s="3">
        <v>-2361.56</v>
      </c>
      <c r="D24" s="3">
        <v>-1.29</v>
      </c>
      <c r="E24" s="3">
        <v>-6.833868370423696</v>
      </c>
      <c r="F24" s="3">
        <v>4985</v>
      </c>
      <c r="G24" s="3">
        <v>4</v>
      </c>
      <c r="H24" s="22">
        <v>55740.2745</v>
      </c>
      <c r="I24" s="22">
        <v>720080.27450000006</v>
      </c>
      <c r="J24" s="22">
        <v>685430</v>
      </c>
      <c r="K24" s="22">
        <v>21090</v>
      </c>
      <c r="L24" s="22">
        <v>2476190</v>
      </c>
      <c r="M24" s="22">
        <v>-2277260</v>
      </c>
      <c r="N24" s="22">
        <v>-3660420</v>
      </c>
    </row>
    <row r="25" spans="1:14" x14ac:dyDescent="0.25">
      <c r="A25" s="3" t="s">
        <v>4997</v>
      </c>
      <c r="B25" s="22">
        <v>8014.29</v>
      </c>
      <c r="C25" s="3">
        <v>-0.21</v>
      </c>
      <c r="D25" s="3">
        <v>-0.12</v>
      </c>
      <c r="E25" s="3">
        <v>-4.9712577691404816</v>
      </c>
      <c r="F25" s="3">
        <v>4984</v>
      </c>
      <c r="G25" s="3">
        <v>4</v>
      </c>
      <c r="H25" s="22">
        <v>3956171233.3000002</v>
      </c>
      <c r="I25" s="22">
        <v>3943032233.3000002</v>
      </c>
      <c r="J25" s="22">
        <v>72073000</v>
      </c>
      <c r="K25" s="22">
        <v>85212000</v>
      </c>
      <c r="L25" s="22">
        <v>305450000</v>
      </c>
      <c r="M25" s="22">
        <v>492000</v>
      </c>
      <c r="N25" s="22">
        <v>-52286000</v>
      </c>
    </row>
    <row r="26" spans="1:14" x14ac:dyDescent="0.25">
      <c r="A26" s="3" t="s">
        <v>4996</v>
      </c>
      <c r="B26" s="22">
        <v>5181.8599999999997</v>
      </c>
      <c r="C26" s="3">
        <v>0.35</v>
      </c>
      <c r="D26" s="3">
        <v>0.16</v>
      </c>
      <c r="E26" s="3">
        <v>-3.216536525146195</v>
      </c>
      <c r="F26" s="3">
        <v>4983</v>
      </c>
      <c r="G26" s="3">
        <v>4</v>
      </c>
      <c r="H26" s="22">
        <v>1199949756.05</v>
      </c>
      <c r="I26" s="22">
        <v>1199652416.05</v>
      </c>
      <c r="J26" s="22">
        <v>0</v>
      </c>
      <c r="K26" s="22">
        <v>297340</v>
      </c>
      <c r="L26" s="22">
        <v>950020</v>
      </c>
      <c r="M26" s="22">
        <v>231510</v>
      </c>
      <c r="N26" s="22">
        <v>113130</v>
      </c>
    </row>
    <row r="27" spans="1:14" x14ac:dyDescent="0.25">
      <c r="A27" s="3" t="s">
        <v>4995</v>
      </c>
      <c r="B27" s="22">
        <v>4770.45</v>
      </c>
      <c r="C27" s="3">
        <v>0.19</v>
      </c>
      <c r="D27" s="3">
        <v>-0.18</v>
      </c>
      <c r="E27" s="3">
        <v>-2.9624342981785978</v>
      </c>
      <c r="F27" s="3">
        <v>4982</v>
      </c>
      <c r="G27" s="3">
        <v>4</v>
      </c>
      <c r="H27" s="22">
        <v>1509497110.1099999</v>
      </c>
      <c r="I27" s="22">
        <v>2237341110.1100001</v>
      </c>
      <c r="J27" s="22">
        <v>832557000</v>
      </c>
      <c r="K27" s="22">
        <v>104713000</v>
      </c>
      <c r="L27" s="22">
        <v>450712000</v>
      </c>
      <c r="M27" s="22">
        <v>469000</v>
      </c>
      <c r="N27" s="22">
        <v>-88881000</v>
      </c>
    </row>
    <row r="28" spans="1:14" x14ac:dyDescent="0.25">
      <c r="A28" s="3" t="s">
        <v>4994</v>
      </c>
      <c r="B28" s="22">
        <v>0.01</v>
      </c>
      <c r="C28" s="3">
        <v>-927.48</v>
      </c>
      <c r="D28" s="3">
        <v>-78.81</v>
      </c>
      <c r="E28" s="3">
        <v>-2.7054520335111358</v>
      </c>
      <c r="F28" s="3">
        <v>4981</v>
      </c>
      <c r="G28" s="3">
        <v>4</v>
      </c>
      <c r="H28" s="22">
        <v>31.153901000000001</v>
      </c>
      <c r="I28" s="22">
        <v>-36728.846099000002</v>
      </c>
      <c r="J28" s="22">
        <v>0</v>
      </c>
      <c r="K28" s="22">
        <v>36760</v>
      </c>
      <c r="L28" s="22">
        <v>17497690</v>
      </c>
      <c r="M28" s="22">
        <v>-3577720</v>
      </c>
      <c r="N28" s="22">
        <v>-226628860</v>
      </c>
    </row>
    <row r="29" spans="1:14" x14ac:dyDescent="0.25">
      <c r="A29" s="3" t="s">
        <v>4993</v>
      </c>
      <c r="B29" s="22">
        <v>4296.63</v>
      </c>
      <c r="C29" s="3">
        <v>-0.3</v>
      </c>
      <c r="D29" s="3">
        <v>-0.09</v>
      </c>
      <c r="E29" s="3">
        <v>-2.670575779344186</v>
      </c>
      <c r="F29" s="3">
        <v>4980</v>
      </c>
      <c r="G29" s="3">
        <v>4</v>
      </c>
      <c r="H29" s="22">
        <v>6299954073.6000004</v>
      </c>
      <c r="I29" s="22">
        <v>6513685073.6000004</v>
      </c>
      <c r="J29" s="22">
        <v>487796000</v>
      </c>
      <c r="K29" s="22">
        <v>274065000</v>
      </c>
      <c r="L29" s="22">
        <v>140051000</v>
      </c>
      <c r="M29" s="22">
        <v>1516000</v>
      </c>
      <c r="N29" s="22">
        <v>-72418000</v>
      </c>
    </row>
    <row r="30" spans="1:14" x14ac:dyDescent="0.25">
      <c r="A30" s="3" t="s">
        <v>4992</v>
      </c>
      <c r="B30" s="22">
        <v>4223.3999999999996</v>
      </c>
      <c r="C30" s="3">
        <v>0.11</v>
      </c>
      <c r="D30" s="3">
        <v>-5.03</v>
      </c>
      <c r="E30" s="3">
        <v>-2.625020527266182</v>
      </c>
      <c r="F30" s="3">
        <v>4979</v>
      </c>
      <c r="G30" s="3">
        <v>4</v>
      </c>
      <c r="H30" s="22">
        <v>17830451.399999999</v>
      </c>
      <c r="I30" s="22">
        <v>18414011.399999999</v>
      </c>
      <c r="J30" s="22">
        <v>583650</v>
      </c>
      <c r="K30" s="22">
        <v>90</v>
      </c>
      <c r="L30" s="22">
        <v>0</v>
      </c>
      <c r="M30" s="22">
        <v>4360</v>
      </c>
      <c r="N30" s="22">
        <v>-76780</v>
      </c>
    </row>
    <row r="31" spans="1:14" x14ac:dyDescent="0.25">
      <c r="A31" s="3" t="s">
        <v>4991</v>
      </c>
      <c r="B31" s="22">
        <v>4105.43</v>
      </c>
      <c r="C31" s="3">
        <v>-0.17</v>
      </c>
      <c r="D31" s="3">
        <v>-0.04</v>
      </c>
      <c r="E31" s="3">
        <v>-2.55185290439199</v>
      </c>
      <c r="F31" s="3">
        <v>4978</v>
      </c>
      <c r="G31" s="3">
        <v>4</v>
      </c>
      <c r="H31" s="22">
        <v>78596355.439999998</v>
      </c>
      <c r="I31" s="22">
        <v>78331595.439999998</v>
      </c>
      <c r="J31" s="22">
        <v>192380</v>
      </c>
      <c r="K31" s="22">
        <v>457140</v>
      </c>
      <c r="L31" s="22">
        <v>3298360</v>
      </c>
      <c r="M31" s="22">
        <v>19080</v>
      </c>
      <c r="N31" s="22">
        <v>-183700</v>
      </c>
    </row>
    <row r="32" spans="1:14" x14ac:dyDescent="0.25">
      <c r="A32" s="3" t="s">
        <v>4990</v>
      </c>
      <c r="B32" s="22">
        <v>3969.97</v>
      </c>
      <c r="C32" s="3">
        <v>-0.01</v>
      </c>
      <c r="D32" s="3">
        <v>-0.01</v>
      </c>
      <c r="E32" s="3">
        <v>-2.4675458392274141</v>
      </c>
      <c r="F32" s="3">
        <v>4977</v>
      </c>
      <c r="G32" s="3">
        <v>4</v>
      </c>
      <c r="H32" s="22">
        <v>7400467764.9300003</v>
      </c>
      <c r="I32" s="22">
        <v>7241229764.9300003</v>
      </c>
      <c r="J32" s="22">
        <v>0</v>
      </c>
      <c r="K32" s="22">
        <v>159238000</v>
      </c>
      <c r="L32" s="22">
        <v>371484000</v>
      </c>
      <c r="M32" s="22">
        <v>1824000</v>
      </c>
      <c r="N32" s="22">
        <v>-4555000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>
      <selection activeCell="B9" sqref="B9"/>
    </sheetView>
  </sheetViews>
  <sheetFormatPr defaultRowHeight="15" x14ac:dyDescent="0.25"/>
  <cols>
    <col min="1" max="1" width="21.85546875" bestFit="1" customWidth="1"/>
    <col min="2" max="2" width="13.85546875" bestFit="1" customWidth="1"/>
  </cols>
  <sheetData>
    <row r="1" spans="1:8" ht="17.25" x14ac:dyDescent="0.3">
      <c r="A1" s="1" t="s">
        <v>5007</v>
      </c>
    </row>
    <row r="4" spans="1:8" x14ac:dyDescent="0.25">
      <c r="A4" s="7" t="s">
        <v>5008</v>
      </c>
      <c r="B4" s="10" t="s">
        <v>20</v>
      </c>
    </row>
    <row r="7" spans="1:8" x14ac:dyDescent="0.25">
      <c r="A7" s="7" t="s">
        <v>0</v>
      </c>
      <c r="B7" s="11" t="str">
        <f>_xlfn.XLOOKUP($B$4, Instruments, Instruments, "")</f>
        <v>CMDB.N</v>
      </c>
    </row>
    <row r="8" spans="1:8" x14ac:dyDescent="0.25">
      <c r="A8" s="7" t="s">
        <v>11</v>
      </c>
      <c r="B8" s="12">
        <f>_xlfn.XLOOKUP($B$4, Instruments, revenue, "")</f>
        <v>1195401000</v>
      </c>
      <c r="H8" t="s">
        <v>5046</v>
      </c>
    </row>
    <row r="9" spans="1:8" x14ac:dyDescent="0.25">
      <c r="A9" s="7" t="s">
        <v>12</v>
      </c>
      <c r="B9" s="12">
        <f>_xlfn.XLOOKUP($B$4,Instruments,EBITDA,"")</f>
        <v>-63000</v>
      </c>
    </row>
    <row r="10" spans="1:8" x14ac:dyDescent="0.25">
      <c r="A10" s="7" t="s">
        <v>13</v>
      </c>
      <c r="B10" s="12">
        <f>_xlfn.XLOOKUP($B$4,Instruments,NetIncome,"")</f>
        <v>-98255000</v>
      </c>
    </row>
    <row r="11" spans="1:8" x14ac:dyDescent="0.25">
      <c r="A11" s="7" t="s">
        <v>7</v>
      </c>
      <c r="B11" s="12">
        <f>_xlfn.XLOOKUP($B$4,Instruments,Market_Cap,"")</f>
        <v>319496142.75999999</v>
      </c>
    </row>
    <row r="12" spans="1:8" x14ac:dyDescent="0.25">
      <c r="A12" s="7" t="s">
        <v>9</v>
      </c>
      <c r="B12" s="12">
        <f>_xlfn.XLOOKUP($B$4,Instruments,debt,"")</f>
        <v>336229000</v>
      </c>
    </row>
    <row r="13" spans="1:8" x14ac:dyDescent="0.25">
      <c r="A13" s="7" t="s">
        <v>10</v>
      </c>
      <c r="B13" s="12">
        <f>_xlfn.XLOOKUP($B$4,Instruments,Cash,"")</f>
        <v>49858000</v>
      </c>
    </row>
    <row r="14" spans="1:8" x14ac:dyDescent="0.25">
      <c r="A14" s="7" t="s">
        <v>8</v>
      </c>
      <c r="B14" s="12">
        <f>_xlfn.XLOOKUP($B$4,Instruments,Enterprise_Value,"")</f>
        <v>605867142.75999999</v>
      </c>
    </row>
    <row r="15" spans="1:8" x14ac:dyDescent="0.25">
      <c r="A15" s="7" t="s">
        <v>1</v>
      </c>
      <c r="B15" s="13">
        <f>_xlfn.XLOOKUP($B$4,Instruments,EV_EBITDA,"")</f>
        <v>-9616.94</v>
      </c>
    </row>
    <row r="16" spans="1:8" x14ac:dyDescent="0.25">
      <c r="A16" s="7" t="s">
        <v>2</v>
      </c>
      <c r="B16" s="14">
        <f>_xlfn.XLOOKUP($B$4,Instruments,roe,"")</f>
        <v>-0.23</v>
      </c>
    </row>
    <row r="17" spans="1:2" x14ac:dyDescent="0.25">
      <c r="A17" s="7" t="s">
        <v>3</v>
      </c>
      <c r="B17" s="14">
        <f>_xlfn.XLOOKUP($B$4,Instruments,roic,"")</f>
        <v>-0.08</v>
      </c>
    </row>
  </sheetData>
  <dataValidations count="1">
    <dataValidation type="list" showErrorMessage="1" sqref="B4" xr:uid="{00000000-0002-0000-0200-000000000000}">
      <formula1>Instruments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showGridLines="0" workbookViewId="0">
      <selection activeCell="B21" sqref="B21"/>
    </sheetView>
  </sheetViews>
  <sheetFormatPr defaultRowHeight="15" x14ac:dyDescent="0.25"/>
  <cols>
    <col min="1" max="1" width="45.5703125" bestFit="1" customWidth="1"/>
    <col min="2" max="2" width="12.140625" bestFit="1" customWidth="1"/>
  </cols>
  <sheetData>
    <row r="1" spans="1:2" ht="17.25" x14ac:dyDescent="0.3">
      <c r="A1" s="1" t="s">
        <v>5009</v>
      </c>
    </row>
    <row r="3" spans="1:2" x14ac:dyDescent="0.25">
      <c r="A3" s="6" t="s">
        <v>5001</v>
      </c>
    </row>
    <row r="5" spans="1:2" x14ac:dyDescent="0.25">
      <c r="A5" s="7" t="s">
        <v>5010</v>
      </c>
      <c r="B5" s="24">
        <v>0.04</v>
      </c>
    </row>
    <row r="6" spans="1:2" x14ac:dyDescent="0.25">
      <c r="A6" s="7" t="s">
        <v>5011</v>
      </c>
      <c r="B6" s="24">
        <v>0.05</v>
      </c>
    </row>
    <row r="7" spans="1:2" x14ac:dyDescent="0.25">
      <c r="A7" s="7" t="s">
        <v>5012</v>
      </c>
      <c r="B7" s="25">
        <v>1</v>
      </c>
    </row>
    <row r="8" spans="1:2" x14ac:dyDescent="0.25">
      <c r="A8" s="7" t="s">
        <v>5013</v>
      </c>
      <c r="B8" s="24">
        <v>0.06</v>
      </c>
    </row>
    <row r="9" spans="1:2" x14ac:dyDescent="0.25">
      <c r="A9" s="7" t="s">
        <v>5014</v>
      </c>
      <c r="B9" s="24">
        <v>0.21</v>
      </c>
    </row>
    <row r="10" spans="1:2" x14ac:dyDescent="0.25">
      <c r="B10" s="26"/>
    </row>
    <row r="11" spans="1:2" x14ac:dyDescent="0.25">
      <c r="A11" s="7" t="s">
        <v>5015</v>
      </c>
      <c r="B11" s="27">
        <f>instrument_market_cap</f>
        <v>319496142.75999999</v>
      </c>
    </row>
    <row r="12" spans="1:2" x14ac:dyDescent="0.25">
      <c r="A12" s="7" t="s">
        <v>9</v>
      </c>
      <c r="B12" s="27">
        <f>Instrument_Debt</f>
        <v>336229000</v>
      </c>
    </row>
    <row r="13" spans="1:2" x14ac:dyDescent="0.25">
      <c r="A13" s="7" t="s">
        <v>10</v>
      </c>
      <c r="B13" s="27">
        <f>Instrument_Cash</f>
        <v>49858000</v>
      </c>
    </row>
    <row r="14" spans="1:2" x14ac:dyDescent="0.25">
      <c r="B14" s="26"/>
    </row>
    <row r="15" spans="1:2" x14ac:dyDescent="0.25">
      <c r="A15" s="7" t="s">
        <v>5016</v>
      </c>
      <c r="B15" s="27">
        <f>MAX(B12-B13,0)</f>
        <v>286371000</v>
      </c>
    </row>
    <row r="16" spans="1:2" x14ac:dyDescent="0.25">
      <c r="A16" s="7" t="s">
        <v>5017</v>
      </c>
      <c r="B16" s="27">
        <f>B11+B15</f>
        <v>605867142.75999999</v>
      </c>
    </row>
    <row r="17" spans="1:2" x14ac:dyDescent="0.25">
      <c r="A17" s="7" t="s">
        <v>5018</v>
      </c>
      <c r="B17" s="28">
        <f>IF(B16=0,0,B11/B16)</f>
        <v>0.52733696913245698</v>
      </c>
    </row>
    <row r="18" spans="1:2" x14ac:dyDescent="0.25">
      <c r="A18" s="7" t="s">
        <v>5019</v>
      </c>
      <c r="B18" s="28">
        <f>IF(B16=0,0,B15/B16)</f>
        <v>0.47266303086754308</v>
      </c>
    </row>
    <row r="19" spans="1:2" x14ac:dyDescent="0.25">
      <c r="B19" s="26"/>
    </row>
    <row r="20" spans="1:2" x14ac:dyDescent="0.25">
      <c r="A20" s="7" t="s">
        <v>5020</v>
      </c>
      <c r="B20" s="28">
        <f>B5 + B7*B6</f>
        <v>0.09</v>
      </c>
    </row>
    <row r="21" spans="1:2" x14ac:dyDescent="0.25">
      <c r="A21" s="7" t="s">
        <v>5021</v>
      </c>
      <c r="B21" s="28">
        <f>B8*(1-B9)</f>
        <v>4.7399999999999998E-2</v>
      </c>
    </row>
    <row r="22" spans="1:2" ht="15.75" thickBot="1" x14ac:dyDescent="0.3">
      <c r="B22" s="26"/>
    </row>
    <row r="23" spans="1:2" ht="15.75" thickBot="1" x14ac:dyDescent="0.3">
      <c r="A23" s="7" t="s">
        <v>5022</v>
      </c>
      <c r="B23" s="29">
        <f>B17*B20 + B18*B21</f>
        <v>6.986455488504266E-2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tabSelected="1" workbookViewId="0">
      <selection activeCell="B9" sqref="B9"/>
    </sheetView>
  </sheetViews>
  <sheetFormatPr defaultRowHeight="15" x14ac:dyDescent="0.25"/>
  <cols>
    <col min="1" max="1" width="52.42578125" bestFit="1" customWidth="1"/>
    <col min="2" max="2" width="14.5703125" bestFit="1" customWidth="1"/>
    <col min="3" max="3" width="8.28515625" bestFit="1" customWidth="1"/>
    <col min="4" max="4" width="29.85546875" bestFit="1" customWidth="1"/>
    <col min="5" max="5" width="10.5703125" bestFit="1" customWidth="1"/>
    <col min="6" max="6" width="11.85546875" bestFit="1" customWidth="1"/>
  </cols>
  <sheetData>
    <row r="1" spans="1:6" ht="17.25" x14ac:dyDescent="0.3">
      <c r="A1" s="1" t="s">
        <v>5023</v>
      </c>
    </row>
    <row r="3" spans="1:6" x14ac:dyDescent="0.25">
      <c r="A3" s="6" t="s">
        <v>5001</v>
      </c>
    </row>
    <row r="5" spans="1:6" x14ac:dyDescent="0.25">
      <c r="A5" s="7" t="s">
        <v>5024</v>
      </c>
      <c r="B5" s="15">
        <f>instrument_revenue</f>
        <v>1195401000</v>
      </c>
      <c r="D5" s="7" t="s">
        <v>5025</v>
      </c>
      <c r="E5" s="17">
        <v>0.05</v>
      </c>
    </row>
    <row r="6" spans="1:6" x14ac:dyDescent="0.25">
      <c r="A6" s="7" t="s">
        <v>5026</v>
      </c>
      <c r="B6" s="15">
        <f>instrument_ebitda</f>
        <v>-63000</v>
      </c>
      <c r="D6" s="7" t="s">
        <v>5027</v>
      </c>
      <c r="E6" s="18"/>
    </row>
    <row r="7" spans="1:6" x14ac:dyDescent="0.25">
      <c r="D7" s="7" t="s">
        <v>5028</v>
      </c>
      <c r="E7" s="17">
        <v>0.03</v>
      </c>
    </row>
    <row r="8" spans="1:6" x14ac:dyDescent="0.25">
      <c r="D8" s="7" t="s">
        <v>5029</v>
      </c>
      <c r="E8" s="17">
        <v>0.01</v>
      </c>
    </row>
    <row r="9" spans="1:6" x14ac:dyDescent="0.25">
      <c r="D9" s="7" t="s">
        <v>5030</v>
      </c>
      <c r="E9" s="17">
        <v>0.02</v>
      </c>
    </row>
    <row r="10" spans="1:6" x14ac:dyDescent="0.25">
      <c r="D10" s="7" t="s">
        <v>5031</v>
      </c>
      <c r="E10" s="16">
        <f>tax_rate</f>
        <v>0.21</v>
      </c>
    </row>
    <row r="11" spans="1:6" x14ac:dyDescent="0.25">
      <c r="D11" s="7" t="s">
        <v>5022</v>
      </c>
      <c r="E11" s="16">
        <f>wacc</f>
        <v>6.986455488504266E-2</v>
      </c>
    </row>
    <row r="14" spans="1:6" x14ac:dyDescent="0.25">
      <c r="A14" s="2" t="s">
        <v>5032</v>
      </c>
      <c r="B14" s="2" t="s">
        <v>11</v>
      </c>
      <c r="C14" s="2" t="s">
        <v>12</v>
      </c>
      <c r="D14" s="2" t="s">
        <v>5033</v>
      </c>
      <c r="E14" s="2" t="s">
        <v>5034</v>
      </c>
      <c r="F14" s="2" t="s">
        <v>5035</v>
      </c>
    </row>
    <row r="15" spans="1:6" x14ac:dyDescent="0.25">
      <c r="A15" t="s">
        <v>5036</v>
      </c>
      <c r="B15" s="19">
        <f>B5*(1+$E$5)</f>
        <v>1255171050</v>
      </c>
      <c r="C15" s="19">
        <f>IF($E$6="", $B$6/$B$5, $E$6) * B15</f>
        <v>-66150</v>
      </c>
      <c r="D15" s="19">
        <f>C15*(1-$E$10) - $E$7*B15 - $E$8*B15</f>
        <v>-50259100.5</v>
      </c>
      <c r="E15" s="20">
        <f>1/(1+$E$11)^1</f>
        <v>0.93469775723848547</v>
      </c>
      <c r="F15" s="19">
        <f>D15*E15</f>
        <v>-46977068.518173642</v>
      </c>
    </row>
    <row r="16" spans="1:6" x14ac:dyDescent="0.25">
      <c r="A16" t="s">
        <v>5037</v>
      </c>
      <c r="B16" s="19">
        <f>B15*(1+$E$5)</f>
        <v>1317929602.5</v>
      </c>
      <c r="C16" s="19">
        <f>IF($E$6="", $B$6/$B$5, $E$6) * B16</f>
        <v>-69457.5</v>
      </c>
      <c r="D16" s="19">
        <f>C16*(1-$E$10) - $E$7*B16 - $E$8*B16</f>
        <v>-52772055.524999991</v>
      </c>
      <c r="E16" s="20">
        <f>1/(1+$E$11)^2</f>
        <v>0.87365989738665473</v>
      </c>
      <c r="F16" s="19">
        <f>D16*E16</f>
        <v>-46104828.614854336</v>
      </c>
    </row>
    <row r="17" spans="1:6" x14ac:dyDescent="0.25">
      <c r="A17" t="s">
        <v>5038</v>
      </c>
      <c r="B17" s="19">
        <f>B16*(1+$E$5)</f>
        <v>1383826082.625</v>
      </c>
      <c r="C17" s="19">
        <f>IF($E$6="", $B$6/$B$5, $E$6) * B17</f>
        <v>-72930.375</v>
      </c>
      <c r="D17" s="19">
        <f>C17*(1-$E$10) - $E$7*B17 - $E$8*B17</f>
        <v>-55410658.301250003</v>
      </c>
      <c r="E17" s="20">
        <f>1/(1+$E$11)^3</f>
        <v>0.81660794667651149</v>
      </c>
      <c r="F17" s="19">
        <f>D17*E17</f>
        <v>-45248783.899377562</v>
      </c>
    </row>
    <row r="18" spans="1:6" x14ac:dyDescent="0.25">
      <c r="A18" t="s">
        <v>5039</v>
      </c>
      <c r="B18" s="19">
        <f>B17*(1+$E$5)</f>
        <v>1453017386.7562501</v>
      </c>
      <c r="C18" s="19">
        <f>IF($E$6="", $B$6/$B$5, $E$6) * B18</f>
        <v>-76576.893750000017</v>
      </c>
      <c r="D18" s="19">
        <f>C18*(1-$E$10) - $E$7*B18 - $E$8*B18</f>
        <v>-58181191.216312505</v>
      </c>
      <c r="E18" s="20">
        <f>1/(1+$E$11)^4</f>
        <v>0.76328161630166014</v>
      </c>
      <c r="F18" s="19">
        <f>D18*E18</f>
        <v>-44408633.66994296</v>
      </c>
    </row>
    <row r="19" spans="1:6" x14ac:dyDescent="0.25">
      <c r="A19" t="s">
        <v>5040</v>
      </c>
      <c r="B19" s="19">
        <f>B18*(1+$E$5)</f>
        <v>1525668256.0940628</v>
      </c>
      <c r="C19" s="19">
        <f>IF($E$6="", $B$6/$B$5, $E$6) * B19</f>
        <v>-80405.738437500026</v>
      </c>
      <c r="D19" s="19">
        <f>C19*(1-$E$10) - $E$7*B19 - $E$8*B19</f>
        <v>-61090250.777128138</v>
      </c>
      <c r="E19" s="20">
        <f>1/(1+$E$11)^5</f>
        <v>0.71343761489852797</v>
      </c>
      <c r="F19" s="19">
        <f>D19*E19</f>
        <v>-43584082.807987243</v>
      </c>
    </row>
    <row r="21" spans="1:6" x14ac:dyDescent="0.25">
      <c r="A21" s="21" t="s">
        <v>5041</v>
      </c>
      <c r="B21" s="19">
        <f>D19*(1+$E$9)/($E$11-$E$9)</f>
        <v>-1249626231.2242517</v>
      </c>
    </row>
    <row r="22" spans="1:6" x14ac:dyDescent="0.25">
      <c r="A22" s="21" t="s">
        <v>5042</v>
      </c>
      <c r="B22" s="19">
        <f>B21/(1+$E$11)^5</f>
        <v>-891530357.91926658</v>
      </c>
    </row>
    <row r="24" spans="1:6" x14ac:dyDescent="0.25">
      <c r="A24" t="s">
        <v>5043</v>
      </c>
      <c r="B24" s="19">
        <f>SUM(F15:F19)+B22</f>
        <v>-1117853755.4296024</v>
      </c>
    </row>
    <row r="25" spans="1:6" x14ac:dyDescent="0.25">
      <c r="A25" t="s">
        <v>5016</v>
      </c>
      <c r="B25" s="19">
        <f>net_debt</f>
        <v>286371000</v>
      </c>
    </row>
    <row r="26" spans="1:6" x14ac:dyDescent="0.25">
      <c r="A26" t="s">
        <v>5044</v>
      </c>
      <c r="B26" s="19">
        <f>B24-B25</f>
        <v>-1404224755.4296024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20</vt:i4>
      </vt:variant>
    </vt:vector>
  </HeadingPairs>
  <TitlesOfParts>
    <vt:vector size="25" baseType="lpstr">
      <vt:lpstr>Ranks &amp; Screens</vt:lpstr>
      <vt:lpstr>Executive Summary</vt:lpstr>
      <vt:lpstr>Instrument Viewer</vt:lpstr>
      <vt:lpstr>WACC</vt:lpstr>
      <vt:lpstr>DCF</vt:lpstr>
      <vt:lpstr>Cash</vt:lpstr>
      <vt:lpstr>debt</vt:lpstr>
      <vt:lpstr>EBITDA</vt:lpstr>
      <vt:lpstr>Enterprise_Value</vt:lpstr>
      <vt:lpstr>EV_EBITDA</vt:lpstr>
      <vt:lpstr>Instrument_Cash</vt:lpstr>
      <vt:lpstr>Instrument_Debt</vt:lpstr>
      <vt:lpstr>instrument_ebitda</vt:lpstr>
      <vt:lpstr>instrument_market_cap</vt:lpstr>
      <vt:lpstr>instrument_revenue</vt:lpstr>
      <vt:lpstr>Instruments</vt:lpstr>
      <vt:lpstr>Market_Cap</vt:lpstr>
      <vt:lpstr>net_debt</vt:lpstr>
      <vt:lpstr>NetIncome</vt:lpstr>
      <vt:lpstr>revenue</vt:lpstr>
      <vt:lpstr>roe</vt:lpstr>
      <vt:lpstr>roic</vt:lpstr>
      <vt:lpstr>SelectedInstrument</vt:lpstr>
      <vt:lpstr>tax_rate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David Jose Castaneda</cp:lastModifiedBy>
  <dcterms:created xsi:type="dcterms:W3CDTF">2025-11-06T01:04:49Z</dcterms:created>
  <dcterms:modified xsi:type="dcterms:W3CDTF">2025-11-06T02:13:40Z</dcterms:modified>
</cp:coreProperties>
</file>